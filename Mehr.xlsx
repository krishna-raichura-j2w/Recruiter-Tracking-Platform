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j2w-my.sharepoint.com/personal/misreports_joulestowatts_com/Documents/Operation tracker/New Query/"/>
    </mc:Choice>
  </mc:AlternateContent>
  <xr:revisionPtr revIDLastSave="0" documentId="8_{F5BFDA8C-03DB-4069-9DD1-5787F1527B4A}" xr6:coauthVersionLast="47" xr6:coauthVersionMax="47" xr10:uidLastSave="{00000000-0000-0000-0000-000000000000}"/>
  <bookViews>
    <workbookView xWindow="-120" yWindow="-120" windowWidth="20730" windowHeight="11040" firstSheet="8" activeTab="8" xr2:uid="{30E8011D-223C-44E6-B553-7242E7B32EE3}"/>
  </bookViews>
  <sheets>
    <sheet name="Sheet3" sheetId="3" state="hidden" r:id="rId1"/>
    <sheet name="1 year data for AM &amp; BH" sheetId="4" state="hidden" r:id="rId2"/>
    <sheet name="Sheet1" sheetId="1" state="hidden" r:id="rId3"/>
    <sheet name="Sheet4" sheetId="8" state="hidden" r:id="rId4"/>
    <sheet name="Sheet5" sheetId="9" state="hidden" r:id="rId5"/>
    <sheet name="Sheet2" sheetId="7" state="hidden" r:id="rId6"/>
    <sheet name="Sheet6" sheetId="10" r:id="rId7"/>
    <sheet name="AM and BH" sheetId="5" r:id="rId8"/>
    <sheet name="EDB" sheetId="12" r:id="rId9"/>
    <sheet name="DL" sheetId="15" r:id="rId10"/>
    <sheet name="AM" sheetId="16" r:id="rId11"/>
    <sheet name="Nw updates" sheetId="11" r:id="rId12"/>
    <sheet name="BH" sheetId="17" r:id="rId13"/>
    <sheet name="Sheet8" sheetId="14" state="hidden" r:id="rId14"/>
    <sheet name="Client vs HRBP" sheetId="6" state="hidden" r:id="rId15"/>
    <sheet name="Sheet7" sheetId="18" r:id="rId16"/>
    <sheet name="Sheet9" sheetId="19" state="hidden" r:id="rId17"/>
  </sheets>
  <externalReferences>
    <externalReference r:id="rId18"/>
    <externalReference r:id="rId19"/>
  </externalReferences>
  <definedNames>
    <definedName name="_xlnm._FilterDatabase" localSheetId="12" hidden="1">BH!$A$1:$G$7</definedName>
    <definedName name="_xlnm._FilterDatabase" localSheetId="14" hidden="1">'Client vs HRBP'!$F$1:$G$138</definedName>
    <definedName name="_xlnm._FilterDatabase" localSheetId="11" hidden="1">'Nw updates'!$A$1:$F$56</definedName>
    <definedName name="_xlnm._FilterDatabase" localSheetId="2" hidden="1">Sheet1!$A$1:$M$2523</definedName>
    <definedName name="_xlnm._FilterDatabase" localSheetId="5" hidden="1">Sheet2!$F$1:$G$196</definedName>
    <definedName name="_xlnm._FilterDatabase" localSheetId="4" hidden="1">Sheet5!$I$1:$L$20</definedName>
    <definedName name="_xlnm._FilterDatabase" localSheetId="7" hidden="1">'AM and BH'!$C$1:$M$275</definedName>
    <definedName name="_xlnm._FilterDatabase" localSheetId="8" hidden="1">EDB!$A$1:$L$176</definedName>
  </definedNames>
  <calcPr calcId="191028"/>
  <pivotCaches>
    <pivotCache cacheId="200" r:id="rId20"/>
    <pivotCache cacheId="201" r:id="rId21"/>
    <pivotCache cacheId="202" r:id="rId22"/>
    <pivotCache cacheId="203" r:id="rId23"/>
    <pivotCache cacheId="204" r:id="rId24"/>
    <pivotCache cacheId="205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8" i="5" l="1"/>
  <c r="M269" i="5"/>
  <c r="M270" i="5"/>
  <c r="M271" i="5"/>
  <c r="M272" i="5"/>
  <c r="M273" i="5"/>
  <c r="M274" i="5"/>
  <c r="M275" i="5"/>
  <c r="J267" i="5"/>
  <c r="K275" i="5"/>
  <c r="J275" i="5"/>
  <c r="K274" i="5"/>
  <c r="J274" i="5"/>
  <c r="K273" i="5"/>
  <c r="J273" i="5"/>
  <c r="K272" i="5"/>
  <c r="J272" i="5"/>
  <c r="K271" i="5"/>
  <c r="J271" i="5"/>
  <c r="K270" i="5"/>
  <c r="J270" i="5"/>
  <c r="K269" i="5"/>
  <c r="J269" i="5"/>
  <c r="K268" i="5"/>
  <c r="J268" i="5"/>
  <c r="K266" i="5"/>
  <c r="J266" i="5"/>
  <c r="K265" i="5"/>
  <c r="J265" i="5"/>
  <c r="K264" i="5"/>
  <c r="J264" i="5"/>
  <c r="M193" i="5" l="1"/>
  <c r="M12" i="5"/>
  <c r="M14" i="5"/>
  <c r="M16" i="5"/>
  <c r="M17" i="5"/>
  <c r="M23" i="5"/>
  <c r="M38" i="5"/>
  <c r="M174" i="5"/>
  <c r="M44" i="5"/>
  <c r="M46" i="5"/>
  <c r="M2" i="5"/>
  <c r="M51" i="5"/>
  <c r="M74" i="5"/>
  <c r="M84" i="5"/>
  <c r="M85" i="5"/>
  <c r="M88" i="5"/>
  <c r="M89" i="5"/>
  <c r="M91" i="5"/>
  <c r="M100" i="5"/>
  <c r="M31" i="5"/>
  <c r="M141" i="5"/>
  <c r="M162" i="5"/>
  <c r="M171" i="5"/>
  <c r="M185" i="5"/>
  <c r="M190" i="5"/>
  <c r="M192" i="5"/>
  <c r="M262" i="5"/>
  <c r="M205" i="5"/>
  <c r="M158" i="5"/>
  <c r="M63" i="5" l="1"/>
  <c r="M263" i="5" l="1"/>
  <c r="M246" i="5"/>
  <c r="M245" i="5"/>
  <c r="M5" i="5"/>
  <c r="M149" i="5" l="1"/>
  <c r="M148" i="5"/>
  <c r="M60" i="5" l="1"/>
  <c r="M61" i="5"/>
  <c r="M58" i="5"/>
  <c r="M62" i="5"/>
  <c r="M56" i="5"/>
  <c r="M4" i="5"/>
  <c r="M57" i="5"/>
  <c r="M120" i="5"/>
  <c r="M59" i="5"/>
  <c r="M3" i="5"/>
  <c r="M249" i="5"/>
  <c r="M248" i="5"/>
  <c r="M250" i="5" l="1"/>
  <c r="M247" i="5"/>
  <c r="M175" i="5" l="1"/>
  <c r="M19" i="5"/>
  <c r="M18" i="5"/>
  <c r="M189" i="5" l="1"/>
  <c r="M244" i="5"/>
  <c r="M242" i="5" l="1"/>
  <c r="M241" i="5"/>
  <c r="M239" i="5"/>
  <c r="M156" i="5"/>
  <c r="M105" i="5"/>
  <c r="M267" i="5" l="1"/>
  <c r="M143" i="5"/>
  <c r="M73" i="5"/>
  <c r="M231" i="5" l="1"/>
  <c r="M128" i="5" l="1"/>
  <c r="M119" i="5" l="1"/>
  <c r="M98" i="5" l="1"/>
  <c r="M97" i="5"/>
  <c r="M81" i="5"/>
  <c r="M200" i="5" l="1"/>
  <c r="M259" i="5" l="1"/>
  <c r="M260" i="5"/>
  <c r="M251" i="5"/>
  <c r="M195" i="5"/>
  <c r="M154" i="5"/>
  <c r="M71" i="5" l="1"/>
  <c r="M32" i="5"/>
  <c r="M135" i="5"/>
  <c r="M258" i="5"/>
  <c r="M30" i="5"/>
  <c r="M70" i="5"/>
  <c r="M180" i="5" l="1"/>
  <c r="M196" i="5"/>
  <c r="M227" i="5"/>
  <c r="M83" i="5"/>
  <c r="M140" i="5"/>
  <c r="M160" i="5"/>
  <c r="M161" i="5"/>
  <c r="M163" i="5"/>
  <c r="M142" i="5"/>
  <c r="M198" i="5"/>
  <c r="M206" i="5"/>
  <c r="M214" i="5"/>
  <c r="M159" i="5"/>
  <c r="M252" i="5"/>
  <c r="M146" i="5"/>
  <c r="M187" i="5"/>
  <c r="M188" i="5"/>
  <c r="M176" i="5"/>
  <c r="M164" i="5"/>
  <c r="M123" i="5"/>
  <c r="M124" i="5"/>
  <c r="M144" i="5"/>
  <c r="M131" i="5"/>
  <c r="M76" i="5"/>
  <c r="M94" i="5"/>
  <c r="M45" i="5"/>
  <c r="M78" i="5"/>
  <c r="M36" i="5"/>
  <c r="M50" i="5"/>
  <c r="M40" i="5"/>
  <c r="M41" i="5"/>
  <c r="M35" i="5"/>
  <c r="M21" i="5"/>
  <c r="M145" i="5"/>
  <c r="M226" i="5"/>
  <c r="M121" i="5" l="1"/>
  <c r="M33" i="5" l="1"/>
  <c r="M228" i="5" l="1"/>
  <c r="M179" i="5" l="1"/>
  <c r="M178" i="5"/>
  <c r="M104" i="5" l="1"/>
  <c r="M243" i="5" l="1"/>
  <c r="M261" i="5"/>
  <c r="M170" i="5" l="1"/>
  <c r="M208" i="5" l="1"/>
  <c r="M47" i="5" l="1"/>
  <c r="M139" i="5" l="1"/>
  <c r="M34" i="5"/>
  <c r="M173" i="5"/>
  <c r="M25" i="5"/>
  <c r="M106" i="5"/>
  <c r="M224" i="5"/>
  <c r="M222" i="5"/>
  <c r="M8" i="5"/>
  <c r="M138" i="5"/>
  <c r="M238" i="5"/>
  <c r="M133" i="5"/>
  <c r="M92" i="5"/>
  <c r="M37" i="5"/>
  <c r="M68" i="5"/>
  <c r="M234" i="5"/>
  <c r="M129" i="5"/>
  <c r="M152" i="5"/>
  <c r="M28" i="5"/>
  <c r="M235" i="5"/>
  <c r="M117" i="5"/>
  <c r="M53" i="5"/>
  <c r="M151" i="5"/>
  <c r="M233" i="5"/>
  <c r="M236" i="5"/>
  <c r="M69" i="5"/>
  <c r="M55" i="5"/>
  <c r="M169" i="5"/>
  <c r="M20" i="5"/>
  <c r="M191" i="5"/>
  <c r="M39" i="5"/>
  <c r="M168" i="5"/>
  <c r="M182" i="5"/>
  <c r="M213" i="5"/>
  <c r="M218" i="5"/>
  <c r="M13" i="5"/>
  <c r="M181" i="5"/>
  <c r="M203" i="5"/>
  <c r="M202" i="5"/>
  <c r="M54" i="5"/>
  <c r="M112" i="5"/>
  <c r="M221" i="5"/>
  <c r="M24" i="5"/>
  <c r="M65" i="5"/>
  <c r="M134" i="5"/>
  <c r="M199" i="5"/>
  <c r="M11" i="5"/>
  <c r="M155" i="5"/>
  <c r="M125" i="5"/>
  <c r="M43" i="5"/>
  <c r="M150" i="5"/>
  <c r="M48" i="5"/>
  <c r="M49" i="5"/>
  <c r="M210" i="5"/>
  <c r="M211" i="5"/>
  <c r="M212" i="5"/>
  <c r="M209" i="5"/>
  <c r="M9" i="5"/>
  <c r="M6" i="5"/>
  <c r="M103" i="5"/>
  <c r="M102" i="5"/>
  <c r="M101" i="5"/>
  <c r="M87" i="5"/>
  <c r="M86" i="5"/>
  <c r="M90" i="5"/>
  <c r="M93" i="5"/>
  <c r="M99" i="5"/>
  <c r="M96" i="5"/>
  <c r="M82" i="5"/>
  <c r="M132" i="5"/>
  <c r="M153" i="5"/>
  <c r="M219" i="5"/>
  <c r="M29" i="5"/>
  <c r="M166" i="5"/>
  <c r="M27" i="5"/>
  <c r="M229" i="5"/>
  <c r="M137" i="5"/>
  <c r="M194" i="5"/>
  <c r="M217" i="5"/>
  <c r="M215" i="5"/>
  <c r="M204" i="5"/>
  <c r="M183" i="5"/>
  <c r="M157" i="5"/>
  <c r="M10" i="5"/>
  <c r="M77" i="5"/>
  <c r="M52" i="5"/>
  <c r="M237" i="5"/>
  <c r="M108" i="5"/>
  <c r="M240" i="5"/>
  <c r="M177" i="5"/>
  <c r="M107" i="5"/>
  <c r="M66" i="5"/>
  <c r="M172" i="5"/>
  <c r="M118" i="5"/>
  <c r="M165" i="5"/>
  <c r="M67" i="5"/>
  <c r="M64" i="5"/>
  <c r="M75" i="5"/>
  <c r="M184" i="5"/>
  <c r="M26" i="5"/>
  <c r="M22" i="5"/>
  <c r="M116" i="5"/>
  <c r="M186" i="5"/>
  <c r="M110" i="5"/>
  <c r="M114" i="5"/>
  <c r="M7" i="5"/>
  <c r="M113" i="5"/>
  <c r="M115" i="5"/>
  <c r="M95" i="5"/>
  <c r="M147" i="5"/>
  <c r="M42" i="5"/>
  <c r="M127" i="5"/>
  <c r="M230" i="5"/>
  <c r="M126" i="5"/>
  <c r="M201" i="5"/>
  <c r="M15" i="5"/>
  <c r="M216" i="5"/>
  <c r="M109" i="5"/>
  <c r="M207" i="5"/>
  <c r="M136" i="5"/>
  <c r="M256" i="5"/>
  <c r="M197" i="5"/>
  <c r="M72" i="5"/>
  <c r="M130" i="5"/>
  <c r="M255" i="5"/>
  <c r="M254" i="5"/>
  <c r="M223" i="5"/>
  <c r="M220" i="5"/>
  <c r="M111" i="5"/>
  <c r="M225" i="5"/>
  <c r="M232" i="5" l="1"/>
  <c r="J263" i="5" l="1"/>
  <c r="J120" i="5"/>
  <c r="J63" i="5"/>
  <c r="J5" i="5"/>
  <c r="J4" i="5"/>
  <c r="J3" i="5"/>
  <c r="J62" i="5"/>
  <c r="J61" i="5"/>
  <c r="J60" i="5"/>
  <c r="J59" i="5"/>
  <c r="J58" i="5"/>
  <c r="J57" i="5"/>
  <c r="J56" i="5"/>
  <c r="J250" i="5"/>
  <c r="J249" i="5"/>
  <c r="J248" i="5"/>
  <c r="J247" i="5"/>
  <c r="J246" i="5"/>
  <c r="J245" i="5"/>
  <c r="J244" i="5"/>
  <c r="J8" i="5"/>
  <c r="J73" i="5"/>
  <c r="J193" i="5"/>
  <c r="J6" i="5"/>
  <c r="J75" i="5"/>
  <c r="J77" i="5"/>
  <c r="J9" i="5"/>
  <c r="J10" i="5"/>
  <c r="J224" i="5"/>
  <c r="J12" i="5"/>
  <c r="J13" i="5"/>
  <c r="J14" i="5"/>
  <c r="J15" i="5"/>
  <c r="J16" i="5"/>
  <c r="J17" i="5"/>
  <c r="J18" i="5"/>
  <c r="J19" i="5"/>
  <c r="J20" i="5"/>
  <c r="J21" i="5"/>
  <c r="J143" i="5"/>
  <c r="J23" i="5"/>
  <c r="J107" i="5"/>
  <c r="J25" i="5"/>
  <c r="J108" i="5"/>
  <c r="J27" i="5"/>
  <c r="J28" i="5"/>
  <c r="J109" i="5"/>
  <c r="J64" i="5"/>
  <c r="J65" i="5"/>
  <c r="J66" i="5"/>
  <c r="J67" i="5"/>
  <c r="J34" i="5"/>
  <c r="J35" i="5"/>
  <c r="J36" i="5"/>
  <c r="J37" i="5"/>
  <c r="J38" i="5"/>
  <c r="J39" i="5"/>
  <c r="J40" i="5"/>
  <c r="J41" i="5"/>
  <c r="J172" i="5"/>
  <c r="J174" i="5"/>
  <c r="J44" i="5"/>
  <c r="J45" i="5"/>
  <c r="J46" i="5"/>
  <c r="J47" i="5"/>
  <c r="J2" i="5"/>
  <c r="J49" i="5"/>
  <c r="J50" i="5"/>
  <c r="J51" i="5"/>
  <c r="J253" i="5"/>
  <c r="J26" i="5"/>
  <c r="J225" i="5"/>
  <c r="J81" i="5"/>
  <c r="J82" i="5"/>
  <c r="J86" i="5"/>
  <c r="J11" i="5"/>
  <c r="J87" i="5"/>
  <c r="J90" i="5"/>
  <c r="J92" i="5"/>
  <c r="J93" i="5"/>
  <c r="J96" i="5"/>
  <c r="J97" i="5"/>
  <c r="J98" i="5"/>
  <c r="J99" i="5"/>
  <c r="J29" i="5"/>
  <c r="J132" i="5"/>
  <c r="J110" i="5"/>
  <c r="J197" i="5"/>
  <c r="J69" i="5"/>
  <c r="J199" i="5"/>
  <c r="J200" i="5"/>
  <c r="J201" i="5"/>
  <c r="J74" i="5"/>
  <c r="J150" i="5"/>
  <c r="J76" i="5"/>
  <c r="J133" i="5"/>
  <c r="J78" i="5"/>
  <c r="J254" i="5"/>
  <c r="J80" i="5"/>
  <c r="J255" i="5"/>
  <c r="J256" i="5"/>
  <c r="J83" i="5"/>
  <c r="J84" i="5"/>
  <c r="J85" i="5"/>
  <c r="J207" i="5"/>
  <c r="J216" i="5"/>
  <c r="J88" i="5"/>
  <c r="J89" i="5"/>
  <c r="J72" i="5"/>
  <c r="J91" i="5"/>
  <c r="J111" i="5"/>
  <c r="J257" i="5"/>
  <c r="J94" i="5"/>
  <c r="J95" i="5"/>
  <c r="J220" i="5"/>
  <c r="J221" i="5"/>
  <c r="J222" i="5"/>
  <c r="J223" i="5"/>
  <c r="J100" i="5"/>
  <c r="J101" i="5"/>
  <c r="J102" i="5"/>
  <c r="J103" i="5"/>
  <c r="J104" i="5"/>
  <c r="J112" i="5"/>
  <c r="J106" i="5"/>
  <c r="J70" i="5"/>
  <c r="J48" i="5"/>
  <c r="J54" i="5"/>
  <c r="J128" i="5"/>
  <c r="J233" i="5"/>
  <c r="J234" i="5"/>
  <c r="J151" i="5"/>
  <c r="J235" i="5"/>
  <c r="J236" i="5"/>
  <c r="J237" i="5"/>
  <c r="J152" i="5"/>
  <c r="J238" i="5"/>
  <c r="J55" i="5"/>
  <c r="J240" i="5"/>
  <c r="J153" i="5"/>
  <c r="J68" i="5"/>
  <c r="J123" i="5"/>
  <c r="J124" i="5"/>
  <c r="J125" i="5"/>
  <c r="J126" i="5"/>
  <c r="J127" i="5"/>
  <c r="J134" i="5"/>
  <c r="J129" i="5"/>
  <c r="J130" i="5"/>
  <c r="J131" i="5"/>
  <c r="J52" i="5"/>
  <c r="J243" i="5"/>
  <c r="J30" i="5"/>
  <c r="J31" i="5"/>
  <c r="J32" i="5"/>
  <c r="J137" i="5"/>
  <c r="J138" i="5"/>
  <c r="J139" i="5"/>
  <c r="J140" i="5"/>
  <c r="J141" i="5"/>
  <c r="J33" i="5"/>
  <c r="J71" i="5"/>
  <c r="J144" i="5"/>
  <c r="J145" i="5"/>
  <c r="J146" i="5"/>
  <c r="J147" i="5"/>
  <c r="J148" i="5"/>
  <c r="J149" i="5"/>
  <c r="J113" i="5"/>
  <c r="J114" i="5"/>
  <c r="J251" i="5"/>
  <c r="J115" i="5"/>
  <c r="J116" i="5"/>
  <c r="J117" i="5"/>
  <c r="J156" i="5"/>
  <c r="J157" i="5"/>
  <c r="J122" i="5"/>
  <c r="J159" i="5"/>
  <c r="J160" i="5"/>
  <c r="J161" i="5"/>
  <c r="J162" i="5"/>
  <c r="J163" i="5"/>
  <c r="J164" i="5"/>
  <c r="J165" i="5"/>
  <c r="J166" i="5"/>
  <c r="J167" i="5"/>
  <c r="J168" i="5"/>
  <c r="J169" i="5"/>
  <c r="J22" i="5"/>
  <c r="J171" i="5"/>
  <c r="J258" i="5"/>
  <c r="J173" i="5"/>
  <c r="J42" i="5"/>
  <c r="J175" i="5"/>
  <c r="J176" i="5"/>
  <c r="J121" i="5"/>
  <c r="J259" i="5"/>
  <c r="J260" i="5"/>
  <c r="J180" i="5"/>
  <c r="J181" i="5"/>
  <c r="J182" i="5"/>
  <c r="J183" i="5"/>
  <c r="J154" i="5"/>
  <c r="J185" i="5"/>
  <c r="J186" i="5"/>
  <c r="J187" i="5"/>
  <c r="J188" i="5"/>
  <c r="J142" i="5"/>
  <c r="J190" i="5"/>
  <c r="J191" i="5"/>
  <c r="J192" i="5"/>
  <c r="J53" i="5"/>
  <c r="J194" i="5"/>
  <c r="J195" i="5"/>
  <c r="J196" i="5"/>
  <c r="J261" i="5"/>
  <c r="J198" i="5"/>
  <c r="J262" i="5"/>
  <c r="J252" i="5"/>
  <c r="J24" i="5"/>
  <c r="J202" i="5"/>
  <c r="J203" i="5"/>
  <c r="J204" i="5"/>
  <c r="J205" i="5"/>
  <c r="J206" i="5"/>
  <c r="J7" i="5"/>
  <c r="J208" i="5"/>
  <c r="J209" i="5"/>
  <c r="J210" i="5"/>
  <c r="J211" i="5"/>
  <c r="J212" i="5"/>
  <c r="J213" i="5"/>
  <c r="J214" i="5"/>
  <c r="J215" i="5"/>
  <c r="J43" i="5"/>
  <c r="J217" i="5"/>
  <c r="J218" i="5"/>
  <c r="J219" i="5"/>
  <c r="J177" i="5"/>
  <c r="J178" i="5"/>
  <c r="J179" i="5"/>
  <c r="J184" i="5"/>
  <c r="J135" i="5"/>
  <c r="J136" i="5"/>
  <c r="J226" i="5"/>
  <c r="J227" i="5"/>
  <c r="J228" i="5"/>
  <c r="J229" i="5"/>
  <c r="J230" i="5"/>
  <c r="J231" i="5"/>
  <c r="J232" i="5"/>
  <c r="J155" i="5"/>
  <c r="J118" i="5"/>
  <c r="J158" i="5"/>
  <c r="J119" i="5"/>
  <c r="J239" i="5"/>
  <c r="J105" i="5"/>
  <c r="J241" i="5"/>
  <c r="J242" i="5"/>
  <c r="J189" i="5"/>
  <c r="J170" i="5"/>
  <c r="K176" i="12" l="1"/>
  <c r="K175" i="12"/>
  <c r="K174" i="12"/>
  <c r="K173" i="12"/>
  <c r="K56" i="5" l="1"/>
  <c r="K57" i="5"/>
  <c r="K58" i="5"/>
  <c r="K59" i="5"/>
  <c r="K60" i="5"/>
  <c r="K61" i="5"/>
  <c r="K62" i="5"/>
  <c r="K3" i="5"/>
  <c r="K4" i="5"/>
  <c r="K5" i="5"/>
  <c r="K120" i="5"/>
  <c r="K263" i="5"/>
  <c r="K172" i="12"/>
  <c r="K3" i="12" l="1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2" i="12"/>
  <c r="K246" i="5"/>
  <c r="K247" i="5"/>
  <c r="K248" i="5"/>
  <c r="K249" i="5"/>
  <c r="K250" i="5"/>
  <c r="K245" i="5"/>
  <c r="K189" i="5"/>
  <c r="K244" i="5" l="1"/>
  <c r="K242" i="5" l="1"/>
  <c r="K241" i="5"/>
  <c r="K105" i="5"/>
  <c r="K239" i="5"/>
  <c r="Q1" i="5" l="1" a="1"/>
  <c r="Q1" i="5" l="1"/>
  <c r="K119" i="5"/>
  <c r="K158" i="5" l="1"/>
  <c r="K6" i="5" l="1"/>
  <c r="K75" i="5"/>
  <c r="K77" i="5"/>
  <c r="K9" i="5"/>
  <c r="K10" i="5"/>
  <c r="K224" i="5"/>
  <c r="K12" i="5"/>
  <c r="K13" i="5"/>
  <c r="K14" i="5"/>
  <c r="K85" i="5"/>
  <c r="K2" i="5"/>
  <c r="K193" i="5"/>
  <c r="K121" i="5"/>
  <c r="K259" i="5" l="1"/>
  <c r="K124" i="5"/>
  <c r="K71" i="5"/>
  <c r="K260" i="5"/>
  <c r="K32" i="5"/>
  <c r="K155" i="5"/>
  <c r="K226" i="5"/>
  <c r="K176" i="5"/>
  <c r="K50" i="5"/>
  <c r="K123" i="5"/>
  <c r="K232" i="5"/>
  <c r="K231" i="5"/>
  <c r="K230" i="5"/>
  <c r="K229" i="5"/>
  <c r="K228" i="5"/>
  <c r="K136" i="5"/>
  <c r="K135" i="5"/>
  <c r="K184" i="5"/>
  <c r="K179" i="5"/>
  <c r="K178" i="5"/>
  <c r="K177" i="5"/>
  <c r="K219" i="5"/>
  <c r="K218" i="5"/>
  <c r="K217" i="5"/>
  <c r="K43" i="5"/>
  <c r="K215" i="5"/>
  <c r="K214" i="5"/>
  <c r="K213" i="5"/>
  <c r="K212" i="5"/>
  <c r="K211" i="5"/>
  <c r="K210" i="5"/>
  <c r="K190" i="5"/>
  <c r="K142" i="5"/>
  <c r="K188" i="5"/>
  <c r="K187" i="5"/>
  <c r="K185" i="5"/>
  <c r="K154" i="5"/>
  <c r="K183" i="5"/>
  <c r="K182" i="5"/>
  <c r="K181" i="5"/>
  <c r="K175" i="5"/>
  <c r="K42" i="5"/>
  <c r="K173" i="5"/>
  <c r="K258" i="5"/>
  <c r="K171" i="5"/>
  <c r="K22" i="5"/>
  <c r="K169" i="5"/>
  <c r="K168" i="5"/>
  <c r="K167" i="5"/>
  <c r="K166" i="5"/>
  <c r="K165" i="5"/>
  <c r="K164" i="5"/>
  <c r="K163" i="5"/>
  <c r="K162" i="5"/>
  <c r="K161" i="5"/>
  <c r="K160" i="5"/>
  <c r="K159" i="5"/>
  <c r="K122" i="5"/>
  <c r="K157" i="5"/>
  <c r="K156" i="5"/>
  <c r="K117" i="5"/>
  <c r="K116" i="5"/>
  <c r="K115" i="5"/>
  <c r="K251" i="5"/>
  <c r="K114" i="5"/>
  <c r="K113" i="5"/>
  <c r="K149" i="5"/>
  <c r="K148" i="5"/>
  <c r="K147" i="5"/>
  <c r="K146" i="5"/>
  <c r="K144" i="5"/>
  <c r="K33" i="5"/>
  <c r="K141" i="5"/>
  <c r="K139" i="5"/>
  <c r="K138" i="5"/>
  <c r="K137" i="5"/>
  <c r="K31" i="5"/>
  <c r="K30" i="5"/>
  <c r="K243" i="5"/>
  <c r="K52" i="5"/>
  <c r="K131" i="5"/>
  <c r="K130" i="5"/>
  <c r="K129" i="5"/>
  <c r="K134" i="5"/>
  <c r="K125" i="5"/>
  <c r="K68" i="5"/>
  <c r="K153" i="5"/>
  <c r="K240" i="5"/>
  <c r="K55" i="5"/>
  <c r="K238" i="5"/>
  <c r="K152" i="5"/>
  <c r="K237" i="5"/>
  <c r="K236" i="5"/>
  <c r="K235" i="5"/>
  <c r="K151" i="5"/>
  <c r="K234" i="5"/>
  <c r="K233" i="5"/>
  <c r="K128" i="5"/>
  <c r="K54" i="5"/>
  <c r="K48" i="5"/>
  <c r="K70" i="5"/>
  <c r="K106" i="5"/>
  <c r="K112" i="5"/>
  <c r="K104" i="5"/>
  <c r="K103" i="5"/>
  <c r="K102" i="5"/>
  <c r="K101" i="5"/>
  <c r="K100" i="5"/>
  <c r="K223" i="5"/>
  <c r="K222" i="5"/>
  <c r="K221" i="5"/>
  <c r="K220" i="5"/>
  <c r="K95" i="5"/>
  <c r="K94" i="5"/>
  <c r="K257" i="5"/>
  <c r="K111" i="5"/>
  <c r="K91" i="5"/>
  <c r="K89" i="5"/>
  <c r="K88" i="5"/>
  <c r="K216" i="5"/>
  <c r="K207" i="5"/>
  <c r="K84" i="5"/>
  <c r="K83" i="5"/>
  <c r="K256" i="5"/>
  <c r="K255" i="5"/>
  <c r="K80" i="5"/>
  <c r="K254" i="5"/>
  <c r="K133" i="5"/>
  <c r="K76" i="5"/>
  <c r="K150" i="5"/>
  <c r="K74" i="5"/>
  <c r="K201" i="5"/>
  <c r="K199" i="5"/>
  <c r="K69" i="5"/>
  <c r="K197" i="5"/>
  <c r="K110" i="5"/>
  <c r="K132" i="5"/>
  <c r="K29" i="5"/>
  <c r="K99" i="5"/>
  <c r="K98" i="5"/>
  <c r="K97" i="5"/>
  <c r="K96" i="5"/>
  <c r="K93" i="5"/>
  <c r="K92" i="5"/>
  <c r="K90" i="5"/>
  <c r="K87" i="5"/>
  <c r="K11" i="5"/>
  <c r="K86" i="5"/>
  <c r="K82" i="5"/>
  <c r="K81" i="5"/>
  <c r="K225" i="5"/>
  <c r="K26" i="5"/>
  <c r="K253" i="5"/>
  <c r="K51" i="5"/>
  <c r="K49" i="5"/>
  <c r="K47" i="5"/>
  <c r="K46" i="5"/>
  <c r="K45" i="5"/>
  <c r="K44" i="5"/>
  <c r="K174" i="5"/>
  <c r="K172" i="5"/>
  <c r="K41" i="5"/>
  <c r="K40" i="5"/>
  <c r="K39" i="5"/>
  <c r="K38" i="5"/>
  <c r="K37" i="5"/>
  <c r="K36" i="5"/>
  <c r="K35" i="5"/>
  <c r="K34" i="5"/>
  <c r="K67" i="5"/>
  <c r="K66" i="5"/>
  <c r="K65" i="5"/>
  <c r="K64" i="5"/>
  <c r="K109" i="5"/>
  <c r="K28" i="5"/>
  <c r="K27" i="5"/>
  <c r="K108" i="5"/>
  <c r="K25" i="5"/>
  <c r="K107" i="5"/>
  <c r="K23" i="5"/>
  <c r="K143" i="5"/>
  <c r="K21" i="5"/>
  <c r="K20" i="5"/>
  <c r="K19" i="5"/>
  <c r="K18" i="5"/>
  <c r="K17" i="5"/>
  <c r="K16" i="5"/>
  <c r="K73" i="5"/>
  <c r="K8" i="5"/>
  <c r="K170" i="5"/>
  <c r="C330" i="10" l="1"/>
  <c r="C331" i="10"/>
  <c r="M253" i="5" l="1"/>
  <c r="M80" i="5"/>
  <c r="M257" i="5"/>
  <c r="M122" i="5"/>
  <c r="M16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<sst xmlns="http://schemas.openxmlformats.org/spreadsheetml/2006/main" count="31129" uniqueCount="7009">
  <si>
    <t>Years (display_date)</t>
  </si>
  <si>
    <t>Months (display_date)</t>
  </si>
  <si>
    <t>display_date</t>
  </si>
  <si>
    <t>Values</t>
  </si>
  <si>
    <t>2023</t>
  </si>
  <si>
    <t>2024</t>
  </si>
  <si>
    <t>Total Onb</t>
  </si>
  <si>
    <t>Total PO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</si>
  <si>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</si>
  <si>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</si>
  <si>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</si>
  <si>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</si>
  <si>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</si>
  <si>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</si>
  <si>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</si>
  <si>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</si>
  <si>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</si>
  <si>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</si>
  <si>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</si>
  <si>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</si>
  <si>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BH</t>
  </si>
  <si>
    <t>AM</t>
  </si>
  <si>
    <t>Onb</t>
  </si>
  <si>
    <t>PO</t>
  </si>
  <si>
    <t>Akshata nayak</t>
  </si>
  <si>
    <t>Gourab S</t>
  </si>
  <si>
    <t>Isha rao</t>
  </si>
  <si>
    <t>Jawad Ulla Khan</t>
  </si>
  <si>
    <t>Menaka Prasad</t>
  </si>
  <si>
    <t>Pariki Pradeep</t>
  </si>
  <si>
    <t>Pooja Abbigeri</t>
  </si>
  <si>
    <t>Poornachandra</t>
  </si>
  <si>
    <t>Rohan Srinivasan</t>
  </si>
  <si>
    <t>Saravanan P</t>
  </si>
  <si>
    <t>Vamsi Sankaran</t>
  </si>
  <si>
    <t>Akshata nayak Non IT</t>
  </si>
  <si>
    <t>Monisha R</t>
  </si>
  <si>
    <t>Karan Lalchandani</t>
  </si>
  <si>
    <t>Karan Lalchandani Non IT</t>
  </si>
  <si>
    <t>Mohanish</t>
  </si>
  <si>
    <t>Vamsi</t>
  </si>
  <si>
    <t>Prathap Sagar BL</t>
  </si>
  <si>
    <t>Fazila Khanum</t>
  </si>
  <si>
    <t>Namitha Gowda</t>
  </si>
  <si>
    <t>Sadhna Shukla</t>
  </si>
  <si>
    <t>Mehr Hashim</t>
  </si>
  <si>
    <t>Raghuramaiah K</t>
  </si>
  <si>
    <t>S</t>
  </si>
  <si>
    <t>Shivam Prasad</t>
  </si>
  <si>
    <t>Sourav ram</t>
  </si>
  <si>
    <t>Saurabh</t>
  </si>
  <si>
    <t>Shoeb  Ahmed</t>
  </si>
  <si>
    <t>Vinay Murthy</t>
  </si>
  <si>
    <t>Grand Total</t>
  </si>
  <si>
    <t>Akshata</t>
  </si>
  <si>
    <t>recruiter_name</t>
  </si>
  <si>
    <t>Lead</t>
  </si>
  <si>
    <t>manager_name</t>
  </si>
  <si>
    <t>full_name</t>
  </si>
  <si>
    <t>employee_type</t>
  </si>
  <si>
    <t>employee_id</t>
  </si>
  <si>
    <t>p_o_value</t>
  </si>
  <si>
    <t>margin</t>
  </si>
  <si>
    <t>company_name</t>
  </si>
  <si>
    <t>Status</t>
  </si>
  <si>
    <t>Poorvi Kundur</t>
  </si>
  <si>
    <t>Monisha RR</t>
  </si>
  <si>
    <t>Akshata Nayak Non IT</t>
  </si>
  <si>
    <t>Sagareena S</t>
  </si>
  <si>
    <t>C36230562</t>
  </si>
  <si>
    <t>HP</t>
  </si>
  <si>
    <t>Narendra Kumar Debariki</t>
  </si>
  <si>
    <t>Pradeep P</t>
  </si>
  <si>
    <t xml:space="preserve">  Seeram Prasanna</t>
  </si>
  <si>
    <t>C36230620</t>
  </si>
  <si>
    <t>UHG</t>
  </si>
  <si>
    <t>Sai Manish</t>
  </si>
  <si>
    <t xml:space="preserve">    Reddy Niharika </t>
  </si>
  <si>
    <t>C36230589</t>
  </si>
  <si>
    <t>Alavala Akhila</t>
  </si>
  <si>
    <t>C36230456</t>
  </si>
  <si>
    <t>Abhilash P</t>
  </si>
  <si>
    <t>Kamlesh A</t>
  </si>
  <si>
    <t xml:space="preserve">B Praveen Kumar  </t>
  </si>
  <si>
    <t>C36230619</t>
  </si>
  <si>
    <t>CenturyLink Technologies India Pvt.Ltd</t>
  </si>
  <si>
    <t>Krishna Mohanty</t>
  </si>
  <si>
    <t xml:space="preserve">Dinesh Kumar J </t>
  </si>
  <si>
    <t>C36230467</t>
  </si>
  <si>
    <t>Yaseen Beigh</t>
  </si>
  <si>
    <t>Puppala Manoj kumar</t>
  </si>
  <si>
    <t>C36230644</t>
  </si>
  <si>
    <t>Shiva Prasad</t>
  </si>
  <si>
    <t>Fazila K</t>
  </si>
  <si>
    <t>Prathap Sagar</t>
  </si>
  <si>
    <t xml:space="preserve">Shashank Harishchandra Pardhiye </t>
  </si>
  <si>
    <t>C36230443</t>
  </si>
  <si>
    <t>Infosys</t>
  </si>
  <si>
    <t>Akshata Nayak</t>
  </si>
  <si>
    <t>Zabi ualla</t>
  </si>
  <si>
    <t>C36230902</t>
  </si>
  <si>
    <t>Nisha Tanwar</t>
  </si>
  <si>
    <t>Rohit Choudhary</t>
  </si>
  <si>
    <t>Sandeep Sanweriya</t>
  </si>
  <si>
    <t xml:space="preserve">R Prasanth  </t>
  </si>
  <si>
    <t>C36230432</t>
  </si>
  <si>
    <t>Capgemini LBS</t>
  </si>
  <si>
    <t>Kiran A</t>
  </si>
  <si>
    <t>sai S</t>
  </si>
  <si>
    <t>Aditya  Raj</t>
  </si>
  <si>
    <t>C36230433</t>
  </si>
  <si>
    <t>Madhan Kumar M</t>
  </si>
  <si>
    <t>Vamsi S</t>
  </si>
  <si>
    <t>Mohanish Pillai</t>
  </si>
  <si>
    <t xml:space="preserve">Boda Vinay Kumar </t>
  </si>
  <si>
    <t>C36230510</t>
  </si>
  <si>
    <t xml:space="preserve"> WSP</t>
  </si>
  <si>
    <t>Sheetal B</t>
  </si>
  <si>
    <t>Tamil C</t>
  </si>
  <si>
    <t>Kishore Babu Ganta</t>
  </si>
  <si>
    <t>C36230434</t>
  </si>
  <si>
    <t>DXC</t>
  </si>
  <si>
    <t>shweta kamathgi</t>
  </si>
  <si>
    <t>Dummy Record Lead</t>
  </si>
  <si>
    <t>Arvind Sharma</t>
  </si>
  <si>
    <t>C36230407</t>
  </si>
  <si>
    <t>IBM -Mercedes</t>
  </si>
  <si>
    <t>Sushmitha K</t>
  </si>
  <si>
    <t>Pradeepa S</t>
  </si>
  <si>
    <t>C36230462</t>
  </si>
  <si>
    <t>Rajesh R</t>
  </si>
  <si>
    <t>Suhas  R</t>
  </si>
  <si>
    <t>C36230423</t>
  </si>
  <si>
    <t>Siba Prasad</t>
  </si>
  <si>
    <t>Abhishek Giri</t>
  </si>
  <si>
    <t>C36230482</t>
  </si>
  <si>
    <t>Lakheswari Ranjan</t>
  </si>
  <si>
    <t>Tamil Chelvan</t>
  </si>
  <si>
    <t>Anuj Gupta</t>
  </si>
  <si>
    <t>C36230435</t>
  </si>
  <si>
    <t>Deepthi C</t>
  </si>
  <si>
    <t>Anitha C</t>
  </si>
  <si>
    <t>Saritha Kumari</t>
  </si>
  <si>
    <t>C36230468</t>
  </si>
  <si>
    <t xml:space="preserve">Soc gen Ops </t>
  </si>
  <si>
    <t>Moulali S</t>
  </si>
  <si>
    <t>Poornachandra V</t>
  </si>
  <si>
    <t>Salla Vinay Kumar</t>
  </si>
  <si>
    <t>C36230447</t>
  </si>
  <si>
    <t>Wolters Kluwer</t>
  </si>
  <si>
    <t>Kumar A</t>
  </si>
  <si>
    <t>Vikram Yeshwant</t>
  </si>
  <si>
    <t>C36230436</t>
  </si>
  <si>
    <t>Shivaram P.K</t>
  </si>
  <si>
    <t>C36230437</t>
  </si>
  <si>
    <t>Sujeet Rai</t>
  </si>
  <si>
    <t>C36230438</t>
  </si>
  <si>
    <t>Deepak  Kumar</t>
  </si>
  <si>
    <t>C36230439</t>
  </si>
  <si>
    <t>Priya b</t>
  </si>
  <si>
    <t>Prathyusha Mangalampalli</t>
  </si>
  <si>
    <t>Vignesh Babu Rv</t>
  </si>
  <si>
    <t>C36230459</t>
  </si>
  <si>
    <t>Accenture-voice</t>
  </si>
  <si>
    <t>Kumararaja  Muthukumarasamy</t>
  </si>
  <si>
    <t>C36230463</t>
  </si>
  <si>
    <t>Zareennisa Anwar Basha</t>
  </si>
  <si>
    <t>C36230469</t>
  </si>
  <si>
    <t xml:space="preserve">Mohammed Adnan Shariff </t>
  </si>
  <si>
    <t>C36230448</t>
  </si>
  <si>
    <t>Keerthana S</t>
  </si>
  <si>
    <t>Mariyam Ameen</t>
  </si>
  <si>
    <t>C36230449</t>
  </si>
  <si>
    <t>Ashwinth Singh P</t>
  </si>
  <si>
    <t>C36230450</t>
  </si>
  <si>
    <t>Surekha S</t>
  </si>
  <si>
    <t>Aman Kumar</t>
  </si>
  <si>
    <t>C36230451</t>
  </si>
  <si>
    <t>Pinky Kumari</t>
  </si>
  <si>
    <t>Mehr Hashim D</t>
  </si>
  <si>
    <t>Ghantasala Venkata Nagalakshmi Gnana Keerthi</t>
  </si>
  <si>
    <t>C36230440</t>
  </si>
  <si>
    <t>Lowes</t>
  </si>
  <si>
    <t>Sutripti Mitra</t>
  </si>
  <si>
    <t>Tanmay Sharma</t>
  </si>
  <si>
    <t>C36230514</t>
  </si>
  <si>
    <t>Prateek A</t>
  </si>
  <si>
    <t>Basanta  Kumar Sethy</t>
  </si>
  <si>
    <t>C36230480</t>
  </si>
  <si>
    <t>GE Healthcare Global Private Limited.</t>
  </si>
  <si>
    <t>Mehraj N</t>
  </si>
  <si>
    <t xml:space="preserve">Perusomula Sree Divya  </t>
  </si>
  <si>
    <t>C36230466</t>
  </si>
  <si>
    <t>Accenture_BPO</t>
  </si>
  <si>
    <t>Sachin K</t>
  </si>
  <si>
    <t>Mark Henry Edwin</t>
  </si>
  <si>
    <t>C36230479</t>
  </si>
  <si>
    <t>Bindushree R</t>
  </si>
  <si>
    <t>Joe Udaya  Anisha U</t>
  </si>
  <si>
    <t>C36230460</t>
  </si>
  <si>
    <t>Dhanush H</t>
  </si>
  <si>
    <t xml:space="preserve">Prasad A.Vichare </t>
  </si>
  <si>
    <t>C36230452</t>
  </si>
  <si>
    <t>OTIS</t>
  </si>
  <si>
    <t>Varsha Poojar J</t>
  </si>
  <si>
    <t>C36230453</t>
  </si>
  <si>
    <t>Jacintha A</t>
  </si>
  <si>
    <t>C36230454</t>
  </si>
  <si>
    <t>Karthik C</t>
  </si>
  <si>
    <t>Shankar A</t>
  </si>
  <si>
    <t>C36230493</t>
  </si>
  <si>
    <t>Manish Kalal</t>
  </si>
  <si>
    <t>Madhusudan G</t>
  </si>
  <si>
    <t>C36230455</t>
  </si>
  <si>
    <t>Athriya Shet</t>
  </si>
  <si>
    <t>Suman S</t>
  </si>
  <si>
    <t xml:space="preserve">Souvik Das  </t>
  </si>
  <si>
    <t>C36230445</t>
  </si>
  <si>
    <t>OSBI</t>
  </si>
  <si>
    <t>Rupali Avinash Gautame</t>
  </si>
  <si>
    <t>C36230470</t>
  </si>
  <si>
    <t>Amudhan Periannan</t>
  </si>
  <si>
    <t>C36230481</t>
  </si>
  <si>
    <t>Karthik Venkatesh</t>
  </si>
  <si>
    <t>Priyakantha K</t>
  </si>
  <si>
    <t>Jancita Jerald Dsouza</t>
  </si>
  <si>
    <t>C36230575</t>
  </si>
  <si>
    <t>Accenture_IDB</t>
  </si>
  <si>
    <t>Richard Magimainathan</t>
  </si>
  <si>
    <t>C36230488</t>
  </si>
  <si>
    <t>Varshitha P</t>
  </si>
  <si>
    <t>Eugene kurian</t>
  </si>
  <si>
    <t>Priyakanta Choudhary</t>
  </si>
  <si>
    <t xml:space="preserve"> Prachi Jagdish Bhagat</t>
  </si>
  <si>
    <t>C36230446</t>
  </si>
  <si>
    <t>Jyothi HM</t>
  </si>
  <si>
    <t>Ranjith Kumar G</t>
  </si>
  <si>
    <t>C36230588</t>
  </si>
  <si>
    <t>karan lalchandani</t>
  </si>
  <si>
    <t>Deepa Kapa</t>
  </si>
  <si>
    <t>C36230458</t>
  </si>
  <si>
    <t>Charu Latha Ravi</t>
  </si>
  <si>
    <t>C36230506</t>
  </si>
  <si>
    <t>Ganesh M</t>
  </si>
  <si>
    <t>Pooja M</t>
  </si>
  <si>
    <t>Pooja MS</t>
  </si>
  <si>
    <t xml:space="preserve">Goru Jitendra </t>
  </si>
  <si>
    <t>C36230490</t>
  </si>
  <si>
    <t>Ashwanth  Uppu</t>
  </si>
  <si>
    <t>C36230678</t>
  </si>
  <si>
    <t>UHG(BCI &amp; SS)</t>
  </si>
  <si>
    <t>Pooja K</t>
  </si>
  <si>
    <t xml:space="preserve">Giddaluru Bharath Chand  </t>
  </si>
  <si>
    <t>C36230666</t>
  </si>
  <si>
    <t>Baindala Venkata Krishna</t>
  </si>
  <si>
    <t>C36230636</t>
  </si>
  <si>
    <t>Sireesha K</t>
  </si>
  <si>
    <t>Dimpy Sharma</t>
  </si>
  <si>
    <t>C36230494</t>
  </si>
  <si>
    <t>Meesala  Srinubabu</t>
  </si>
  <si>
    <t>C36230725</t>
  </si>
  <si>
    <t>Mouli Roy</t>
  </si>
  <si>
    <t>Soumya Ranjan Biswal</t>
  </si>
  <si>
    <t>C36230465</t>
  </si>
  <si>
    <t xml:space="preserve">Satyavan </t>
  </si>
  <si>
    <t>C36230610</t>
  </si>
  <si>
    <t>Monika Vakati</t>
  </si>
  <si>
    <t>Mohammed  Nushrath Jahan</t>
  </si>
  <si>
    <t>C36230637</t>
  </si>
  <si>
    <t>Pedakolimi Samba Siva  Rao</t>
  </si>
  <si>
    <t>C36230667</t>
  </si>
  <si>
    <t>Joga Bhuvana Sandhya</t>
  </si>
  <si>
    <t>C36230638</t>
  </si>
  <si>
    <t xml:space="preserve">Gundlapally Ankush Reddy </t>
  </si>
  <si>
    <t>C36230639</t>
  </si>
  <si>
    <t>Sharad Kiran</t>
  </si>
  <si>
    <t>Damodar Aakula</t>
  </si>
  <si>
    <t>C36230704</t>
  </si>
  <si>
    <t>Padarthi Mohana Chandu</t>
  </si>
  <si>
    <t>C36230679</t>
  </si>
  <si>
    <t>Sowmya P</t>
  </si>
  <si>
    <t>Donthula  Sruthi</t>
  </si>
  <si>
    <t>C36230680</t>
  </si>
  <si>
    <t>kamble vinod</t>
  </si>
  <si>
    <t>C36230611</t>
  </si>
  <si>
    <t>Gobade Saraswathi</t>
  </si>
  <si>
    <t>C36230740</t>
  </si>
  <si>
    <t>Arigala Ranga Nayakulu</t>
  </si>
  <si>
    <t>C36230668</t>
  </si>
  <si>
    <t xml:space="preserve">Medadoddi  Sony </t>
  </si>
  <si>
    <t>C36230612</t>
  </si>
  <si>
    <t xml:space="preserve"> Preethi G</t>
  </si>
  <si>
    <t xml:space="preserve"> ch Dhanasree  </t>
  </si>
  <si>
    <t>C36230726</t>
  </si>
  <si>
    <t>Faizan A</t>
  </si>
  <si>
    <t xml:space="preserve">Mattaparthi Sankar </t>
  </si>
  <si>
    <t>C36230739</t>
  </si>
  <si>
    <t>Lokesh Reddy</t>
  </si>
  <si>
    <t>Vishal  Motilal Trivedi</t>
  </si>
  <si>
    <t>C36230475</t>
  </si>
  <si>
    <t>Veritas</t>
  </si>
  <si>
    <t>Manasa Yata</t>
  </si>
  <si>
    <t>C36230735</t>
  </si>
  <si>
    <t xml:space="preserve"> Thakur Namratha Singh</t>
  </si>
  <si>
    <t>C36230681</t>
  </si>
  <si>
    <t>Gopal V</t>
  </si>
  <si>
    <t xml:space="preserve">Mary Sushmitha Pais </t>
  </si>
  <si>
    <t>C36230474</t>
  </si>
  <si>
    <t>Harman</t>
  </si>
  <si>
    <t>Azeez Khan</t>
  </si>
  <si>
    <t>Sunil KK</t>
  </si>
  <si>
    <t xml:space="preserve"> Anand Verma </t>
  </si>
  <si>
    <t>C36230700</t>
  </si>
  <si>
    <t>ZTE_payroll</t>
  </si>
  <si>
    <t>Filbert Raphael D monty</t>
  </si>
  <si>
    <t>C36230516</t>
  </si>
  <si>
    <t>Roopashri R V</t>
  </si>
  <si>
    <t>C36230464</t>
  </si>
  <si>
    <t>Shashank MH</t>
  </si>
  <si>
    <t>Saravana BA</t>
  </si>
  <si>
    <t>Anagha  P Y</t>
  </si>
  <si>
    <t>C36230530</t>
  </si>
  <si>
    <t>Google</t>
  </si>
  <si>
    <t xml:space="preserve">Boligerla Anitha  </t>
  </si>
  <si>
    <t>C36230705</t>
  </si>
  <si>
    <t>Kammari  Aravinda Chary</t>
  </si>
  <si>
    <t>C36230682</t>
  </si>
  <si>
    <t>Akash GS</t>
  </si>
  <si>
    <t>C36230727</t>
  </si>
  <si>
    <t>Manne Srikanth Chowdary</t>
  </si>
  <si>
    <t>C36230683</t>
  </si>
  <si>
    <t>Shoukat Ali mohiddeen khan</t>
  </si>
  <si>
    <t>C36230684</t>
  </si>
  <si>
    <t>Rachakonda   Saikrishna</t>
  </si>
  <si>
    <t>C36230625</t>
  </si>
  <si>
    <t>Vempally Pranay  Goud</t>
  </si>
  <si>
    <t>C36230685</t>
  </si>
  <si>
    <t>Pedagoni Laxman</t>
  </si>
  <si>
    <t>C36230669</t>
  </si>
  <si>
    <t>Rupa Challagundla</t>
  </si>
  <si>
    <t>C36230706</t>
  </si>
  <si>
    <t>Gopinath S N</t>
  </si>
  <si>
    <t>Garima Goswami</t>
  </si>
  <si>
    <t>C36230492</t>
  </si>
  <si>
    <t>Mohammed  Arshadullah</t>
  </si>
  <si>
    <t>C36230686</t>
  </si>
  <si>
    <t>Gaurav Sashikumar</t>
  </si>
  <si>
    <t>C36230489</t>
  </si>
  <si>
    <t>Siddharth A</t>
  </si>
  <si>
    <t>Deepika  D</t>
  </si>
  <si>
    <t>Shruti Baruah</t>
  </si>
  <si>
    <t xml:space="preserve">Angel Anthony </t>
  </si>
  <si>
    <t>C36230486</t>
  </si>
  <si>
    <t>Krishna A L</t>
  </si>
  <si>
    <t>C36230495</t>
  </si>
  <si>
    <t>Preethi B</t>
  </si>
  <si>
    <t>Sravan BR</t>
  </si>
  <si>
    <t>sreenivas sai</t>
  </si>
  <si>
    <t>Rachit Gupta</t>
  </si>
  <si>
    <t>C36230461</t>
  </si>
  <si>
    <t>Flipkart</t>
  </si>
  <si>
    <t>Gouri Priya</t>
  </si>
  <si>
    <t>Pawan Solanki</t>
  </si>
  <si>
    <t>C36230496</t>
  </si>
  <si>
    <t>V Chakrapani Reddy</t>
  </si>
  <si>
    <t>C36230613</t>
  </si>
  <si>
    <t>Kevin Vinodh</t>
  </si>
  <si>
    <t>C36230476</t>
  </si>
  <si>
    <t>Colin Vincent Lobo</t>
  </si>
  <si>
    <t>C36230471</t>
  </si>
  <si>
    <t xml:space="preserve">SrinivasaÂ ReddyÂ  Reddem </t>
  </si>
  <si>
    <t>O36230021</t>
  </si>
  <si>
    <t>NULL</t>
  </si>
  <si>
    <t xml:space="preserve"> Michael Ajith</t>
  </si>
  <si>
    <t>C36231215</t>
  </si>
  <si>
    <t>FLUENCE ENERGY - PAYROLL</t>
  </si>
  <si>
    <t>Maheshwari K S</t>
  </si>
  <si>
    <t>Alwyn Jonathan</t>
  </si>
  <si>
    <t>C36230477</t>
  </si>
  <si>
    <t>Naveen K</t>
  </si>
  <si>
    <t xml:space="preserve"> Munaga Krishnaveni</t>
  </si>
  <si>
    <t>C36230483</t>
  </si>
  <si>
    <t>Pooja Bt</t>
  </si>
  <si>
    <t>Vadala Harikrishna</t>
  </si>
  <si>
    <t>C36230670</t>
  </si>
  <si>
    <t>Elluri Venkata Dinesh Kumar Reddy</t>
  </si>
  <si>
    <t>C36230687</t>
  </si>
  <si>
    <t>Dharavath Gopi Naik</t>
  </si>
  <si>
    <t>C36230671</t>
  </si>
  <si>
    <t>Janani Ishwarya</t>
  </si>
  <si>
    <t>Harshitha P</t>
  </si>
  <si>
    <t>C36230478</t>
  </si>
  <si>
    <t>Surya S</t>
  </si>
  <si>
    <t>D Akhil</t>
  </si>
  <si>
    <t>C36230497</t>
  </si>
  <si>
    <t>Mohammed Rehan</t>
  </si>
  <si>
    <t>C36230487</t>
  </si>
  <si>
    <t xml:space="preserve">Aadil Sha Zeelani H S </t>
  </si>
  <si>
    <t>C36230587</t>
  </si>
  <si>
    <t>Sindhu N</t>
  </si>
  <si>
    <t>Anmol Katoch</t>
  </si>
  <si>
    <t>Shivam Kumar Radheshyam Gupta</t>
  </si>
  <si>
    <t>C36230507</t>
  </si>
  <si>
    <t xml:space="preserve">    Wajda Shaheen </t>
  </si>
  <si>
    <t>C36230656</t>
  </si>
  <si>
    <t>Chalikonda Harshavardhan Pasha</t>
  </si>
  <si>
    <t>C36230640</t>
  </si>
  <si>
    <t>Monika  Agarwal</t>
  </si>
  <si>
    <t>C36230628</t>
  </si>
  <si>
    <t>Musku Akhila</t>
  </si>
  <si>
    <t>C36230629</t>
  </si>
  <si>
    <t xml:space="preserve">Karakula Gowri Priya </t>
  </si>
  <si>
    <t>C36230672</t>
  </si>
  <si>
    <t>ABHISHEK KASHYAP</t>
  </si>
  <si>
    <t>C36230673</t>
  </si>
  <si>
    <t>Menka Prasad</t>
  </si>
  <si>
    <t>C36230484</t>
  </si>
  <si>
    <t>Koppala Gowthami</t>
  </si>
  <si>
    <t>C36230646</t>
  </si>
  <si>
    <t>Ambati  Bhargavi</t>
  </si>
  <si>
    <t>C36230630</t>
  </si>
  <si>
    <t>Syed Sohail Ali</t>
  </si>
  <si>
    <t>C36230688</t>
  </si>
  <si>
    <t xml:space="preserve">Prajwal R Patil </t>
  </si>
  <si>
    <t>C36230508</t>
  </si>
  <si>
    <t>Monisha Bharathidasan</t>
  </si>
  <si>
    <t>C36230485</t>
  </si>
  <si>
    <t>Mahalakshmi M</t>
  </si>
  <si>
    <t>C36230558</t>
  </si>
  <si>
    <t>KANIMOZHI S</t>
  </si>
  <si>
    <t>C36230552</t>
  </si>
  <si>
    <t>Javeed Khan</t>
  </si>
  <si>
    <t xml:space="preserve"> M Umesh chandra  </t>
  </si>
  <si>
    <t>C36230559</t>
  </si>
  <si>
    <t>Arpitha Tembe</t>
  </si>
  <si>
    <t>C36230574</t>
  </si>
  <si>
    <t>Satyaprakash Kund</t>
  </si>
  <si>
    <t>C36230491</t>
  </si>
  <si>
    <t>Kanthishree Shenoy</t>
  </si>
  <si>
    <t>Nikhil Konda</t>
  </si>
  <si>
    <t>C36230647</t>
  </si>
  <si>
    <t>UHG-Non IT</t>
  </si>
  <si>
    <t>Alyson Edward</t>
  </si>
  <si>
    <t>Paravasthu Pragnya</t>
  </si>
  <si>
    <t>C36230689</t>
  </si>
  <si>
    <t>Venisha Britto</t>
  </si>
  <si>
    <t>Guthula Durga Madhusudhan Rao</t>
  </si>
  <si>
    <t>C36230648</t>
  </si>
  <si>
    <t>Mohan Naga Krishna Mattaparthi</t>
  </si>
  <si>
    <t>C36230690</t>
  </si>
  <si>
    <t>Akshay Kumar</t>
  </si>
  <si>
    <t>C36230498</t>
  </si>
  <si>
    <t>Rakki Rohith Reddy</t>
  </si>
  <si>
    <t>C36230691</t>
  </si>
  <si>
    <t>Sharmila P</t>
  </si>
  <si>
    <t>Sabreena Jabeen</t>
  </si>
  <si>
    <t>SEELAM SASIKANTH</t>
  </si>
  <si>
    <t>C36230523</t>
  </si>
  <si>
    <t>Mercedes benz</t>
  </si>
  <si>
    <t xml:space="preserve">Gayathri Yanduri </t>
  </si>
  <si>
    <t>C36230707</t>
  </si>
  <si>
    <t>Santhosham A</t>
  </si>
  <si>
    <t>Sridhar V</t>
  </si>
  <si>
    <t>C36230505</t>
  </si>
  <si>
    <t xml:space="preserve"> Ayyalasomayajula  Manasvini</t>
  </si>
  <si>
    <t>C36230631</t>
  </si>
  <si>
    <t>Pavan Kalyan P</t>
  </si>
  <si>
    <t>C36230692</t>
  </si>
  <si>
    <t xml:space="preserve">Tonne Nandini </t>
  </si>
  <si>
    <t>C36230634</t>
  </si>
  <si>
    <t>Masuram Ashwini</t>
  </si>
  <si>
    <t>C36230649</t>
  </si>
  <si>
    <t>Sonal  Vyas</t>
  </si>
  <si>
    <t>C36230657</t>
  </si>
  <si>
    <t>Bommisetti Pravallika</t>
  </si>
  <si>
    <t>C36230658</t>
  </si>
  <si>
    <t>Noothi  Ajay Kumar</t>
  </si>
  <si>
    <t>C36230641</t>
  </si>
  <si>
    <t xml:space="preserve">Depesh Gupta   </t>
  </si>
  <si>
    <t>C36230524</t>
  </si>
  <si>
    <t>Sumanth VM</t>
  </si>
  <si>
    <t>Santosh Kumar Bind</t>
  </si>
  <si>
    <t>C36230520</t>
  </si>
  <si>
    <t>Sahadev Tandur</t>
  </si>
  <si>
    <t>C36230512</t>
  </si>
  <si>
    <t>Vanjari Rajesh</t>
  </si>
  <si>
    <t>C36230650</t>
  </si>
  <si>
    <t>Nikitha U</t>
  </si>
  <si>
    <t>C36230525</t>
  </si>
  <si>
    <t xml:space="preserve">Deepika Ramesh Pede </t>
  </si>
  <si>
    <t>C36230554</t>
  </si>
  <si>
    <t>Chaitra BR</t>
  </si>
  <si>
    <t xml:space="preserve">Arjun Nepal </t>
  </si>
  <si>
    <t>C36230699</t>
  </si>
  <si>
    <t>Chaithra M</t>
  </si>
  <si>
    <t xml:space="preserve">Harikrishna </t>
  </si>
  <si>
    <t>C36230499</t>
  </si>
  <si>
    <t xml:space="preserve">    Thirunagaram Sathish Kumar </t>
  </si>
  <si>
    <t>C36230553</t>
  </si>
  <si>
    <t xml:space="preserve"> Lakkireddipalli Mahesh Babu</t>
  </si>
  <si>
    <t>C36230531</t>
  </si>
  <si>
    <t xml:space="preserve">Gudla Sai Kumar </t>
  </si>
  <si>
    <t>C36230693</t>
  </si>
  <si>
    <t>Prathap S</t>
  </si>
  <si>
    <t xml:space="preserve">Gudiganla Hemavathi </t>
  </si>
  <si>
    <t>C36230651</t>
  </si>
  <si>
    <t>Krunali Patel</t>
  </si>
  <si>
    <t>C36230500</t>
  </si>
  <si>
    <t>Akarsh Naik</t>
  </si>
  <si>
    <t>C36230502</t>
  </si>
  <si>
    <t xml:space="preserve">Mulagada Harsha Nagendra </t>
  </si>
  <si>
    <t>C36230694</t>
  </si>
  <si>
    <t>Karthik AK</t>
  </si>
  <si>
    <t>Rashmi N</t>
  </si>
  <si>
    <t>Suraj T</t>
  </si>
  <si>
    <t>Pavan M S</t>
  </si>
  <si>
    <t>C36230501</t>
  </si>
  <si>
    <t>Alliance Data</t>
  </si>
  <si>
    <t>Rishabh Sharma</t>
  </si>
  <si>
    <t>C36230511</t>
  </si>
  <si>
    <t>Sapana Kumari</t>
  </si>
  <si>
    <t>C36230590</t>
  </si>
  <si>
    <t>Sai Vineeth</t>
  </si>
  <si>
    <t>Kunchanapalli J N M Siva Sai Srinivas</t>
  </si>
  <si>
    <t>C36230659</t>
  </si>
  <si>
    <t>Priya  Kumari</t>
  </si>
  <si>
    <t>C36230503</t>
  </si>
  <si>
    <t>Ram Praveen B</t>
  </si>
  <si>
    <t>R Kalpana</t>
  </si>
  <si>
    <t>C36230532</t>
  </si>
  <si>
    <t>Amrit  Agrawal</t>
  </si>
  <si>
    <t>C36230504</t>
  </si>
  <si>
    <t>Yashwanth Ranjan</t>
  </si>
  <si>
    <t>Kandepu Venkata Naga Sudha Vyshnavi</t>
  </si>
  <si>
    <t>C36230545</t>
  </si>
  <si>
    <t>Guru  G</t>
  </si>
  <si>
    <t>C36230535</t>
  </si>
  <si>
    <t>Shilpa Murthy</t>
  </si>
  <si>
    <t>C36230614</t>
  </si>
  <si>
    <t>Sunil Naganath Biradar</t>
  </si>
  <si>
    <t>C36230708</t>
  </si>
  <si>
    <t>Pearl Melita</t>
  </si>
  <si>
    <t>Chilukuri  Devika</t>
  </si>
  <si>
    <t>C36230775</t>
  </si>
  <si>
    <t>Swapneel  Rangnath Jadhav</t>
  </si>
  <si>
    <t>C36230660</t>
  </si>
  <si>
    <t>Salman Khan</t>
  </si>
  <si>
    <t>C36230509</t>
  </si>
  <si>
    <t>Archit Gaur</t>
  </si>
  <si>
    <t>C36230518</t>
  </si>
  <si>
    <t>Bathula  Sree Lakshmi</t>
  </si>
  <si>
    <t>C36230632</t>
  </si>
  <si>
    <t>Sarah T</t>
  </si>
  <si>
    <t>C36230513</t>
  </si>
  <si>
    <t xml:space="preserve">Priyadharshini S </t>
  </si>
  <si>
    <t>C36230570</t>
  </si>
  <si>
    <t>Pallela Kushal Kumar</t>
  </si>
  <si>
    <t>C36230633</t>
  </si>
  <si>
    <t>Mandeep  Rana</t>
  </si>
  <si>
    <t>C36230521</t>
  </si>
  <si>
    <t>Swetha  Maruthan</t>
  </si>
  <si>
    <t>C36230566</t>
  </si>
  <si>
    <t xml:space="preserve"> Naresh Kumar </t>
  </si>
  <si>
    <t>C36230515</t>
  </si>
  <si>
    <t>Anjali  s</t>
  </si>
  <si>
    <t>C36230526</t>
  </si>
  <si>
    <t xml:space="preserve">ALETIPALLI Naveen kumar </t>
  </si>
  <si>
    <t>C36230674</t>
  </si>
  <si>
    <t>Mohammed hamza</t>
  </si>
  <si>
    <t>Hemantha  Babu</t>
  </si>
  <si>
    <t>C36230527</t>
  </si>
  <si>
    <t>Tamilarasan S</t>
  </si>
  <si>
    <t>Shreyas S</t>
  </si>
  <si>
    <t>C36230522</t>
  </si>
  <si>
    <t>Younitha D</t>
  </si>
  <si>
    <t>C36230571</t>
  </si>
  <si>
    <t>Eslavath Sunil Naik</t>
  </si>
  <si>
    <t>C36230695</t>
  </si>
  <si>
    <t>Vimal Joshwa</t>
  </si>
  <si>
    <t>C36230573</t>
  </si>
  <si>
    <t xml:space="preserve">Chandana Venkateswara Rao </t>
  </si>
  <si>
    <t>C36230709</t>
  </si>
  <si>
    <t>Putta  Ranjith</t>
  </si>
  <si>
    <t>C36230652</t>
  </si>
  <si>
    <t>Narashimha Reddy P</t>
  </si>
  <si>
    <t>C36230519</t>
  </si>
  <si>
    <t>Allam Sandeep Reddy</t>
  </si>
  <si>
    <t>C36230661</t>
  </si>
  <si>
    <t>Bollampally Sai Divya</t>
  </si>
  <si>
    <t>C36230696</t>
  </si>
  <si>
    <t>MD MUZAMMIL HAYAT</t>
  </si>
  <si>
    <t>C36230817</t>
  </si>
  <si>
    <t>Gulipalli Latha</t>
  </si>
  <si>
    <t>C36230830</t>
  </si>
  <si>
    <t>Vadlamudi Anil  Kumar</t>
  </si>
  <si>
    <t>C36230710</t>
  </si>
  <si>
    <t xml:space="preserve">Hariharan Koleti </t>
  </si>
  <si>
    <t>C36230728</t>
  </si>
  <si>
    <t>Anaparthi Sagar Babu</t>
  </si>
  <si>
    <t>C36230711</t>
  </si>
  <si>
    <t xml:space="preserve">Kolusu Vamsi Krishna </t>
  </si>
  <si>
    <t>C36230712</t>
  </si>
  <si>
    <t>Hemanth SM</t>
  </si>
  <si>
    <t>R Suhaas Gaikwad</t>
  </si>
  <si>
    <t>C36230556</t>
  </si>
  <si>
    <t xml:space="preserve">Rajender Khatravath </t>
  </si>
  <si>
    <t>C36230697</t>
  </si>
  <si>
    <t xml:space="preserve"> Madhusudhan  Yadav Kovuri</t>
  </si>
  <si>
    <t>C36230729</t>
  </si>
  <si>
    <t xml:space="preserve">Srikanth Jelly </t>
  </si>
  <si>
    <t>C36230857</t>
  </si>
  <si>
    <t>Malchalam Mounika</t>
  </si>
  <si>
    <t>C36230868</t>
  </si>
  <si>
    <t>Turaka Siva Parvathi</t>
  </si>
  <si>
    <t>C36230635</t>
  </si>
  <si>
    <t>Rohit Ajay</t>
  </si>
  <si>
    <t>C36230548</t>
  </si>
  <si>
    <t>Shruthi R</t>
  </si>
  <si>
    <t xml:space="preserve">Deepa M	 </t>
  </si>
  <si>
    <t>C36230517</t>
  </si>
  <si>
    <t xml:space="preserve"> Balineni Tulasiram </t>
  </si>
  <si>
    <t>C36230546</t>
  </si>
  <si>
    <t xml:space="preserve"> Neeli Yamini Sreedevi</t>
  </si>
  <si>
    <t>C36231369</t>
  </si>
  <si>
    <t>Kethavath Anusha Rathod</t>
  </si>
  <si>
    <t>C36230786</t>
  </si>
  <si>
    <t>Kota Bhargav Naga Venkata Sai</t>
  </si>
  <si>
    <t>C36230818</t>
  </si>
  <si>
    <t>Pradeep S</t>
  </si>
  <si>
    <t>Soundarya S</t>
  </si>
  <si>
    <t>C36230582</t>
  </si>
  <si>
    <t>Sreeraj K R</t>
  </si>
  <si>
    <t>C36230541</t>
  </si>
  <si>
    <t>B C Sai Kiran</t>
  </si>
  <si>
    <t>C36230811</t>
  </si>
  <si>
    <t>Preethi S</t>
  </si>
  <si>
    <t>C36230537</t>
  </si>
  <si>
    <t xml:space="preserve">   Etikala  Architha   </t>
  </si>
  <si>
    <t>C36230550</t>
  </si>
  <si>
    <t>Sagar CM</t>
  </si>
  <si>
    <t xml:space="preserve">Prajakta R. Kusumkar </t>
  </si>
  <si>
    <t>C36230542</t>
  </si>
  <si>
    <t>Tanzeel Ahmed</t>
  </si>
  <si>
    <t xml:space="preserve">Pallapothu Roja </t>
  </si>
  <si>
    <t>C36230533</t>
  </si>
  <si>
    <t>Lahari Likitha</t>
  </si>
  <si>
    <t xml:space="preserve">Sneha Jha </t>
  </si>
  <si>
    <t>C36231158</t>
  </si>
  <si>
    <t xml:space="preserve">Ashwini Kekan  </t>
  </si>
  <si>
    <t>C36230738</t>
  </si>
  <si>
    <t>Akshata AA</t>
  </si>
  <si>
    <t xml:space="preserve">  Amit Kurhe </t>
  </si>
  <si>
    <t>C36230536</t>
  </si>
  <si>
    <t>DBS bank</t>
  </si>
  <si>
    <t xml:space="preserve">Sudia Susritha  </t>
  </si>
  <si>
    <t>C36230675</t>
  </si>
  <si>
    <t>Dhruthi M</t>
  </si>
  <si>
    <t xml:space="preserve"> Paladugu Spandana</t>
  </si>
  <si>
    <t>C36230539</t>
  </si>
  <si>
    <t xml:space="preserve"> N Poornachander Reddy </t>
  </si>
  <si>
    <t>C36230713</t>
  </si>
  <si>
    <t>Surabhi K</t>
  </si>
  <si>
    <t>Sree Harsha  K</t>
  </si>
  <si>
    <t>C36230534</t>
  </si>
  <si>
    <t>Nagma  Arikadass</t>
  </si>
  <si>
    <t>C36230572</t>
  </si>
  <si>
    <t>Edwin Jude</t>
  </si>
  <si>
    <t>C36230580</t>
  </si>
  <si>
    <t>Anju Molugu</t>
  </si>
  <si>
    <t>C36230858</t>
  </si>
  <si>
    <t>Mucherla Saikrishna</t>
  </si>
  <si>
    <t>C36230819</t>
  </si>
  <si>
    <t>Anisha Kongari</t>
  </si>
  <si>
    <t>C36230820</t>
  </si>
  <si>
    <t>Dimple Pandey</t>
  </si>
  <si>
    <t>C36230543</t>
  </si>
  <si>
    <t>Madhuri Ps</t>
  </si>
  <si>
    <t xml:space="preserve"> Bhuvana Shree  Rao K V</t>
  </si>
  <si>
    <t>C36230551</t>
  </si>
  <si>
    <t>Sharath  Kumar M S</t>
  </si>
  <si>
    <t>C36230576</t>
  </si>
  <si>
    <t>Rahul C</t>
  </si>
  <si>
    <t>C36230564</t>
  </si>
  <si>
    <t>Santhosh G</t>
  </si>
  <si>
    <t>C36230561</t>
  </si>
  <si>
    <t>Gattu Sowmya</t>
  </si>
  <si>
    <t>C36230821</t>
  </si>
  <si>
    <t>MURABOOYENA SUBBARAO</t>
  </si>
  <si>
    <t>C36231318</t>
  </si>
  <si>
    <t>Akash Aleti</t>
  </si>
  <si>
    <t>C36230812</t>
  </si>
  <si>
    <t>Jetty Shashank</t>
  </si>
  <si>
    <t>C36230662</t>
  </si>
  <si>
    <t xml:space="preserve">Ooradi Jeshwanth </t>
  </si>
  <si>
    <t>C36230663</t>
  </si>
  <si>
    <t>Navin Koncheri</t>
  </si>
  <si>
    <t>C36230544</t>
  </si>
  <si>
    <t xml:space="preserve">Avinash Gautam Sapkal </t>
  </si>
  <si>
    <t>C36230577</t>
  </si>
  <si>
    <t>Divya Teja Jagabattina</t>
  </si>
  <si>
    <t>C36230557</t>
  </si>
  <si>
    <t>Abiinaya Vijayakumar</t>
  </si>
  <si>
    <t>C36230579</t>
  </si>
  <si>
    <t>Uma Sree</t>
  </si>
  <si>
    <t>Jyoti Vashishtha</t>
  </si>
  <si>
    <t>C36230597</t>
  </si>
  <si>
    <t>Manoj Chikkamari</t>
  </si>
  <si>
    <t>C36230565</t>
  </si>
  <si>
    <t>Tenugula Soniya</t>
  </si>
  <si>
    <t>C36230787</t>
  </si>
  <si>
    <t xml:space="preserve">Karre Jaya </t>
  </si>
  <si>
    <t>C36231005</t>
  </si>
  <si>
    <t>rajesh budihal</t>
  </si>
  <si>
    <t>C36230560</t>
  </si>
  <si>
    <t>SONY Software Development Centre</t>
  </si>
  <si>
    <t xml:space="preserve"> Dhanalakota Meghana Varma</t>
  </si>
  <si>
    <t>C36230730</t>
  </si>
  <si>
    <t xml:space="preserve"> Doddi Someswari</t>
  </si>
  <si>
    <t>C36230788</t>
  </si>
  <si>
    <t>Sheetal AT</t>
  </si>
  <si>
    <t xml:space="preserve">Kondepati Satya Anusha </t>
  </si>
  <si>
    <t>C36230555</t>
  </si>
  <si>
    <t>Ritesh Kumar Mishra</t>
  </si>
  <si>
    <t>C36230567</t>
  </si>
  <si>
    <t>Vikash Kumar</t>
  </si>
  <si>
    <t>O36230022</t>
  </si>
  <si>
    <t>Mohammad Osman Khan</t>
  </si>
  <si>
    <t>C36230622</t>
  </si>
  <si>
    <t>Durga Prasad</t>
  </si>
  <si>
    <t>C36230568</t>
  </si>
  <si>
    <t xml:space="preserve"> Anithasree Eswaramoorthi </t>
  </si>
  <si>
    <t>C36230569</t>
  </si>
  <si>
    <t>Vuppu Divya</t>
  </si>
  <si>
    <t>C36230789</t>
  </si>
  <si>
    <t>Bantu Anjali</t>
  </si>
  <si>
    <t>C36230822</t>
  </si>
  <si>
    <t>Bandi Geetha</t>
  </si>
  <si>
    <t>C36230790</t>
  </si>
  <si>
    <t xml:space="preserve">Azmeera Naveen </t>
  </si>
  <si>
    <t>C36230823</t>
  </si>
  <si>
    <t>Siva Naga</t>
  </si>
  <si>
    <t>Antati Deekshith</t>
  </si>
  <si>
    <t>Sandeep S L</t>
  </si>
  <si>
    <t>C36230773</t>
  </si>
  <si>
    <t>Deloitte - Advisory</t>
  </si>
  <si>
    <t xml:space="preserve">Sachin Virupaksha Naik </t>
  </si>
  <si>
    <t>C36230601</t>
  </si>
  <si>
    <t>Riya Sharma</t>
  </si>
  <si>
    <t>C36230653</t>
  </si>
  <si>
    <t xml:space="preserve">Suresh Bhagam </t>
  </si>
  <si>
    <t>C36230578</t>
  </si>
  <si>
    <t xml:space="preserve">Priyanka Vaskula </t>
  </si>
  <si>
    <t>C36230791</t>
  </si>
  <si>
    <t>Surya  Udhayan</t>
  </si>
  <si>
    <t>C36230581</t>
  </si>
  <si>
    <t>Guru Priya</t>
  </si>
  <si>
    <t>Geethika Ch</t>
  </si>
  <si>
    <t xml:space="preserve"> T Pavitra </t>
  </si>
  <si>
    <t>C36230596</t>
  </si>
  <si>
    <t>Kartik Juneja</t>
  </si>
  <si>
    <t>C36230716</t>
  </si>
  <si>
    <t>Pallakonda  Manasa</t>
  </si>
  <si>
    <t>C36230792</t>
  </si>
  <si>
    <t xml:space="preserve">Mohammed Shanoor baba </t>
  </si>
  <si>
    <t>C36230803</t>
  </si>
  <si>
    <t xml:space="preserve">Basiri Sravanthi </t>
  </si>
  <si>
    <t>C36230642</t>
  </si>
  <si>
    <t>Shaik Nazeema</t>
  </si>
  <si>
    <t>C36230583</t>
  </si>
  <si>
    <t>Arun K</t>
  </si>
  <si>
    <t>O36230024</t>
  </si>
  <si>
    <t>Nikitha N</t>
  </si>
  <si>
    <t>C36230771</t>
  </si>
  <si>
    <t>Dhanushree K</t>
  </si>
  <si>
    <t>C36230584</t>
  </si>
  <si>
    <t>Gurpreet  Singh</t>
  </si>
  <si>
    <t>C36230598</t>
  </si>
  <si>
    <t xml:space="preserve">Arun kumar </t>
  </si>
  <si>
    <t>C36230615</t>
  </si>
  <si>
    <t>Krishna priya</t>
  </si>
  <si>
    <t>Rucha Dilip Dasalkar</t>
  </si>
  <si>
    <t>C36230591</t>
  </si>
  <si>
    <t>Ishan  Pachauri</t>
  </si>
  <si>
    <t>C36230593</t>
  </si>
  <si>
    <t>Radha Thapa</t>
  </si>
  <si>
    <t>C36230714</t>
  </si>
  <si>
    <t xml:space="preserve"> Koluguri Sreeja </t>
  </si>
  <si>
    <t>C36230907</t>
  </si>
  <si>
    <t xml:space="preserve">Prachi </t>
  </si>
  <si>
    <t>C36230604</t>
  </si>
  <si>
    <t>Preethi Hindu</t>
  </si>
  <si>
    <t>M Bharathi</t>
  </si>
  <si>
    <t>C36230621</t>
  </si>
  <si>
    <t>C36230748</t>
  </si>
  <si>
    <t>Vinith M</t>
  </si>
  <si>
    <t>Venkata Pemmaka</t>
  </si>
  <si>
    <t>O36230023</t>
  </si>
  <si>
    <t>Sukanta Kumar Khadanga</t>
  </si>
  <si>
    <t>C36230585</t>
  </si>
  <si>
    <t>Syed Wasif  Sabzwari</t>
  </si>
  <si>
    <t>C36230586</t>
  </si>
  <si>
    <t>Ponnanna K M</t>
  </si>
  <si>
    <t>C36230602</t>
  </si>
  <si>
    <t xml:space="preserve">Premanand </t>
  </si>
  <si>
    <t>C36230595</t>
  </si>
  <si>
    <t xml:space="preserve">SrinivasÂ ReddyÂ Reddem </t>
  </si>
  <si>
    <t>C36230594</t>
  </si>
  <si>
    <t>Kashif Nabi</t>
  </si>
  <si>
    <t>C36230746</t>
  </si>
  <si>
    <t>Pucha Kranthi kumar</t>
  </si>
  <si>
    <t>C36231749</t>
  </si>
  <si>
    <t>Subham Mohanty</t>
  </si>
  <si>
    <t>C36230715</t>
  </si>
  <si>
    <t>Vinayak Kamath</t>
  </si>
  <si>
    <t xml:space="preserve">Bhimanani Shivani </t>
  </si>
  <si>
    <t>C36230869</t>
  </si>
  <si>
    <t>Kommu Sai Bhavana</t>
  </si>
  <si>
    <t>C36230840</t>
  </si>
  <si>
    <t>P Anirudh</t>
  </si>
  <si>
    <t>C36230848</t>
  </si>
  <si>
    <t>priyanka bojini</t>
  </si>
  <si>
    <t>C36230849</t>
  </si>
  <si>
    <t>Ashutosh Pandey</t>
  </si>
  <si>
    <t>C36230603</t>
  </si>
  <si>
    <t>N Snigdha</t>
  </si>
  <si>
    <t>C36230850</t>
  </si>
  <si>
    <t>Ranadhir S</t>
  </si>
  <si>
    <t>C36230599</t>
  </si>
  <si>
    <t>Nagaraju Pasam</t>
  </si>
  <si>
    <t>C36230606</t>
  </si>
  <si>
    <t>Vaani Polasa</t>
  </si>
  <si>
    <t>C36230793</t>
  </si>
  <si>
    <t>Vamsidhar Reddy  Marreddy</t>
  </si>
  <si>
    <t>C36230626</t>
  </si>
  <si>
    <t>Socgen</t>
  </si>
  <si>
    <t>Gundam Mounika</t>
  </si>
  <si>
    <t>C36230824</t>
  </si>
  <si>
    <t>Anita Gopichand Dhadake</t>
  </si>
  <si>
    <t>C36230600</t>
  </si>
  <si>
    <t>Palla Yogendara Bala Anant Kumar</t>
  </si>
  <si>
    <t>C36230928</t>
  </si>
  <si>
    <t>sujitha v</t>
  </si>
  <si>
    <t>C36230607</t>
  </si>
  <si>
    <t>Thammineni Praveen Kumar Reddy</t>
  </si>
  <si>
    <t>C36230717</t>
  </si>
  <si>
    <t>Uma Sundar</t>
  </si>
  <si>
    <t>C36230608</t>
  </si>
  <si>
    <t>Sai S</t>
  </si>
  <si>
    <t>Sunitha V</t>
  </si>
  <si>
    <t>Ramireddy Bharathi</t>
  </si>
  <si>
    <t>C36230616</t>
  </si>
  <si>
    <t>Swiss Re</t>
  </si>
  <si>
    <t>Hemant Daiya</t>
  </si>
  <si>
    <t>O36230025</t>
  </si>
  <si>
    <t>Karthik V</t>
  </si>
  <si>
    <t>Nikhil Madhukar Ghadi</t>
  </si>
  <si>
    <t>C36230718</t>
  </si>
  <si>
    <t>Devansh Choudhary</t>
  </si>
  <si>
    <t>C36230741</t>
  </si>
  <si>
    <t>Deloitte_Consulting</t>
  </si>
  <si>
    <t>Supriya B</t>
  </si>
  <si>
    <t>C36230624</t>
  </si>
  <si>
    <t>Barigela Supriya</t>
  </si>
  <si>
    <t>C36230617</t>
  </si>
  <si>
    <t>Korubelli Vamsi</t>
  </si>
  <si>
    <t>C36230664</t>
  </si>
  <si>
    <t xml:space="preserve">Aishwarya </t>
  </si>
  <si>
    <t>C36230609</t>
  </si>
  <si>
    <t>Mohammad Mehtab Ali</t>
  </si>
  <si>
    <t>C36230888</t>
  </si>
  <si>
    <t>Jaisal RP</t>
  </si>
  <si>
    <t xml:space="preserve">Chilakamari Sravankumar  </t>
  </si>
  <si>
    <t>C36230719</t>
  </si>
  <si>
    <t>Pratiksha Dattatray  Samindre</t>
  </si>
  <si>
    <t>C36230645</t>
  </si>
  <si>
    <t>rajeev krishna</t>
  </si>
  <si>
    <t>AMEY NITIN TAVKAR</t>
  </si>
  <si>
    <t>C36230605</t>
  </si>
  <si>
    <t>Wolters Kluwer-India</t>
  </si>
  <si>
    <t>Pallavi N</t>
  </si>
  <si>
    <t>C36230618</t>
  </si>
  <si>
    <t>Shinoy EK</t>
  </si>
  <si>
    <t xml:space="preserve">M.Sowmya </t>
  </si>
  <si>
    <t>O36230031</t>
  </si>
  <si>
    <t>Schneider Electric</t>
  </si>
  <si>
    <t>Divya Dharman</t>
  </si>
  <si>
    <t>C36230772</t>
  </si>
  <si>
    <t xml:space="preserve">Sumithra </t>
  </si>
  <si>
    <t>C36230815</t>
  </si>
  <si>
    <t>Mantesh R Pol</t>
  </si>
  <si>
    <t>C36230751</t>
  </si>
  <si>
    <t>Pankaj Yadav</t>
  </si>
  <si>
    <t>C36230623</t>
  </si>
  <si>
    <t xml:space="preserve">Sindhura Sadhanala </t>
  </si>
  <si>
    <t>C36230731</t>
  </si>
  <si>
    <t>Thakur Sharanya Singh</t>
  </si>
  <si>
    <t>C36230873</t>
  </si>
  <si>
    <t>Siripurapu Nagamani</t>
  </si>
  <si>
    <t>C36230851</t>
  </si>
  <si>
    <t>Vangalapudi Baby Shalini</t>
  </si>
  <si>
    <t>C36230852</t>
  </si>
  <si>
    <t>Ajay Gupta</t>
  </si>
  <si>
    <t>C36230643</t>
  </si>
  <si>
    <t>Sreekala M</t>
  </si>
  <si>
    <t>C36230654</t>
  </si>
  <si>
    <t>Shruti Rupesh  Gaud</t>
  </si>
  <si>
    <t>C36230627</t>
  </si>
  <si>
    <t xml:space="preserve">Midhin Muralidharan </t>
  </si>
  <si>
    <t>C36230698</t>
  </si>
  <si>
    <t>Jyothsna Y</t>
  </si>
  <si>
    <t>Deekshith A</t>
  </si>
  <si>
    <t>Somesh Neela</t>
  </si>
  <si>
    <t>C36230776</t>
  </si>
  <si>
    <t>Gourishetty Saikiran</t>
  </si>
  <si>
    <t>C36230783</t>
  </si>
  <si>
    <t>Vaishnavi G</t>
  </si>
  <si>
    <t>Shoeb Ahmed</t>
  </si>
  <si>
    <t xml:space="preserve">Anthagiri Sankeerthana </t>
  </si>
  <si>
    <t>C36230794</t>
  </si>
  <si>
    <t xml:space="preserve">Chennu Jyostna </t>
  </si>
  <si>
    <t>C36230795</t>
  </si>
  <si>
    <t>Katkuri Mahadev</t>
  </si>
  <si>
    <t>C36230813</t>
  </si>
  <si>
    <t>Dinesh  Bhupathi</t>
  </si>
  <si>
    <t>C36230703</t>
  </si>
  <si>
    <t>Swetha Bachu</t>
  </si>
  <si>
    <t>C36230796</t>
  </si>
  <si>
    <t>Harini Sanamandra</t>
  </si>
  <si>
    <t>C36230676</t>
  </si>
  <si>
    <t xml:space="preserve">Mohammed Khaja Moinuddin </t>
  </si>
  <si>
    <t>C36230804</t>
  </si>
  <si>
    <t xml:space="preserve">Bhupendra </t>
  </si>
  <si>
    <t>O36230026</t>
  </si>
  <si>
    <t>Bilasini Tripathy</t>
  </si>
  <si>
    <t>Jowin</t>
  </si>
  <si>
    <t>C36230665</t>
  </si>
  <si>
    <t>Mangesh Suresh Jadhav</t>
  </si>
  <si>
    <t>O36230029</t>
  </si>
  <si>
    <t xml:space="preserve">K Selvi </t>
  </si>
  <si>
    <t>C36230760</t>
  </si>
  <si>
    <t xml:space="preserve"> Sourabh Sharma</t>
  </si>
  <si>
    <t>C36230724</t>
  </si>
  <si>
    <t>M Rakesh</t>
  </si>
  <si>
    <t>C36230745</t>
  </si>
  <si>
    <t>Pullamshetti Mahima Bharathi</t>
  </si>
  <si>
    <t>C36230825</t>
  </si>
  <si>
    <t>Gollapally Divya</t>
  </si>
  <si>
    <t>C36230797</t>
  </si>
  <si>
    <t xml:space="preserve">Shaik Mehataz </t>
  </si>
  <si>
    <t>C36230805</t>
  </si>
  <si>
    <t xml:space="preserve"> PODICHETI ANUSHA</t>
  </si>
  <si>
    <t>C36230826</t>
  </si>
  <si>
    <t>Sruthi Jayakumar Venidevi</t>
  </si>
  <si>
    <t>C36230752</t>
  </si>
  <si>
    <t>Ramagiri Lakshmi Prasanna</t>
  </si>
  <si>
    <t>C36230798</t>
  </si>
  <si>
    <t>Manchineella Sivaraj</t>
  </si>
  <si>
    <t>C36230655</t>
  </si>
  <si>
    <t xml:space="preserve">Sharyu Ganesh Gurav </t>
  </si>
  <si>
    <t>C36230784</t>
  </si>
  <si>
    <t>Pratiksha Sheshrao  Bhalerao</t>
  </si>
  <si>
    <t>C36230723</t>
  </si>
  <si>
    <t>Abraham Mathews Thumbunkal</t>
  </si>
  <si>
    <t>C36230720</t>
  </si>
  <si>
    <t>Santosh Samantasinghar</t>
  </si>
  <si>
    <t>C36230677</t>
  </si>
  <si>
    <t>Don Bosco</t>
  </si>
  <si>
    <t>Swapnil Patel</t>
  </si>
  <si>
    <t>C36230777</t>
  </si>
  <si>
    <t>Mamtha V</t>
  </si>
  <si>
    <t>Nivedreddy Pola</t>
  </si>
  <si>
    <t>C36230721</t>
  </si>
  <si>
    <t>Salim Parvez Shaikh</t>
  </si>
  <si>
    <t>C36230765</t>
  </si>
  <si>
    <t xml:space="preserve">Dikshith H M </t>
  </si>
  <si>
    <t>C36230701</t>
  </si>
  <si>
    <t>Capgemini-Bangalore</t>
  </si>
  <si>
    <t>vamsi</t>
  </si>
  <si>
    <t xml:space="preserve"> Daulagar Harshitha </t>
  </si>
  <si>
    <t>C36230908</t>
  </si>
  <si>
    <t>Keerthana L</t>
  </si>
  <si>
    <t>C36230925</t>
  </si>
  <si>
    <t>Saladi Sai Kiran</t>
  </si>
  <si>
    <t>C36230872</t>
  </si>
  <si>
    <t>Thrupthi S</t>
  </si>
  <si>
    <t>Kosuru  Surya Narayana</t>
  </si>
  <si>
    <t>C36230762</t>
  </si>
  <si>
    <t>Priya Kumar  Deshwan</t>
  </si>
  <si>
    <t>C36230749</t>
  </si>
  <si>
    <t xml:space="preserve">E Venkatesh </t>
  </si>
  <si>
    <t>C36230732</t>
  </si>
  <si>
    <t xml:space="preserve">Deblina Chatterjee </t>
  </si>
  <si>
    <t>C36231359</t>
  </si>
  <si>
    <t>Erpula Lalitha</t>
  </si>
  <si>
    <t>C36230767</t>
  </si>
  <si>
    <t>Ashok Aravind Yalaka</t>
  </si>
  <si>
    <t>C36230799</t>
  </si>
  <si>
    <t>Kavya  R B</t>
  </si>
  <si>
    <t>C36230743</t>
  </si>
  <si>
    <t>Pooja Bhuvaneshwar Kumar</t>
  </si>
  <si>
    <t>C36230747</t>
  </si>
  <si>
    <t>Shajini S</t>
  </si>
  <si>
    <t>C36230924</t>
  </si>
  <si>
    <t xml:space="preserve"> Peddiboyina Nagaraju</t>
  </si>
  <si>
    <t>C36230754</t>
  </si>
  <si>
    <t>Hima Bindu</t>
  </si>
  <si>
    <t>C36230769</t>
  </si>
  <si>
    <t>Varshini Muneeshwaran</t>
  </si>
  <si>
    <t>C36230733</t>
  </si>
  <si>
    <t xml:space="preserve">Megavardhini </t>
  </si>
  <si>
    <t>C36230734</t>
  </si>
  <si>
    <t>Antoinette Hyacinth Nancy</t>
  </si>
  <si>
    <t>C36231515</t>
  </si>
  <si>
    <t>Brindha Gopalakrishnan</t>
  </si>
  <si>
    <t>C36230853</t>
  </si>
  <si>
    <t>Mohd Baasit Abdul Rauf</t>
  </si>
  <si>
    <t>C36230785</t>
  </si>
  <si>
    <t>Madhava S</t>
  </si>
  <si>
    <t>C36230841</t>
  </si>
  <si>
    <t>Chikiripally  Niveditha Goud</t>
  </si>
  <si>
    <t>C36230806</t>
  </si>
  <si>
    <t xml:space="preserve"> Pavani Gundabommu</t>
  </si>
  <si>
    <t>C36230827</t>
  </si>
  <si>
    <t>Archana</t>
  </si>
  <si>
    <t>C36230829</t>
  </si>
  <si>
    <t xml:space="preserve">S Reshma </t>
  </si>
  <si>
    <t>C36230750</t>
  </si>
  <si>
    <t xml:space="preserve"> Canaka Sneha  Deepthi</t>
  </si>
  <si>
    <t>C36230800</t>
  </si>
  <si>
    <t>santhosh B</t>
  </si>
  <si>
    <t>Tara VR</t>
  </si>
  <si>
    <t xml:space="preserve">N C Kathiravan </t>
  </si>
  <si>
    <t>C36230722</t>
  </si>
  <si>
    <t xml:space="preserve">Gundupalli Swarna Sherlin Ratna </t>
  </si>
  <si>
    <t>C36231024</t>
  </si>
  <si>
    <t xml:space="preserve">Bynagari Shalem Raju </t>
  </si>
  <si>
    <t>C36230828</t>
  </si>
  <si>
    <t xml:space="preserve">Bagili Gnaneshwar </t>
  </si>
  <si>
    <t>C36231025</t>
  </si>
  <si>
    <t>Lavani Yasheer</t>
  </si>
  <si>
    <t>Prem Nath Pandey</t>
  </si>
  <si>
    <t>C36230737</t>
  </si>
  <si>
    <t>Vikash Kumar  Sinha</t>
  </si>
  <si>
    <t>C36230742</t>
  </si>
  <si>
    <t>Sumanth K</t>
  </si>
  <si>
    <t xml:space="preserve">Poorab Yashwant Patil </t>
  </si>
  <si>
    <t>C36230744</t>
  </si>
  <si>
    <t xml:space="preserve">Pathi Navya </t>
  </si>
  <si>
    <t>C36230801</t>
  </si>
  <si>
    <t xml:space="preserve"> B Vinod Kumar Reddy</t>
  </si>
  <si>
    <t>O36230028</t>
  </si>
  <si>
    <t>Ashish Gupta</t>
  </si>
  <si>
    <t>O36230030</t>
  </si>
  <si>
    <t xml:space="preserve">Komal  Satish Nalawade </t>
  </si>
  <si>
    <t>C36230921</t>
  </si>
  <si>
    <t>Shashank B</t>
  </si>
  <si>
    <t>C36230766</t>
  </si>
  <si>
    <t xml:space="preserve">Yarrasani Venkatesh Yadav </t>
  </si>
  <si>
    <t>O36230027</t>
  </si>
  <si>
    <t>Abdusamad KP</t>
  </si>
  <si>
    <t>C36230912</t>
  </si>
  <si>
    <t>Ayendrilla Saha</t>
  </si>
  <si>
    <t>C36230842</t>
  </si>
  <si>
    <t>Jyotsna Yadav</t>
  </si>
  <si>
    <t>C36230837</t>
  </si>
  <si>
    <t xml:space="preserve">Kadali Mahesh </t>
  </si>
  <si>
    <t>C36230996</t>
  </si>
  <si>
    <t>Vidya Bharthi</t>
  </si>
  <si>
    <t>Telluri Lenin</t>
  </si>
  <si>
    <t>C36230922</t>
  </si>
  <si>
    <t xml:space="preserve">Naseeruddin </t>
  </si>
  <si>
    <t>C36230802</t>
  </si>
  <si>
    <t xml:space="preserve">Ajith Kumar Raja </t>
  </si>
  <si>
    <t>C36231892</t>
  </si>
  <si>
    <t>Roshan  Zameer</t>
  </si>
  <si>
    <t>C36230757</t>
  </si>
  <si>
    <t xml:space="preserve">S Swetha </t>
  </si>
  <si>
    <t>C36230758</t>
  </si>
  <si>
    <t>Aditya Dilip  Gaud</t>
  </si>
  <si>
    <t>C36230755</t>
  </si>
  <si>
    <t>Uday V</t>
  </si>
  <si>
    <t>C36230774</t>
  </si>
  <si>
    <t>Maneesha</t>
  </si>
  <si>
    <t>C36240072</t>
  </si>
  <si>
    <t>Shivani S</t>
  </si>
  <si>
    <t>C36230942</t>
  </si>
  <si>
    <t>Ganesh  Selvaraj</t>
  </si>
  <si>
    <t>C36230861</t>
  </si>
  <si>
    <t>Poonamdevi  Maurya</t>
  </si>
  <si>
    <t>C36230753</t>
  </si>
  <si>
    <t>Megha Bharti</t>
  </si>
  <si>
    <t>C36230896</t>
  </si>
  <si>
    <t>Ashwini Vishwakarma</t>
  </si>
  <si>
    <t>Vinod K</t>
  </si>
  <si>
    <t>Arjun Tyagi</t>
  </si>
  <si>
    <t>C36230832</t>
  </si>
  <si>
    <t>CME</t>
  </si>
  <si>
    <t xml:space="preserve">Raghavendra Adappagoudar </t>
  </si>
  <si>
    <t>C36230759</t>
  </si>
  <si>
    <t>Rohit  Dodda</t>
  </si>
  <si>
    <t>C36230807</t>
  </si>
  <si>
    <t>Abhishek Singh</t>
  </si>
  <si>
    <t>C36230913</t>
  </si>
  <si>
    <t>Malladi Harika</t>
  </si>
  <si>
    <t>C36231137</t>
  </si>
  <si>
    <t>Dhumle  AKHILESH RAO PATIL</t>
  </si>
  <si>
    <t>C36230997</t>
  </si>
  <si>
    <t>G R  Mamatha</t>
  </si>
  <si>
    <t>C36230761</t>
  </si>
  <si>
    <t xml:space="preserve">Arun Mathai C </t>
  </si>
  <si>
    <t>C36230779</t>
  </si>
  <si>
    <t>Nandhini</t>
  </si>
  <si>
    <t>C36230816</t>
  </si>
  <si>
    <t xml:space="preserve"> Sunaina Mahajan </t>
  </si>
  <si>
    <t>C36230875</t>
  </si>
  <si>
    <t>C Geetha</t>
  </si>
  <si>
    <t>C36230859</t>
  </si>
  <si>
    <t>Tirumani Jyothi</t>
  </si>
  <si>
    <t>C36231116</t>
  </si>
  <si>
    <t>Singoju Vamshi Chary</t>
  </si>
  <si>
    <t>C36231006</t>
  </si>
  <si>
    <t>Venkata Sai Durga Purna Anjani</t>
  </si>
  <si>
    <t>C36230998</t>
  </si>
  <si>
    <t>Shaik Misba Farheen</t>
  </si>
  <si>
    <t>C36231035</t>
  </si>
  <si>
    <t>Md Sajeed</t>
  </si>
  <si>
    <t>C36231059</t>
  </si>
  <si>
    <t xml:space="preserve">Gaajanaboina Krishna Kumar  </t>
  </si>
  <si>
    <t>C36231046</t>
  </si>
  <si>
    <t>Nikhil Jacob George</t>
  </si>
  <si>
    <t>C36230844</t>
  </si>
  <si>
    <t>Kanakavalii Rajesh</t>
  </si>
  <si>
    <t>C36230862</t>
  </si>
  <si>
    <t>Avula  Srilaxmi</t>
  </si>
  <si>
    <t>C36231047</t>
  </si>
  <si>
    <t>Anumula Laxmi Praneeth</t>
  </si>
  <si>
    <t>C36231036</t>
  </si>
  <si>
    <t>Tella  Naga Tulasi</t>
  </si>
  <si>
    <t>C36231118</t>
  </si>
  <si>
    <t>Chintakayala Chinna Kurmarao</t>
  </si>
  <si>
    <t>C36231048</t>
  </si>
  <si>
    <t>Bommanapalli Naga Lakshmi Divya Sree</t>
  </si>
  <si>
    <t>C36231072</t>
  </si>
  <si>
    <t>Natti Sreelekha</t>
  </si>
  <si>
    <t>C36231073</t>
  </si>
  <si>
    <t>Rahul Desai</t>
  </si>
  <si>
    <t>C36230770</t>
  </si>
  <si>
    <t xml:space="preserve">Satuluri Beaula </t>
  </si>
  <si>
    <t>C36231049</t>
  </si>
  <si>
    <t>Rishav Raj</t>
  </si>
  <si>
    <t>C36230860</t>
  </si>
  <si>
    <t>Raksha S</t>
  </si>
  <si>
    <t>C36230764</t>
  </si>
  <si>
    <t xml:space="preserve">Abhishek Ramakant Rane </t>
  </si>
  <si>
    <t>C36230923</t>
  </si>
  <si>
    <t>Hrishikesh Rajendra  Sawant</t>
  </si>
  <si>
    <t>C36230886</t>
  </si>
  <si>
    <t>Suvarna rohidas  Patil</t>
  </si>
  <si>
    <t>C36230782</t>
  </si>
  <si>
    <t>Rituraj  Gautam Jadhav</t>
  </si>
  <si>
    <t>C36230878</t>
  </si>
  <si>
    <t>Daya Rajan</t>
  </si>
  <si>
    <t>C36230855</t>
  </si>
  <si>
    <t xml:space="preserve">Komuravelly Ganesh </t>
  </si>
  <si>
    <t>C36231026</t>
  </si>
  <si>
    <t>Sayeera  Banu</t>
  </si>
  <si>
    <t>C36230914</t>
  </si>
  <si>
    <t>Meghna Avvaru</t>
  </si>
  <si>
    <t>C36231122</t>
  </si>
  <si>
    <t>Gakka Vinay kumar</t>
  </si>
  <si>
    <t>C36231291</t>
  </si>
  <si>
    <t>Moin Khan</t>
  </si>
  <si>
    <t xml:space="preserve"> Makkala Sanjeev  Kumar</t>
  </si>
  <si>
    <t>C36231012</t>
  </si>
  <si>
    <t>Zimmer Zaheer</t>
  </si>
  <si>
    <t>C36230870</t>
  </si>
  <si>
    <t xml:space="preserve">Abdul Iliyas </t>
  </si>
  <si>
    <t>C36231013</t>
  </si>
  <si>
    <t>Jukanti Priyanka</t>
  </si>
  <si>
    <t>C36231014</t>
  </si>
  <si>
    <t xml:space="preserve">Shiramsetty Sweekar </t>
  </si>
  <si>
    <t>C36231021</t>
  </si>
  <si>
    <t>Kanapuram Sreelekha</t>
  </si>
  <si>
    <t>C36231015</t>
  </si>
  <si>
    <t>Muhammed Iqbal</t>
  </si>
  <si>
    <t>Lokesh Prathapaneni</t>
  </si>
  <si>
    <t>O36230032</t>
  </si>
  <si>
    <t>Tirupathi Chenchu Sunandha</t>
  </si>
  <si>
    <t>C36231123</t>
  </si>
  <si>
    <t>Kurella Matsyagiri</t>
  </si>
  <si>
    <t>C36231022</t>
  </si>
  <si>
    <t>Narra Niharika</t>
  </si>
  <si>
    <t>C36231016</t>
  </si>
  <si>
    <t>Arpita Biswal</t>
  </si>
  <si>
    <t xml:space="preserve">Suresh P  </t>
  </si>
  <si>
    <t>C36232160</t>
  </si>
  <si>
    <t>V Bhanu Chander</t>
  </si>
  <si>
    <t>C36231050</t>
  </si>
  <si>
    <t>Dakkumalla Rajesh</t>
  </si>
  <si>
    <t>C36231051</t>
  </si>
  <si>
    <t>Prince  Anciya J</t>
  </si>
  <si>
    <t>C36230808</t>
  </si>
  <si>
    <t>Sushma Pinto</t>
  </si>
  <si>
    <t>C36230781</t>
  </si>
  <si>
    <t xml:space="preserve">Sandhya M </t>
  </si>
  <si>
    <t>C36232233</t>
  </si>
  <si>
    <t>Vaishnavi Kakad</t>
  </si>
  <si>
    <t>O36230033</t>
  </si>
  <si>
    <t>Chengali Narsing Rao</t>
  </si>
  <si>
    <t>C36230809</t>
  </si>
  <si>
    <t>Charuta Mahendra Jadhav</t>
  </si>
  <si>
    <t>C36230915</t>
  </si>
  <si>
    <t xml:space="preserve"> Puli SUSEEL PADMA TEJ</t>
  </si>
  <si>
    <t>C36230834</t>
  </si>
  <si>
    <t>M srinivas</t>
  </si>
  <si>
    <t>C36230999</t>
  </si>
  <si>
    <t>Harshit Agarwal</t>
  </si>
  <si>
    <t>C36230965</t>
  </si>
  <si>
    <t>Venu Gopal Reddy</t>
  </si>
  <si>
    <t>O36230034</t>
  </si>
  <si>
    <t xml:space="preserve">Sunitha Dhondaley </t>
  </si>
  <si>
    <t>C36240200</t>
  </si>
  <si>
    <t>Deepa  Kumari</t>
  </si>
  <si>
    <t>C36230946</t>
  </si>
  <si>
    <t>D Vanisha Anand</t>
  </si>
  <si>
    <t>C36230780</t>
  </si>
  <si>
    <t>Perla Uday Shankar</t>
  </si>
  <si>
    <t>C36230863</t>
  </si>
  <si>
    <t>Karnikasri P</t>
  </si>
  <si>
    <t>Ravi Ranjan</t>
  </si>
  <si>
    <t>C36230887</t>
  </si>
  <si>
    <t>Chirant S</t>
  </si>
  <si>
    <t>C36230846</t>
  </si>
  <si>
    <t>Vipul Chauhan</t>
  </si>
  <si>
    <t>C36230992</t>
  </si>
  <si>
    <t>Harshitha K</t>
  </si>
  <si>
    <t>C36230865</t>
  </si>
  <si>
    <t>Tarushi Narang</t>
  </si>
  <si>
    <t>C36230838</t>
  </si>
  <si>
    <t>Lijo Stephen</t>
  </si>
  <si>
    <t>C36230839</t>
  </si>
  <si>
    <t>Priyanka M</t>
  </si>
  <si>
    <t>C36230919</t>
  </si>
  <si>
    <t>Priyusha Bandlore Srinivasa</t>
  </si>
  <si>
    <t>C36230879</t>
  </si>
  <si>
    <t>Priya Darshini Sahu</t>
  </si>
  <si>
    <t>C36230880</t>
  </si>
  <si>
    <t>Bhuvaneshwari  S</t>
  </si>
  <si>
    <t>C36230941</t>
  </si>
  <si>
    <t>Sowmiya V</t>
  </si>
  <si>
    <t>C36230920</t>
  </si>
  <si>
    <t xml:space="preserve">Merugu Saikiran </t>
  </si>
  <si>
    <t>C36231027</t>
  </si>
  <si>
    <t xml:space="preserve">Dusa Naveen  </t>
  </si>
  <si>
    <t>C36231037</t>
  </si>
  <si>
    <t xml:space="preserve">Pagilla Ashwini </t>
  </si>
  <si>
    <t>C36231000</t>
  </si>
  <si>
    <t>Savan Somaiah T P</t>
  </si>
  <si>
    <t>C36230893</t>
  </si>
  <si>
    <t>Nanthini Ravi</t>
  </si>
  <si>
    <t>C36230856</t>
  </si>
  <si>
    <t>Charles Challiah JS</t>
  </si>
  <si>
    <t>C36230906</t>
  </si>
  <si>
    <t xml:space="preserve">Pinjari Hussaini </t>
  </si>
  <si>
    <t>O36230035</t>
  </si>
  <si>
    <t>MANJUNATHA J</t>
  </si>
  <si>
    <t>C36231160</t>
  </si>
  <si>
    <t>C36231663</t>
  </si>
  <si>
    <t>Sampreetha R</t>
  </si>
  <si>
    <t>C36230810</t>
  </si>
  <si>
    <t>Jyothika R</t>
  </si>
  <si>
    <t>C36230866</t>
  </si>
  <si>
    <t>Jessica J</t>
  </si>
  <si>
    <t>C36230871</t>
  </si>
  <si>
    <t>Yamini Madan</t>
  </si>
  <si>
    <t>C36230847</t>
  </si>
  <si>
    <t>Pandiri Sripriya</t>
  </si>
  <si>
    <t>C36231028</t>
  </si>
  <si>
    <t>Daffini.M</t>
  </si>
  <si>
    <t>C36230867</t>
  </si>
  <si>
    <t>Neha Amreen</t>
  </si>
  <si>
    <t>C36231029</t>
  </si>
  <si>
    <t xml:space="preserve"> Kuruva Prasanna</t>
  </si>
  <si>
    <t>C36231030</t>
  </si>
  <si>
    <t>Kalyan Ch</t>
  </si>
  <si>
    <t>C36230931</t>
  </si>
  <si>
    <t>Sanjana  Kv</t>
  </si>
  <si>
    <t>C36230843</t>
  </si>
  <si>
    <t xml:space="preserve">S M Ashraf </t>
  </si>
  <si>
    <t>C36230836</t>
  </si>
  <si>
    <t>K  Sindhuja</t>
  </si>
  <si>
    <t>C36230835</t>
  </si>
  <si>
    <t xml:space="preserve">Gangaraju Upendra </t>
  </si>
  <si>
    <t>C36230831</t>
  </si>
  <si>
    <t xml:space="preserve">Bathala Lavanya </t>
  </si>
  <si>
    <t>C36231001</t>
  </si>
  <si>
    <t>Sajo Joseph</t>
  </si>
  <si>
    <t>Kongkham  Deepak Singh</t>
  </si>
  <si>
    <t>C36230884</t>
  </si>
  <si>
    <t>Dasari Shireesha</t>
  </si>
  <si>
    <t>C36231052</t>
  </si>
  <si>
    <t>Sethu Yamini</t>
  </si>
  <si>
    <t>C36231053</t>
  </si>
  <si>
    <t>Harshitha S</t>
  </si>
  <si>
    <t>Rakshanda  Rathore</t>
  </si>
  <si>
    <t>C36240302</t>
  </si>
  <si>
    <t>Sowmiya  Vijayan</t>
  </si>
  <si>
    <t>C36230940</t>
  </si>
  <si>
    <t xml:space="preserve">Mohammed  Zafar </t>
  </si>
  <si>
    <t>C36230958</t>
  </si>
  <si>
    <t>Devika Vasantha Shetty</t>
  </si>
  <si>
    <t>C36230874</t>
  </si>
  <si>
    <t>Aswathy M</t>
  </si>
  <si>
    <t>C36230897</t>
  </si>
  <si>
    <t xml:space="preserve">S Jagadambika </t>
  </si>
  <si>
    <t>C36230955</t>
  </si>
  <si>
    <t xml:space="preserve">Hina Fayaz </t>
  </si>
  <si>
    <t>C36230898</t>
  </si>
  <si>
    <t xml:space="preserve">Chelimala Susmitha </t>
  </si>
  <si>
    <t>C36231031</t>
  </si>
  <si>
    <t xml:space="preserve">Kunkatla Srinivas </t>
  </si>
  <si>
    <t>C36230864</t>
  </si>
  <si>
    <t>Aryan Ray</t>
  </si>
  <si>
    <t>C36230854</t>
  </si>
  <si>
    <t>Bheema Anand Kiran</t>
  </si>
  <si>
    <t>C36231148</t>
  </si>
  <si>
    <t>Gaddam Sony</t>
  </si>
  <si>
    <t>C36231054</t>
  </si>
  <si>
    <t xml:space="preserve">Pakkiri Venkata  Pavani </t>
  </si>
  <si>
    <t>C36231142</t>
  </si>
  <si>
    <t xml:space="preserve">Vivek Kumar </t>
  </si>
  <si>
    <t>O36230036</t>
  </si>
  <si>
    <t>Gonepoodi Nagaraja Kalyani</t>
  </si>
  <si>
    <t>C36231143</t>
  </si>
  <si>
    <t>Konda Rambabu</t>
  </si>
  <si>
    <t>C36231063</t>
  </si>
  <si>
    <t>Sukhvir Singh</t>
  </si>
  <si>
    <t>C36230881</t>
  </si>
  <si>
    <t>Joshi Biraju Arvindbhai</t>
  </si>
  <si>
    <t>C36231107</t>
  </si>
  <si>
    <t>Yashraj Arvind More</t>
  </si>
  <si>
    <t>C36231153</t>
  </si>
  <si>
    <t xml:space="preserve">Manne Madhu </t>
  </si>
  <si>
    <t>C36231104</t>
  </si>
  <si>
    <t>Chethan K</t>
  </si>
  <si>
    <t>Abhishek S</t>
  </si>
  <si>
    <t>C36230845</t>
  </si>
  <si>
    <t>Palla Mahesh</t>
  </si>
  <si>
    <t>C36230947</t>
  </si>
  <si>
    <t>C36230833</t>
  </si>
  <si>
    <t>Disha Lakhmani</t>
  </si>
  <si>
    <t>Munigala Arjun</t>
  </si>
  <si>
    <t>C36230983</t>
  </si>
  <si>
    <t xml:space="preserve">Shaik Abdul Rahman Al Amoodi </t>
  </si>
  <si>
    <t>C36230984</t>
  </si>
  <si>
    <t xml:space="preserve">Chandra Shekhar Singh Yadav </t>
  </si>
  <si>
    <t>C36231082</t>
  </si>
  <si>
    <t>Koch Industries</t>
  </si>
  <si>
    <t xml:space="preserve">Shelke Shubhangi </t>
  </si>
  <si>
    <t>C36231091</t>
  </si>
  <si>
    <t xml:space="preserve">Kongari Mahathi </t>
  </si>
  <si>
    <t>C36231038</t>
  </si>
  <si>
    <t>Ganesh Rao</t>
  </si>
  <si>
    <t>C36231098</t>
  </si>
  <si>
    <t>Genpact</t>
  </si>
  <si>
    <t>Redagani Sirisha</t>
  </si>
  <si>
    <t>C36231113</t>
  </si>
  <si>
    <t>Anusha  Savant</t>
  </si>
  <si>
    <t>C36230892</t>
  </si>
  <si>
    <t>Pothula Sravani</t>
  </si>
  <si>
    <t>C36231426</t>
  </si>
  <si>
    <t>Akhilesh Dilip domb</t>
  </si>
  <si>
    <t>C36230932</t>
  </si>
  <si>
    <t>Bojjani Sai Prasanna</t>
  </si>
  <si>
    <t>C36231387</t>
  </si>
  <si>
    <t xml:space="preserve">Kethavath Akanksha Rathod </t>
  </si>
  <si>
    <t>C36231411</t>
  </si>
  <si>
    <t xml:space="preserve">Gunji Venu Gopal </t>
  </si>
  <si>
    <t>C36231491</t>
  </si>
  <si>
    <t>ADAMA SUSHMITHA</t>
  </si>
  <si>
    <t>C36231060</t>
  </si>
  <si>
    <t>Madhumita Sinha</t>
  </si>
  <si>
    <t xml:space="preserve"> Mohit Kumar </t>
  </si>
  <si>
    <t>C36230948</t>
  </si>
  <si>
    <t xml:space="preserve">Thallapally Harish </t>
  </si>
  <si>
    <t>C36231055</t>
  </si>
  <si>
    <t>Syeda Zainab Muskan</t>
  </si>
  <si>
    <t>C36230882</t>
  </si>
  <si>
    <t>Mythily D</t>
  </si>
  <si>
    <t>C36230911</t>
  </si>
  <si>
    <t>Kaviya Prabha</t>
  </si>
  <si>
    <t>C36230927</t>
  </si>
  <si>
    <t>Hifziya Kouser</t>
  </si>
  <si>
    <t>C36230910</t>
  </si>
  <si>
    <t>Thandu Dinesh</t>
  </si>
  <si>
    <t>C36230990</t>
  </si>
  <si>
    <t>Devibala sathyanarayan</t>
  </si>
  <si>
    <t>C36230918</t>
  </si>
  <si>
    <t>Aathilakshmi M</t>
  </si>
  <si>
    <t>C36230905</t>
  </si>
  <si>
    <t>Vadla Arjun Kumar</t>
  </si>
  <si>
    <t>C36231127</t>
  </si>
  <si>
    <t xml:space="preserve"> Malkit Singh Manjeet singh Khemani</t>
  </si>
  <si>
    <t>C36230968</t>
  </si>
  <si>
    <t>Saifudeen</t>
  </si>
  <si>
    <t>C36230890</t>
  </si>
  <si>
    <t>Vishal  Rameshchand Maurya</t>
  </si>
  <si>
    <t>C36230926</t>
  </si>
  <si>
    <t>Nevin Abraham Kiliyilathu</t>
  </si>
  <si>
    <t>C36230904</t>
  </si>
  <si>
    <t xml:space="preserve">Sanaf Ilahi  Mulla </t>
  </si>
  <si>
    <t>C36231130</t>
  </si>
  <si>
    <t>Sobiya Shaik</t>
  </si>
  <si>
    <t>C36230876</t>
  </si>
  <si>
    <t>NetApp</t>
  </si>
  <si>
    <t>Smriti Choudhary</t>
  </si>
  <si>
    <t>C36230891</t>
  </si>
  <si>
    <t>Bhagyashri Vijaykumar Sharma</t>
  </si>
  <si>
    <t>C36230985</t>
  </si>
  <si>
    <t>Chandra Sekhar Das</t>
  </si>
  <si>
    <t>C36230909</t>
  </si>
  <si>
    <t>Vinay M S</t>
  </si>
  <si>
    <t>C36230903</t>
  </si>
  <si>
    <t>Saket Harsh</t>
  </si>
  <si>
    <t>O36230037</t>
  </si>
  <si>
    <t>Sirela Sravani</t>
  </si>
  <si>
    <t>C36231056</t>
  </si>
  <si>
    <t xml:space="preserve">Parepalli Manidhipa </t>
  </si>
  <si>
    <t>C36231057</t>
  </si>
  <si>
    <t>Arti Atul Wani</t>
  </si>
  <si>
    <t>C36230930</t>
  </si>
  <si>
    <t>Pradnya Pramod Surwade</t>
  </si>
  <si>
    <t>C36230916</t>
  </si>
  <si>
    <t>Kami Reddy Gouthami</t>
  </si>
  <si>
    <t>C36231039</t>
  </si>
  <si>
    <t>Pagilla Vinny</t>
  </si>
  <si>
    <t>C36231032</t>
  </si>
  <si>
    <t>Mallepogu Trideep Sai</t>
  </si>
  <si>
    <t>C36231040</t>
  </si>
  <si>
    <t xml:space="preserve">Manne Soundharaya </t>
  </si>
  <si>
    <t>C36231041</t>
  </si>
  <si>
    <t xml:space="preserve">CH Sravya </t>
  </si>
  <si>
    <t>C36231084</t>
  </si>
  <si>
    <t>Sankoju Vinod</t>
  </si>
  <si>
    <t>C36230986</t>
  </si>
  <si>
    <t>Malreddy Jhansi Laxmi</t>
  </si>
  <si>
    <t>C36231002</t>
  </si>
  <si>
    <t>Sandipta Panigrahi</t>
  </si>
  <si>
    <t>C36230883</t>
  </si>
  <si>
    <t>SHAIK Mujeeb</t>
  </si>
  <si>
    <t>C36231081</t>
  </si>
  <si>
    <t>Swarna Sai Datta Kumar</t>
  </si>
  <si>
    <t>C36231017</t>
  </si>
  <si>
    <t xml:space="preserve">Dodda Hari Krishna </t>
  </si>
  <si>
    <t>C36231077</t>
  </si>
  <si>
    <t>Hemanth T</t>
  </si>
  <si>
    <t>Praveen  K</t>
  </si>
  <si>
    <t>C36230877</t>
  </si>
  <si>
    <t>Badavath Ujwala</t>
  </si>
  <si>
    <t>C36231018</t>
  </si>
  <si>
    <t xml:space="preserve">Krithika </t>
  </si>
  <si>
    <t>C36230936</t>
  </si>
  <si>
    <t>Anish</t>
  </si>
  <si>
    <t>C36230899</t>
  </si>
  <si>
    <t xml:space="preserve">Sunil Kumar HN </t>
  </si>
  <si>
    <t>K B Sudharshan</t>
  </si>
  <si>
    <t>C36230939</t>
  </si>
  <si>
    <t>Ashwin Ashokan</t>
  </si>
  <si>
    <t>C36230900</t>
  </si>
  <si>
    <t>Usha St</t>
  </si>
  <si>
    <t>Gummadiraju Swetha</t>
  </si>
  <si>
    <t>C36230991</t>
  </si>
  <si>
    <t>Tejas  M</t>
  </si>
  <si>
    <t>C36230895</t>
  </si>
  <si>
    <t xml:space="preserve"> Vinay Rajesh Kahar</t>
  </si>
  <si>
    <t>C36231157</t>
  </si>
  <si>
    <t>Immadi Sai Krishna</t>
  </si>
  <si>
    <t>C36231112</t>
  </si>
  <si>
    <t>Durwesh Mohd Khaleel</t>
  </si>
  <si>
    <t>C36231007</t>
  </si>
  <si>
    <t>Nikhil  vp</t>
  </si>
  <si>
    <t>Maddirala Dinesh Narayana Reddy</t>
  </si>
  <si>
    <t>C36230894</t>
  </si>
  <si>
    <t xml:space="preserve"> Thaniru Venkat Ramana</t>
  </si>
  <si>
    <t>C36231008</t>
  </si>
  <si>
    <t>Gefrin .A</t>
  </si>
  <si>
    <t>C36230917</t>
  </si>
  <si>
    <t>Santhosh Kumar VS</t>
  </si>
  <si>
    <t>C36230943</t>
  </si>
  <si>
    <t xml:space="preserve">  Boddu Mounika </t>
  </si>
  <si>
    <t>C36231019</t>
  </si>
  <si>
    <t>Priyanka Tamrakar</t>
  </si>
  <si>
    <t>C36231003</t>
  </si>
  <si>
    <t>Sana Babu Shaikh</t>
  </si>
  <si>
    <t>C36230945</t>
  </si>
  <si>
    <t>Saloni  Pramod Palande</t>
  </si>
  <si>
    <t>C36230982</t>
  </si>
  <si>
    <t>Nidhi Amar Shringarpure</t>
  </si>
  <si>
    <t>C36230956</t>
  </si>
  <si>
    <t>Singa Pradeep</t>
  </si>
  <si>
    <t>C36231009</t>
  </si>
  <si>
    <t>Sneha Thakur</t>
  </si>
  <si>
    <t>C36231412</t>
  </si>
  <si>
    <t>Budhuru Vinod Kumar reddy</t>
  </si>
  <si>
    <t>C36231549</t>
  </si>
  <si>
    <t>Annapure reddy Gopireddy</t>
  </si>
  <si>
    <t>C36230957</t>
  </si>
  <si>
    <t>Sandeep Kumar</t>
  </si>
  <si>
    <t>C36230901</t>
  </si>
  <si>
    <t>Sumanta Bhattacharya</t>
  </si>
  <si>
    <t>C36231108</t>
  </si>
  <si>
    <t>Suman N</t>
  </si>
  <si>
    <t xml:space="preserve"> Priyanka Nath </t>
  </si>
  <si>
    <t>C36230949</t>
  </si>
  <si>
    <t>Shanu Baba</t>
  </si>
  <si>
    <t>C36231420</t>
  </si>
  <si>
    <t xml:space="preserve">MB Jyoshna </t>
  </si>
  <si>
    <t>C36231042</t>
  </si>
  <si>
    <t>L Ashik Ali</t>
  </si>
  <si>
    <t>C36230929</t>
  </si>
  <si>
    <t>Shah Samee Alvi</t>
  </si>
  <si>
    <t>C36231413</t>
  </si>
  <si>
    <t xml:space="preserve"> Karthik Prasad </t>
  </si>
  <si>
    <t>C36230950</t>
  </si>
  <si>
    <t>Ganagarapu Prem Swaroop</t>
  </si>
  <si>
    <t>C36231078</t>
  </si>
  <si>
    <t xml:space="preserve">Sindhuja </t>
  </si>
  <si>
    <t>C36230933</t>
  </si>
  <si>
    <t>Reena  Rameshchandra  Yadav</t>
  </si>
  <si>
    <t>C36230938</t>
  </si>
  <si>
    <t>Nivetha M</t>
  </si>
  <si>
    <t>Anmol K</t>
  </si>
  <si>
    <t>Gurudutt kh</t>
  </si>
  <si>
    <t xml:space="preserve"> Rachapalli Nikitha </t>
  </si>
  <si>
    <t>C36231023</t>
  </si>
  <si>
    <t>Shrimai NY</t>
  </si>
  <si>
    <t>Vaishali Amit Khangar</t>
  </si>
  <si>
    <t>C36230987</t>
  </si>
  <si>
    <t>Rameswari Patro</t>
  </si>
  <si>
    <t>C36231105</t>
  </si>
  <si>
    <t xml:space="preserve">Dontamsetty Lohith </t>
  </si>
  <si>
    <t>C36231364</t>
  </si>
  <si>
    <t>Saras Sanjay Shinde</t>
  </si>
  <si>
    <t>C36230934</t>
  </si>
  <si>
    <t>Manda Ushodaya</t>
  </si>
  <si>
    <t>Naveen Kumar B</t>
  </si>
  <si>
    <t>C36230988</t>
  </si>
  <si>
    <t>Raja Shekhar</t>
  </si>
  <si>
    <t>Somina  Manikanta Manohar</t>
  </si>
  <si>
    <t>C36230935</t>
  </si>
  <si>
    <t>Samprita Laxmikatti</t>
  </si>
  <si>
    <t>C36230937</t>
  </si>
  <si>
    <t>Kishan  T S</t>
  </si>
  <si>
    <t>C36230951</t>
  </si>
  <si>
    <t>Ashna Jindal</t>
  </si>
  <si>
    <t>C36230952</t>
  </si>
  <si>
    <t xml:space="preserve"> Sumanth Karanam</t>
  </si>
  <si>
    <t>C36230969</t>
  </si>
  <si>
    <t>Ravi Kumar</t>
  </si>
  <si>
    <t>C36230989</t>
  </si>
  <si>
    <t xml:space="preserve">Devarampally Chandana </t>
  </si>
  <si>
    <t>C36231365</t>
  </si>
  <si>
    <t xml:space="preserve">Muthyala Nikitha </t>
  </si>
  <si>
    <t>C36230993</t>
  </si>
  <si>
    <t>Anju Salian</t>
  </si>
  <si>
    <t>Pulimadya Sowjanya</t>
  </si>
  <si>
    <t>C36231033</t>
  </si>
  <si>
    <t xml:space="preserve">Shivam Anant Pawar  </t>
  </si>
  <si>
    <t>C36230953</t>
  </si>
  <si>
    <t>Hamza Moideen Shaikh</t>
  </si>
  <si>
    <t>C36231126</t>
  </si>
  <si>
    <t>Pavithra  Balu</t>
  </si>
  <si>
    <t>O36230038</t>
  </si>
  <si>
    <t xml:space="preserve">Manipal Global </t>
  </si>
  <si>
    <t>Gajulapalli Bharath Kumar</t>
  </si>
  <si>
    <t>C36231438</t>
  </si>
  <si>
    <t>Mahalakshmi N</t>
  </si>
  <si>
    <t>C36230954</t>
  </si>
  <si>
    <t>Rahul Rajendra Sah</t>
  </si>
  <si>
    <t>C36230960</t>
  </si>
  <si>
    <t>Vijin Wilson Perrisseril</t>
  </si>
  <si>
    <t>C36231095</t>
  </si>
  <si>
    <t xml:space="preserve">Anand Arun Wagh </t>
  </si>
  <si>
    <t>C36231210</t>
  </si>
  <si>
    <t xml:space="preserve">M Praveen Shai </t>
  </si>
  <si>
    <t>C36231138</t>
  </si>
  <si>
    <t>Sneha Bipul Tiwari</t>
  </si>
  <si>
    <t>C36230972</t>
  </si>
  <si>
    <t>Vishal Sunil Jagadale</t>
  </si>
  <si>
    <t>C36231088</t>
  </si>
  <si>
    <t xml:space="preserve">B Sunanda </t>
  </si>
  <si>
    <t>C36231448</t>
  </si>
  <si>
    <t>Mohammed Abdul Sattar</t>
  </si>
  <si>
    <t>C36231010</t>
  </si>
  <si>
    <t>Dharmesh Mahesh  Davda</t>
  </si>
  <si>
    <t>C36230967</t>
  </si>
  <si>
    <t>Swathi Shetty</t>
  </si>
  <si>
    <t>Bhupesh  Dwivedi</t>
  </si>
  <si>
    <t>C36231280</t>
  </si>
  <si>
    <t>Neeran Joshi</t>
  </si>
  <si>
    <t>C36231425</t>
  </si>
  <si>
    <t>Subhacini C</t>
  </si>
  <si>
    <t>C36230981</t>
  </si>
  <si>
    <t xml:space="preserve"> Ashik KP</t>
  </si>
  <si>
    <t>C36231512</t>
  </si>
  <si>
    <t>Abinaiya Sivaraman</t>
  </si>
  <si>
    <t>C36230980</t>
  </si>
  <si>
    <t xml:space="preserve">V Jagadeeshwari </t>
  </si>
  <si>
    <t>C36231069</t>
  </si>
  <si>
    <t>Soundarya  R</t>
  </si>
  <si>
    <t>C36230970</t>
  </si>
  <si>
    <t>Girish P</t>
  </si>
  <si>
    <t>C36230978</t>
  </si>
  <si>
    <t>Komalpreet Singh</t>
  </si>
  <si>
    <t>C36230966</t>
  </si>
  <si>
    <t>SK Majid</t>
  </si>
  <si>
    <t>C36231381</t>
  </si>
  <si>
    <t>Kella Ganesh</t>
  </si>
  <si>
    <t>C36231326</t>
  </si>
  <si>
    <t xml:space="preserve">Vaishnavi.R </t>
  </si>
  <si>
    <t>C36230971</t>
  </si>
  <si>
    <t xml:space="preserve">Pokala Rakesh Harshitha </t>
  </si>
  <si>
    <t>C36231698</t>
  </si>
  <si>
    <t>Yenugutala Kamala Kumari</t>
  </si>
  <si>
    <t>C36231388</t>
  </si>
  <si>
    <t>Korivi Shushma</t>
  </si>
  <si>
    <t>C36231666</t>
  </si>
  <si>
    <t xml:space="preserve">Palley Chandra Sunidhi </t>
  </si>
  <si>
    <t>C36231339</t>
  </si>
  <si>
    <t>Boddu Mounika</t>
  </si>
  <si>
    <t>C36231310</t>
  </si>
  <si>
    <t>Shivangi Gupta</t>
  </si>
  <si>
    <t>Afridi Ismail  Attar</t>
  </si>
  <si>
    <t>C36230944</t>
  </si>
  <si>
    <t xml:space="preserve">A Ganesh </t>
  </si>
  <si>
    <t>C36231382</t>
  </si>
  <si>
    <t>Katikaneni Rukmini Rao</t>
  </si>
  <si>
    <t>C36231311</t>
  </si>
  <si>
    <t>Vivek  Nair</t>
  </si>
  <si>
    <t>C36230979</t>
  </si>
  <si>
    <t xml:space="preserve">Richa Jha </t>
  </si>
  <si>
    <t>C36232018</t>
  </si>
  <si>
    <t>Sourav Patra</t>
  </si>
  <si>
    <t>Agneesh Upadhayay</t>
  </si>
  <si>
    <t>C36240232</t>
  </si>
  <si>
    <t>Prarthana Sham Mungekar</t>
  </si>
  <si>
    <t>C36230973</t>
  </si>
  <si>
    <t>Mohd Yousuf</t>
  </si>
  <si>
    <t>C36231312</t>
  </si>
  <si>
    <t>Sandeepa  A N</t>
  </si>
  <si>
    <t>C36231135</t>
  </si>
  <si>
    <t>Anjna koul</t>
  </si>
  <si>
    <t>Manjunatha. K</t>
  </si>
  <si>
    <t>C36230961</t>
  </si>
  <si>
    <t>Meenakshi Murugan</t>
  </si>
  <si>
    <t>C36231086</t>
  </si>
  <si>
    <t xml:space="preserve">Dayanand Sangameshwar  Hulmani </t>
  </si>
  <si>
    <t>C36230962</t>
  </si>
  <si>
    <t>Gifty Sunny</t>
  </si>
  <si>
    <t xml:space="preserve"> T Nivedhitha </t>
  </si>
  <si>
    <t>C36231115</t>
  </si>
  <si>
    <t>Shanmugapriya  Muthumanikkam</t>
  </si>
  <si>
    <t>C36230977</t>
  </si>
  <si>
    <t xml:space="preserve">Mehak </t>
  </si>
  <si>
    <t>C36230959</t>
  </si>
  <si>
    <t>Sardar Balwinder Singh</t>
  </si>
  <si>
    <t>C36231011</t>
  </si>
  <si>
    <t xml:space="preserve">Uppu Yuvraj </t>
  </si>
  <si>
    <t>C36231435</t>
  </si>
  <si>
    <t xml:space="preserve">Kurelli Divyasri </t>
  </si>
  <si>
    <t>C36231502</t>
  </si>
  <si>
    <t>Marumudi Sowmya Vijaya</t>
  </si>
  <si>
    <t>C36231503</t>
  </si>
  <si>
    <t xml:space="preserve">Yadagiri Shivani </t>
  </si>
  <si>
    <t>C36231462</t>
  </si>
  <si>
    <t>Tudumu Naveen Kumar</t>
  </si>
  <si>
    <t>C36231667</t>
  </si>
  <si>
    <t>Sangi Sai Kumar</t>
  </si>
  <si>
    <t>C36231074</t>
  </si>
  <si>
    <t>Balija Naveen Prasad</t>
  </si>
  <si>
    <t>C36231550</t>
  </si>
  <si>
    <t>Mohammed Ashraf Ali</t>
  </si>
  <si>
    <t>C36231395</t>
  </si>
  <si>
    <t>Annareddy Mahanandeswar Reddy</t>
  </si>
  <si>
    <t>C36231366</t>
  </si>
  <si>
    <t xml:space="preserve"> Uppuluri Saritha</t>
  </si>
  <si>
    <t>C36231367</t>
  </si>
  <si>
    <t>Madala Sanghavi</t>
  </si>
  <si>
    <t>C36231396</t>
  </si>
  <si>
    <t>Kodimala Bhargavi</t>
  </si>
  <si>
    <t>C36231424</t>
  </si>
  <si>
    <t xml:space="preserve">  Mallipeddi Chiranjeevi</t>
  </si>
  <si>
    <t>C36231397</t>
  </si>
  <si>
    <t>Amtul Afreen</t>
  </si>
  <si>
    <t>C36231389</t>
  </si>
  <si>
    <t>Souvagya Suvabrata</t>
  </si>
  <si>
    <t>C36231458</t>
  </si>
  <si>
    <t xml:space="preserve">Gurram Prakash  </t>
  </si>
  <si>
    <t>C36231066</t>
  </si>
  <si>
    <t xml:space="preserve">Jannu Manaswini </t>
  </si>
  <si>
    <t>C36231368</t>
  </si>
  <si>
    <t xml:space="preserve">Thapa Umesh  Kumar </t>
  </si>
  <si>
    <t>C36231043</t>
  </si>
  <si>
    <t xml:space="preserve">Matoori Mahesh </t>
  </si>
  <si>
    <t>C36231075</t>
  </si>
  <si>
    <t>Muktha Mahesh</t>
  </si>
  <si>
    <t>C36231390</t>
  </si>
  <si>
    <t xml:space="preserve">Arati </t>
  </si>
  <si>
    <t>C36231383</t>
  </si>
  <si>
    <t xml:space="preserve"> Polasa  Vaani </t>
  </si>
  <si>
    <t>C36231020</t>
  </si>
  <si>
    <t>Kadagala  Maheswara Rao</t>
  </si>
  <si>
    <t>C36231410</t>
  </si>
  <si>
    <t>A Harish Kumar</t>
  </si>
  <si>
    <t>C36230964</t>
  </si>
  <si>
    <t>Duggepogu Suvarna Ratna</t>
  </si>
  <si>
    <t>C36231340</t>
  </si>
  <si>
    <t xml:space="preserve">Mallam Manisha </t>
  </si>
  <si>
    <t>C36231004</t>
  </si>
  <si>
    <t>Kottur Shravan Kumar</t>
  </si>
  <si>
    <t>C36231044</t>
  </si>
  <si>
    <t xml:space="preserve">Shaik Hamidullah Shariff </t>
  </si>
  <si>
    <t>C36231341</t>
  </si>
  <si>
    <t>Kommu Nirmala</t>
  </si>
  <si>
    <t>C36231058</t>
  </si>
  <si>
    <t>Sheelam Rajitha</t>
  </si>
  <si>
    <t>C36231342</t>
  </si>
  <si>
    <t xml:space="preserve">Mylavarapu Mani Vardhini </t>
  </si>
  <si>
    <t>C36231313</t>
  </si>
  <si>
    <t>Dhananjay Avinash Chougule</t>
  </si>
  <si>
    <t>C36231089</t>
  </si>
  <si>
    <t>Lakshmi.C.T</t>
  </si>
  <si>
    <t>O36230043</t>
  </si>
  <si>
    <t>Vishnu Kumar N</t>
  </si>
  <si>
    <t>O36230045</t>
  </si>
  <si>
    <t xml:space="preserve"> Md Faisal</t>
  </si>
  <si>
    <t>C36231103</t>
  </si>
  <si>
    <t>Groupon Shared Services Private Limited</t>
  </si>
  <si>
    <t>MANU J</t>
  </si>
  <si>
    <t>C36240314</t>
  </si>
  <si>
    <t>Hinge Health</t>
  </si>
  <si>
    <t>Arunkumar Palani</t>
  </si>
  <si>
    <t>C36240334</t>
  </si>
  <si>
    <t>Perumal Shanmugam</t>
  </si>
  <si>
    <t>C36240321</t>
  </si>
  <si>
    <t>Pradosh  AC</t>
  </si>
  <si>
    <t>C36240326</t>
  </si>
  <si>
    <t>V Lalitha</t>
  </si>
  <si>
    <t>O36240011</t>
  </si>
  <si>
    <t>Krishna Priya</t>
  </si>
  <si>
    <t>Krishna  Chaitanya Pagadala</t>
  </si>
  <si>
    <t>C36240360</t>
  </si>
  <si>
    <t xml:space="preserve">Kammara Jagadeesachari </t>
  </si>
  <si>
    <t>C36230529</t>
  </si>
  <si>
    <t>IBM- PAN India</t>
  </si>
  <si>
    <t>Sowmiya R</t>
  </si>
  <si>
    <t>C36231068</t>
  </si>
  <si>
    <t>Priyanka Velu</t>
  </si>
  <si>
    <t>C36230975</t>
  </si>
  <si>
    <t xml:space="preserve">Ramya </t>
  </si>
  <si>
    <t>C36231034</t>
  </si>
  <si>
    <t>Shaik Gouse</t>
  </si>
  <si>
    <t>C36231147</t>
  </si>
  <si>
    <t>Ramya D</t>
  </si>
  <si>
    <t>C36230963</t>
  </si>
  <si>
    <t>Shweta  Carolin S</t>
  </si>
  <si>
    <t>C36230995</t>
  </si>
  <si>
    <t xml:space="preserve">Roja </t>
  </si>
  <si>
    <t>C36231140</t>
  </si>
  <si>
    <t>Rakhi C</t>
  </si>
  <si>
    <t xml:space="preserve">Divya Bharathi R </t>
  </si>
  <si>
    <t>C36231219</t>
  </si>
  <si>
    <t>Anusha BJ</t>
  </si>
  <si>
    <t>Shrishail  Pujar</t>
  </si>
  <si>
    <t>C36231464</t>
  </si>
  <si>
    <t xml:space="preserve">Eda Dheeraj </t>
  </si>
  <si>
    <t>C36231372</t>
  </si>
  <si>
    <t xml:space="preserve">  Arpit Rajendra Bansod</t>
  </si>
  <si>
    <t>C36231071</t>
  </si>
  <si>
    <t xml:space="preserve">Kaderi Santosh </t>
  </si>
  <si>
    <t>C36231085</t>
  </si>
  <si>
    <t xml:space="preserve">K Divya </t>
  </si>
  <si>
    <t>C36231099</t>
  </si>
  <si>
    <t xml:space="preserve">Kunchala Shirisha </t>
  </si>
  <si>
    <t>C36231370</t>
  </si>
  <si>
    <t>B Meghamala</t>
  </si>
  <si>
    <t>C36231537</t>
  </si>
  <si>
    <t>Sairam P</t>
  </si>
  <si>
    <t>O36230046</t>
  </si>
  <si>
    <t>Raj Shekhar Rai</t>
  </si>
  <si>
    <t>O36230048</t>
  </si>
  <si>
    <t>Shaik Aslam Ali</t>
  </si>
  <si>
    <t>C36231398</t>
  </si>
  <si>
    <t xml:space="preserve">Addanki Pranava </t>
  </si>
  <si>
    <t>O36230047</t>
  </si>
  <si>
    <t>Kalyani Ghangare</t>
  </si>
  <si>
    <t>C36230976</t>
  </si>
  <si>
    <t>Amgoth Sandhya</t>
  </si>
  <si>
    <t>C36231373</t>
  </si>
  <si>
    <t>Nirudu Manjari</t>
  </si>
  <si>
    <t>C36231374</t>
  </si>
  <si>
    <t>Shaik Rasheeda</t>
  </si>
  <si>
    <t>C36231375</t>
  </si>
  <si>
    <t xml:space="preserve">Putti Sunil Kiran  </t>
  </si>
  <si>
    <t>C36231785</t>
  </si>
  <si>
    <t xml:space="preserve">Perumalla Beaulah </t>
  </si>
  <si>
    <t>C36231343</t>
  </si>
  <si>
    <t>abhinav kumar</t>
  </si>
  <si>
    <t>O36230057</t>
  </si>
  <si>
    <t xml:space="preserve">Vineet Unnikrishnan </t>
  </si>
  <si>
    <t>C36231087</t>
  </si>
  <si>
    <t>Shaik Tanveer Jahan</t>
  </si>
  <si>
    <t>C36231045</t>
  </si>
  <si>
    <t>Kshema  Susan Mathew</t>
  </si>
  <si>
    <t>C36231097</t>
  </si>
  <si>
    <t>Farooq  Ali M</t>
  </si>
  <si>
    <t>C36231070</t>
  </si>
  <si>
    <t>Sanu S</t>
  </si>
  <si>
    <t>Ravinder Singh</t>
  </si>
  <si>
    <t>C36231065</t>
  </si>
  <si>
    <t>Pushpa S</t>
  </si>
  <si>
    <t>Sairahul Gandla</t>
  </si>
  <si>
    <t>C36231083</t>
  </si>
  <si>
    <t>Sanjay  B R</t>
  </si>
  <si>
    <t>C36231151</t>
  </si>
  <si>
    <t>Kanchamreddy Naga Chindhuja</t>
  </si>
  <si>
    <t>C36231849</t>
  </si>
  <si>
    <t>Arun Raina</t>
  </si>
  <si>
    <t>C36230994</t>
  </si>
  <si>
    <t>Mohammad  Moin</t>
  </si>
  <si>
    <t>O36240006</t>
  </si>
  <si>
    <t>JLL</t>
  </si>
  <si>
    <t>Arundhati Dey</t>
  </si>
  <si>
    <t>C36231128</t>
  </si>
  <si>
    <t>Earnest Joseph</t>
  </si>
  <si>
    <t>C36231129</t>
  </si>
  <si>
    <t>Kolakaluri Maruti Subbarao</t>
  </si>
  <si>
    <t>C36231076</t>
  </si>
  <si>
    <t>Amina Salim</t>
  </si>
  <si>
    <t>C36231162</t>
  </si>
  <si>
    <t>Yashwant  Khuntia</t>
  </si>
  <si>
    <t>C36231100</t>
  </si>
  <si>
    <t>Cyril Leonard C</t>
  </si>
  <si>
    <t>C36231092</t>
  </si>
  <si>
    <t>M Ramya</t>
  </si>
  <si>
    <t>C36231067</t>
  </si>
  <si>
    <t>Sahithi  Pusa</t>
  </si>
  <si>
    <t>C36231096</t>
  </si>
  <si>
    <t>T Ambica</t>
  </si>
  <si>
    <t>C36231391</t>
  </si>
  <si>
    <t xml:space="preserve">Maaturi Bhaskar </t>
  </si>
  <si>
    <t>C36231093</t>
  </si>
  <si>
    <t>Tanay Dilip Rane</t>
  </si>
  <si>
    <t>C36231109</t>
  </si>
  <si>
    <t>Preetham M</t>
  </si>
  <si>
    <t>C36231152</t>
  </si>
  <si>
    <t>Avinash Kumar  Verma</t>
  </si>
  <si>
    <t>C36231106</t>
  </si>
  <si>
    <t>Fathima F</t>
  </si>
  <si>
    <t>C36231141</t>
  </si>
  <si>
    <t>Iswariya S</t>
  </si>
  <si>
    <t>C36231145</t>
  </si>
  <si>
    <t>Begari  Surekha</t>
  </si>
  <si>
    <t>C36231399</t>
  </si>
  <si>
    <t xml:space="preserve">Vangapandu  Adarsh Kumar </t>
  </si>
  <si>
    <t>C36231361</t>
  </si>
  <si>
    <t>Ashish Shivram  Shetty</t>
  </si>
  <si>
    <t>C36231161</t>
  </si>
  <si>
    <t>Bhargavi T R</t>
  </si>
  <si>
    <t>Ayesha Siddiqua</t>
  </si>
  <si>
    <t>C36231214</t>
  </si>
  <si>
    <t>Pulkesh Ram Choudhary</t>
  </si>
  <si>
    <t>C36231101</t>
  </si>
  <si>
    <t>Vamsi Krishna</t>
  </si>
  <si>
    <t>C36231094</t>
  </si>
  <si>
    <t>Sushant Wangate Ankushrao</t>
  </si>
  <si>
    <t>C36231079</t>
  </si>
  <si>
    <t>Vijayakanth Reddy Bangaru</t>
  </si>
  <si>
    <t>C36231064</t>
  </si>
  <si>
    <t xml:space="preserve">Samindara Harishchandra Pawar </t>
  </si>
  <si>
    <t>C36231149</t>
  </si>
  <si>
    <t>Rohan Mangesh Bhosale</t>
  </si>
  <si>
    <t>C36231131</t>
  </si>
  <si>
    <t xml:space="preserve"> Valmik Bhausaheb Ushil</t>
  </si>
  <si>
    <t>C36231132</t>
  </si>
  <si>
    <t>Tejaswini S</t>
  </si>
  <si>
    <t>O36230062</t>
  </si>
  <si>
    <t>Sushmitha NP</t>
  </si>
  <si>
    <t xml:space="preserve">Harinath Reddy Sane          </t>
  </si>
  <si>
    <t>C36231080</t>
  </si>
  <si>
    <t>BSH</t>
  </si>
  <si>
    <t>Debabrata Banik</t>
  </si>
  <si>
    <t>C36231205</t>
  </si>
  <si>
    <t>Kennametal IT</t>
  </si>
  <si>
    <t>Rubashree B</t>
  </si>
  <si>
    <t>C36231119</t>
  </si>
  <si>
    <t xml:space="preserve">Darshan Anilbhai Chauhan  </t>
  </si>
  <si>
    <t>O36230058</t>
  </si>
  <si>
    <t>Sabreen Taj</t>
  </si>
  <si>
    <t>C36231110</t>
  </si>
  <si>
    <t>Donga Vijaya Mohan</t>
  </si>
  <si>
    <t>C36231090</t>
  </si>
  <si>
    <t xml:space="preserve">Kushwaha Sachin Rajanarayan </t>
  </si>
  <si>
    <t>C36231146</t>
  </si>
  <si>
    <t>Pooja Shahi</t>
  </si>
  <si>
    <t>C36231207</t>
  </si>
  <si>
    <t>Katam Vijay Kumar</t>
  </si>
  <si>
    <t>C36231668</t>
  </si>
  <si>
    <t xml:space="preserve">Sandhya </t>
  </si>
  <si>
    <t>C36231392</t>
  </si>
  <si>
    <t>Lakshmi N</t>
  </si>
  <si>
    <t>C36231144</t>
  </si>
  <si>
    <t>Mohammed Saber</t>
  </si>
  <si>
    <t>C36231400</t>
  </si>
  <si>
    <t>Mohammed Afrose  mohiuddin</t>
  </si>
  <si>
    <t>C36231209</t>
  </si>
  <si>
    <t>Kiran Manoj U</t>
  </si>
  <si>
    <t>C36231111</t>
  </si>
  <si>
    <t>Badini  Srinivas</t>
  </si>
  <si>
    <t>C36231159</t>
  </si>
  <si>
    <t>Sayyad Sohel Imam</t>
  </si>
  <si>
    <t>C36231133</t>
  </si>
  <si>
    <t>Hitesh Jairam Chawla</t>
  </si>
  <si>
    <t>C36231172</t>
  </si>
  <si>
    <t>Javed Khan</t>
  </si>
  <si>
    <t>C36231232</t>
  </si>
  <si>
    <t>Judhajit  Ray</t>
  </si>
  <si>
    <t>C36231102</t>
  </si>
  <si>
    <t>Prasad Laxman Thorat</t>
  </si>
  <si>
    <t>C36231136</t>
  </si>
  <si>
    <t>Varun Suresh Mhatre</t>
  </si>
  <si>
    <t>C36231114</t>
  </si>
  <si>
    <t>Wasim  maqbool Sayed</t>
  </si>
  <si>
    <t>C36231173</t>
  </si>
  <si>
    <t xml:space="preserve"> Kunal Bhaskar Prabhu </t>
  </si>
  <si>
    <t>C36231134</t>
  </si>
  <si>
    <t>Angelica Pereira</t>
  </si>
  <si>
    <t>C36231170</t>
  </si>
  <si>
    <t xml:space="preserve">Deepak M </t>
  </si>
  <si>
    <t>C36231120</t>
  </si>
  <si>
    <t>Sweta Pramod  Dussa</t>
  </si>
  <si>
    <t>C36231208</t>
  </si>
  <si>
    <t xml:space="preserve">M Kowshiga </t>
  </si>
  <si>
    <t>C36231139</t>
  </si>
  <si>
    <t>Praveenaa N</t>
  </si>
  <si>
    <t>C36231124</t>
  </si>
  <si>
    <t>Janis Jasin M</t>
  </si>
  <si>
    <t>C36231810</t>
  </si>
  <si>
    <t>Paresh Nath Swain</t>
  </si>
  <si>
    <t>C36231239</t>
  </si>
  <si>
    <t>Vignesh P</t>
  </si>
  <si>
    <t>Jyothi N</t>
  </si>
  <si>
    <t>C36231377</t>
  </si>
  <si>
    <t>Tabeer Shafi  Bhat</t>
  </si>
  <si>
    <t>C36231195</t>
  </si>
  <si>
    <t>R Chandana</t>
  </si>
  <si>
    <t>C36231220</t>
  </si>
  <si>
    <t>Manideepa L</t>
  </si>
  <si>
    <t>C36231221</t>
  </si>
  <si>
    <t>Nancy Metilda Johnson</t>
  </si>
  <si>
    <t>C36231222</t>
  </si>
  <si>
    <t>Tanisha P U</t>
  </si>
  <si>
    <t>C36231223</t>
  </si>
  <si>
    <t xml:space="preserve"> MunigantiPavan Chary</t>
  </si>
  <si>
    <t>C36231321</t>
  </si>
  <si>
    <t>Koppula Maria Showry</t>
  </si>
  <si>
    <t>C36231532</t>
  </si>
  <si>
    <t>Hussain Bin Ali Kaseri</t>
  </si>
  <si>
    <t>C36231401</t>
  </si>
  <si>
    <t>Pavitra E</t>
  </si>
  <si>
    <t>C36231171</t>
  </si>
  <si>
    <t>Debabrata Sahoo</t>
  </si>
  <si>
    <t>C36231167</t>
  </si>
  <si>
    <t>Shaik Asif Basha</t>
  </si>
  <si>
    <t>C36231669</t>
  </si>
  <si>
    <t xml:space="preserve">Shreya K R </t>
  </si>
  <si>
    <t>C36231168</t>
  </si>
  <si>
    <t>Bijaya Ray</t>
  </si>
  <si>
    <t>C36231553</t>
  </si>
  <si>
    <t>Karthikeyan  R</t>
  </si>
  <si>
    <t>C36231117</t>
  </si>
  <si>
    <t>Shreyas  V</t>
  </si>
  <si>
    <t>C36231188</t>
  </si>
  <si>
    <t>Manjunath R</t>
  </si>
  <si>
    <t>Tanwisha Kanjilal</t>
  </si>
  <si>
    <t>C36231150</t>
  </si>
  <si>
    <t>C36231121</t>
  </si>
  <si>
    <t>Gujja Likhitha</t>
  </si>
  <si>
    <t>C36231403</t>
  </si>
  <si>
    <t xml:space="preserve">Aravindan S </t>
  </si>
  <si>
    <t>C36231331</t>
  </si>
  <si>
    <t>Narasimha Sai Pathro</t>
  </si>
  <si>
    <t>C36231543</t>
  </si>
  <si>
    <t>Rukmini Krishnan Venkatraman</t>
  </si>
  <si>
    <t>C36231224</t>
  </si>
  <si>
    <t>J Kiran Kumar</t>
  </si>
  <si>
    <t>C36231565</t>
  </si>
  <si>
    <t>Shankar G S</t>
  </si>
  <si>
    <t>C36231156</t>
  </si>
  <si>
    <t xml:space="preserve">T Gireesha </t>
  </si>
  <si>
    <t>C36231155</t>
  </si>
  <si>
    <t>C36231125</t>
  </si>
  <si>
    <t>Ramesh Sarjerao Jadhav</t>
  </si>
  <si>
    <t>C36231163</t>
  </si>
  <si>
    <t>Mithun S S</t>
  </si>
  <si>
    <t>C36232087</t>
  </si>
  <si>
    <t xml:space="preserve">Sherlin </t>
  </si>
  <si>
    <t>C36231206</t>
  </si>
  <si>
    <t>Shaik Abdul Salam</t>
  </si>
  <si>
    <t>C36231881</t>
  </si>
  <si>
    <t xml:space="preserve">Gurajapu Mohan kumar </t>
  </si>
  <si>
    <t>C36231344</t>
  </si>
  <si>
    <t>Rohit M</t>
  </si>
  <si>
    <t>Sonal  Kadave</t>
  </si>
  <si>
    <t>C36231164</t>
  </si>
  <si>
    <t>Ravishankar Prabhunath Yadav</t>
  </si>
  <si>
    <t>C36231196</t>
  </si>
  <si>
    <t>Donapati Manohar Reddy</t>
  </si>
  <si>
    <t>C36230885</t>
  </si>
  <si>
    <t>Kennametal shared services</t>
  </si>
  <si>
    <t>Omprakash  E.S.R</t>
  </si>
  <si>
    <t>C36231177</t>
  </si>
  <si>
    <t>Papunu Raul</t>
  </si>
  <si>
    <t>C36232028</t>
  </si>
  <si>
    <t>Bharath Raj</t>
  </si>
  <si>
    <t>Pranay Dipak Pavar</t>
  </si>
  <si>
    <t>C36231200</t>
  </si>
  <si>
    <t>O36230061</t>
  </si>
  <si>
    <t>Racharla Shyam Sunder</t>
  </si>
  <si>
    <t>C36231203</t>
  </si>
  <si>
    <t>Vodala  Karthik</t>
  </si>
  <si>
    <t>C36231566</t>
  </si>
  <si>
    <t>Sowmya.G</t>
  </si>
  <si>
    <t>C36232109</t>
  </si>
  <si>
    <t>Krushna Bhika  Darade</t>
  </si>
  <si>
    <t>C36231278</t>
  </si>
  <si>
    <t xml:space="preserve">Tanaji Babaso Jadhav </t>
  </si>
  <si>
    <t>C36231233</t>
  </si>
  <si>
    <t>Mahima M. Chhinchani</t>
  </si>
  <si>
    <t>C36231154</t>
  </si>
  <si>
    <t>Urmila Umakant Parida</t>
  </si>
  <si>
    <t>C36231252</t>
  </si>
  <si>
    <t>Uppula Vamshi  Raj</t>
  </si>
  <si>
    <t>C36231590</t>
  </si>
  <si>
    <t xml:space="preserve">Doupati Vijaykumar </t>
  </si>
  <si>
    <t>C36231591</t>
  </si>
  <si>
    <t xml:space="preserve"> Swarangi Rajendra Borkar </t>
  </si>
  <si>
    <t>C36231179</t>
  </si>
  <si>
    <t>Bhushan Bhagwan Pawar</t>
  </si>
  <si>
    <t>C36231211</t>
  </si>
  <si>
    <t>Aparna Subhash Veer</t>
  </si>
  <si>
    <t>C36231192</t>
  </si>
  <si>
    <t xml:space="preserve">Vishal Vilas Mahajan </t>
  </si>
  <si>
    <t>C36231279</t>
  </si>
  <si>
    <t>Shailesh Dnyandev kachare</t>
  </si>
  <si>
    <t>C36231166</t>
  </si>
  <si>
    <t xml:space="preserve">Priyanka Dilip Shingade </t>
  </si>
  <si>
    <t>C36231169</t>
  </si>
  <si>
    <t>Umeshchandra  Jaiswal</t>
  </si>
  <si>
    <t>C36231236</t>
  </si>
  <si>
    <t>Shaikh Nazim Shaikh Nasir</t>
  </si>
  <si>
    <t>C36231197</t>
  </si>
  <si>
    <t xml:space="preserve">Chillarge Ganesh Devendra  </t>
  </si>
  <si>
    <t>C36231198</t>
  </si>
  <si>
    <t>Rohit Mohan Shinde</t>
  </si>
  <si>
    <t>C36231225</t>
  </si>
  <si>
    <t xml:space="preserve"> Mohd Wasiuddin </t>
  </si>
  <si>
    <t>C36231422</t>
  </si>
  <si>
    <t xml:space="preserve">Bomma Sulakshana </t>
  </si>
  <si>
    <t>C36231358</t>
  </si>
  <si>
    <t>Anu Radhakrishnan</t>
  </si>
  <si>
    <t>Rahul Waikar</t>
  </si>
  <si>
    <t>C36231212</t>
  </si>
  <si>
    <t>Yara Shirisha</t>
  </si>
  <si>
    <t>C36231544</t>
  </si>
  <si>
    <t xml:space="preserve">Kamma Praveen Kumar </t>
  </si>
  <si>
    <t>C36231277</t>
  </si>
  <si>
    <t>Pure Storage</t>
  </si>
  <si>
    <t>Melam Stalin Nehimiah</t>
  </si>
  <si>
    <t>C36231567</t>
  </si>
  <si>
    <t>Vipul Saini</t>
  </si>
  <si>
    <t>C36231201</t>
  </si>
  <si>
    <t xml:space="preserve"> N Chetan Kumar</t>
  </si>
  <si>
    <t>C36231180</t>
  </si>
  <si>
    <t>Prashanta Mahesha Umarani</t>
  </si>
  <si>
    <t>C36231234</t>
  </si>
  <si>
    <t>Akanksha Balasaheb Balladhye</t>
  </si>
  <si>
    <t>C36231267</t>
  </si>
  <si>
    <t>Basiri Supriya</t>
  </si>
  <si>
    <t>C36231406</t>
  </si>
  <si>
    <t>Keerthana Krishnan</t>
  </si>
  <si>
    <t>C36231202</t>
  </si>
  <si>
    <t>Ashmit Chakraborty</t>
  </si>
  <si>
    <t>C36232104</t>
  </si>
  <si>
    <t>Prashanth Krishnasamy</t>
  </si>
  <si>
    <t>C36231165</t>
  </si>
  <si>
    <t>Steve Varghese</t>
  </si>
  <si>
    <t>C36231253</t>
  </si>
  <si>
    <t>Urvashi Sanjay Sakhare</t>
  </si>
  <si>
    <t>C36231320</t>
  </si>
  <si>
    <t>GunjanKaur Avtarsingh  Gurbuxsinghhani</t>
  </si>
  <si>
    <t>C36231301</t>
  </si>
  <si>
    <t>Sarvanand Elango Mudliyar</t>
  </si>
  <si>
    <t>C36231213</t>
  </si>
  <si>
    <t>Sarat Chandra Bheema</t>
  </si>
  <si>
    <t>C36231240</t>
  </si>
  <si>
    <t xml:space="preserve">R. karan </t>
  </si>
  <si>
    <t>C36231181</t>
  </si>
  <si>
    <t>Anirudh S Kashyap</t>
  </si>
  <si>
    <t>C36231182</t>
  </si>
  <si>
    <t>Muhammed faizal</t>
  </si>
  <si>
    <t>Thota Siva Kumar</t>
  </si>
  <si>
    <t>C36231226</t>
  </si>
  <si>
    <t>JAFFER KHAN</t>
  </si>
  <si>
    <t>C36231268</t>
  </si>
  <si>
    <t>Sanjay S</t>
  </si>
  <si>
    <t>C36231189</t>
  </si>
  <si>
    <t>Chandan M</t>
  </si>
  <si>
    <t>C36231183</t>
  </si>
  <si>
    <t>Alina Kulsum</t>
  </si>
  <si>
    <t>C36231185</t>
  </si>
  <si>
    <t>Balakrishna Seetha</t>
  </si>
  <si>
    <t>O36230063</t>
  </si>
  <si>
    <t>Abdul Shahid</t>
  </si>
  <si>
    <t>C36231184</t>
  </si>
  <si>
    <t>MOUNICA SHARON K</t>
  </si>
  <si>
    <t>C36231404</t>
  </si>
  <si>
    <t xml:space="preserve">Bendadi Narasingarao  </t>
  </si>
  <si>
    <t>C36231533</t>
  </si>
  <si>
    <t>Sarthak Sushilkumar Shrivastav</t>
  </si>
  <si>
    <t>C36231216</t>
  </si>
  <si>
    <t>Gopika P R  Nair</t>
  </si>
  <si>
    <t>C36231721</t>
  </si>
  <si>
    <t>Khushi Ojha</t>
  </si>
  <si>
    <t>C36231275</t>
  </si>
  <si>
    <t>Magimailishi  D</t>
  </si>
  <si>
    <t>C36231227</t>
  </si>
  <si>
    <t>Pushpalatha  E</t>
  </si>
  <si>
    <t>C36231231</t>
  </si>
  <si>
    <t>S Damini</t>
  </si>
  <si>
    <t>C36231186</t>
  </si>
  <si>
    <t xml:space="preserve">Vaishnavi  Shekar </t>
  </si>
  <si>
    <t>Maria Sumithra</t>
  </si>
  <si>
    <t>C36231187</t>
  </si>
  <si>
    <t>B Sai Keerthi Kiran</t>
  </si>
  <si>
    <t>C36231463</t>
  </si>
  <si>
    <t>Gangaraboina  Pravan Kumar</t>
  </si>
  <si>
    <t>C36231493</t>
  </si>
  <si>
    <t>Guduru Shireesha</t>
  </si>
  <si>
    <t>C36231327</t>
  </si>
  <si>
    <t xml:space="preserve">Perumala Vignesh </t>
  </si>
  <si>
    <t>C36231534</t>
  </si>
  <si>
    <t>Rutuja Ravindra Jadhav</t>
  </si>
  <si>
    <t>C36231176</t>
  </si>
  <si>
    <t xml:space="preserve">Thambadi Sunil Kumar </t>
  </si>
  <si>
    <t>C36231217</t>
  </si>
  <si>
    <t>Tirumalasetti Siva  Subrahmanya Sai Kumar</t>
  </si>
  <si>
    <t>C36231262</t>
  </si>
  <si>
    <t xml:space="preserve"> Pooja  Ravindra Shirture</t>
  </si>
  <si>
    <t>C36231199</t>
  </si>
  <si>
    <t>C36231174</t>
  </si>
  <si>
    <t>Shubham Umesh Pandey</t>
  </si>
  <si>
    <t>C36231722</t>
  </si>
  <si>
    <t xml:space="preserve">Galebe Madhuri </t>
  </si>
  <si>
    <t>C36231614</t>
  </si>
  <si>
    <t xml:space="preserve">Satya Prakash Kumar </t>
  </si>
  <si>
    <t>C36231190</t>
  </si>
  <si>
    <t>Airbus</t>
  </si>
  <si>
    <t xml:space="preserve">Laishetti Mahesh </t>
  </si>
  <si>
    <t>C36231204</t>
  </si>
  <si>
    <t>B.REKHA</t>
  </si>
  <si>
    <t>C36231193</t>
  </si>
  <si>
    <t xml:space="preserve"> A Arundathi</t>
  </si>
  <si>
    <t>C36231494</t>
  </si>
  <si>
    <t>Polishetti Sony Anusha</t>
  </si>
  <si>
    <t>C36231615</t>
  </si>
  <si>
    <t>Dhirendra Kumar</t>
  </si>
  <si>
    <t>O36230064</t>
  </si>
  <si>
    <t>C36231175</t>
  </si>
  <si>
    <t>Ramya Chandrasekar</t>
  </si>
  <si>
    <t>C36231269</t>
  </si>
  <si>
    <t>vinod kumar</t>
  </si>
  <si>
    <t>C36231191</t>
  </si>
  <si>
    <t>Rutuja Ravindra Shinde</t>
  </si>
  <si>
    <t>C36231346</t>
  </si>
  <si>
    <t>Manish Ashok Mane</t>
  </si>
  <si>
    <t>C36231270</t>
  </si>
  <si>
    <t>Karishma Dilip Gaikwad</t>
  </si>
  <si>
    <t>C36231271</t>
  </si>
  <si>
    <t>Aviraj Vilas Waingankar</t>
  </si>
  <si>
    <t>C36231492</t>
  </si>
  <si>
    <t>Ajab Ahamed</t>
  </si>
  <si>
    <t>C36231272</t>
  </si>
  <si>
    <t>Arbaz Inayat Sayed</t>
  </si>
  <si>
    <t>C36231254</t>
  </si>
  <si>
    <t>Aanchal</t>
  </si>
  <si>
    <t>C36231402</t>
  </si>
  <si>
    <t>Richard Anbarasjaykumar  Thomas</t>
  </si>
  <si>
    <t>C36231384</t>
  </si>
  <si>
    <t xml:space="preserve"> Satyam Babulnath  Shukla</t>
  </si>
  <si>
    <t>C36231592</t>
  </si>
  <si>
    <t>Neeraj Rana</t>
  </si>
  <si>
    <t>C36231289</t>
  </si>
  <si>
    <t>Sadiya Banu</t>
  </si>
  <si>
    <t>C36231314</t>
  </si>
  <si>
    <t>Saurabh Jagdish Vishwakarma</t>
  </si>
  <si>
    <t>C36231228</t>
  </si>
  <si>
    <t xml:space="preserve">Mathangi Soujanya </t>
  </si>
  <si>
    <t>C36231178</t>
  </si>
  <si>
    <t>Kari Venkata Naga Sai Shashank</t>
  </si>
  <si>
    <t>C36231593</t>
  </si>
  <si>
    <t>Eden Sontumyra</t>
  </si>
  <si>
    <t>C36231333</t>
  </si>
  <si>
    <t xml:space="preserve">Alimili Pavithra </t>
  </si>
  <si>
    <t>C36231294</t>
  </si>
  <si>
    <t>Raparthi Sree Sai Kumar</t>
  </si>
  <si>
    <t>C36231737</t>
  </si>
  <si>
    <t>Parameshwari B</t>
  </si>
  <si>
    <t>C36231273</t>
  </si>
  <si>
    <t xml:space="preserve"> Sangeetha priya S</t>
  </si>
  <si>
    <t>C36231263</t>
  </si>
  <si>
    <t>Priya Jayaraman</t>
  </si>
  <si>
    <t>C36231241</t>
  </si>
  <si>
    <t>Nerati Rajesh Kumar</t>
  </si>
  <si>
    <t>C36231354</t>
  </si>
  <si>
    <t>Sri Vidhya Manjunath</t>
  </si>
  <si>
    <t>C36231218</t>
  </si>
  <si>
    <t>Godha Nirmal Kumar Yadav</t>
  </si>
  <si>
    <t>C36231681</t>
  </si>
  <si>
    <t>Kalpit  Pravin Marchande</t>
  </si>
  <si>
    <t>C36231237</t>
  </si>
  <si>
    <t>Dinesh Nithiyaanand</t>
  </si>
  <si>
    <t>C36232106</t>
  </si>
  <si>
    <t>Chetan Kaluram Harad</t>
  </si>
  <si>
    <t>C36231723</t>
  </si>
  <si>
    <t xml:space="preserve"> R Bhuvaneshwari </t>
  </si>
  <si>
    <t>C36231352</t>
  </si>
  <si>
    <t>Dechamma P P</t>
  </si>
  <si>
    <t>C36231255</t>
  </si>
  <si>
    <t>Attigadda Rahul</t>
  </si>
  <si>
    <t>C36231594</t>
  </si>
  <si>
    <t>Kommu Pavan Vikranth</t>
  </si>
  <si>
    <t>C36231616</t>
  </si>
  <si>
    <t xml:space="preserve">Yerram Mounika </t>
  </si>
  <si>
    <t>C36231640</t>
  </si>
  <si>
    <t>Thatikayala Anil</t>
  </si>
  <si>
    <t>C36231699</t>
  </si>
  <si>
    <t xml:space="preserve">Pooduru Shivani </t>
  </si>
  <si>
    <t>C36231700</t>
  </si>
  <si>
    <t xml:space="preserve">Pavithra V Padmashalli  </t>
  </si>
  <si>
    <t>C36231274</t>
  </si>
  <si>
    <t>Koninti Sampurna</t>
  </si>
  <si>
    <t>C36231595</t>
  </si>
  <si>
    <t xml:space="preserve"> Utala Navya</t>
  </si>
  <si>
    <t>C36231596</t>
  </si>
  <si>
    <t>UHG UNET</t>
  </si>
  <si>
    <t>Pusya LalitaKumari</t>
  </si>
  <si>
    <t>C36231763</t>
  </si>
  <si>
    <t>Haripuri Jayanth</t>
  </si>
  <si>
    <t>C36231597</t>
  </si>
  <si>
    <t>Gulari Uday Kiran Goud</t>
  </si>
  <si>
    <t>C36231598</t>
  </si>
  <si>
    <t>Syed Musaddiq</t>
  </si>
  <si>
    <t>C36231360</t>
  </si>
  <si>
    <t>Mohammed Riyan Ahmed</t>
  </si>
  <si>
    <t>C36231865</t>
  </si>
  <si>
    <t>Arpita Sangavi</t>
  </si>
  <si>
    <t>Shashank Gowda</t>
  </si>
  <si>
    <t xml:space="preserve">Mukesh </t>
  </si>
  <si>
    <t>C36231465</t>
  </si>
  <si>
    <t xml:space="preserve">Bogala Nikitha </t>
  </si>
  <si>
    <t>C36231641</t>
  </si>
  <si>
    <t>Navin Wasekar</t>
  </si>
  <si>
    <t>C36231335</t>
  </si>
  <si>
    <t xml:space="preserve">Veerabomma Nagaraju </t>
  </si>
  <si>
    <t>C36231617</t>
  </si>
  <si>
    <t>Sura Sura Neeharika</t>
  </si>
  <si>
    <t>C36231599</t>
  </si>
  <si>
    <t>Jogu Anitha</t>
  </si>
  <si>
    <t>C36231600</t>
  </si>
  <si>
    <t>Shaik Mahammad Iliyas Basha</t>
  </si>
  <si>
    <t>C36231385</t>
  </si>
  <si>
    <t>Shaik Assan Mahamad</t>
  </si>
  <si>
    <t>C36231407</t>
  </si>
  <si>
    <t>Kasthuripally Rajesh</t>
  </si>
  <si>
    <t>C36231577</t>
  </si>
  <si>
    <t>Chandana K</t>
  </si>
  <si>
    <t>Prerna Sharma</t>
  </si>
  <si>
    <t>C36240296</t>
  </si>
  <si>
    <t xml:space="preserve">S Dhanush </t>
  </si>
  <si>
    <t>C36231256</t>
  </si>
  <si>
    <t>Glenn Roney Castelino</t>
  </si>
  <si>
    <t>C36231257</t>
  </si>
  <si>
    <t>Ashish Manmohan Kamath</t>
  </si>
  <si>
    <t>C36231651</t>
  </si>
  <si>
    <t xml:space="preserve">Shaikh Faiz Mohammed Abbas </t>
  </si>
  <si>
    <t>C36231347</t>
  </si>
  <si>
    <t>Ruhi Taslim</t>
  </si>
  <si>
    <t>Vasanthi Gopisetty</t>
  </si>
  <si>
    <t>C36231235</t>
  </si>
  <si>
    <t xml:space="preserve">Ansh  Sharma </t>
  </si>
  <si>
    <t>Kishore Kumar</t>
  </si>
  <si>
    <t>Vishal M</t>
  </si>
  <si>
    <t>Jilla Yogesh</t>
  </si>
  <si>
    <t>C36231315</t>
  </si>
  <si>
    <t xml:space="preserve">Raparthi Sai Deep </t>
  </si>
  <si>
    <t>C36231618</t>
  </si>
  <si>
    <t>Godha Neeraj Kumar Yadav</t>
  </si>
  <si>
    <t>C36231701</t>
  </si>
  <si>
    <t>Thadichettu Pooja Goud</t>
  </si>
  <si>
    <t>C36231578</t>
  </si>
  <si>
    <t>T Unnathi</t>
  </si>
  <si>
    <t>C36231619</t>
  </si>
  <si>
    <t>Srilatha  Changa</t>
  </si>
  <si>
    <t>C36231297</t>
  </si>
  <si>
    <t>Aravind  V</t>
  </si>
  <si>
    <t>C36231238</t>
  </si>
  <si>
    <t xml:space="preserve">Cheemala Hemalatha </t>
  </si>
  <si>
    <t>C36231495</t>
  </si>
  <si>
    <t>Aditi Prakash Haryan</t>
  </si>
  <si>
    <t>C36231468</t>
  </si>
  <si>
    <t>T Manoj Kumar</t>
  </si>
  <si>
    <t>Maruti Labbi</t>
  </si>
  <si>
    <t>C36232287</t>
  </si>
  <si>
    <t>Lam Research</t>
  </si>
  <si>
    <t>D Rajagopal Reddy</t>
  </si>
  <si>
    <t>C36231243</t>
  </si>
  <si>
    <t>Smitha G</t>
  </si>
  <si>
    <t>C36240291</t>
  </si>
  <si>
    <t>Subhnesh  Kumar</t>
  </si>
  <si>
    <t>C36231281</t>
  </si>
  <si>
    <t>Umme Kulsum B</t>
  </si>
  <si>
    <t>C36231276</t>
  </si>
  <si>
    <t>Gandhar Vinay Naik</t>
  </si>
  <si>
    <t>C36231724</t>
  </si>
  <si>
    <t>Nafimunnisa</t>
  </si>
  <si>
    <t>C36231459</t>
  </si>
  <si>
    <t>Ganesh Parasram Thombre</t>
  </si>
  <si>
    <t>C36231251</t>
  </si>
  <si>
    <t xml:space="preserve">Akarsh Shrivastava </t>
  </si>
  <si>
    <t>C36231298</t>
  </si>
  <si>
    <t>Cleartrip</t>
  </si>
  <si>
    <t>Anandhu B  Kumar</t>
  </si>
  <si>
    <t>C36231282</t>
  </si>
  <si>
    <t xml:space="preserve">Mary Atline  Antony </t>
  </si>
  <si>
    <t>C36231283</t>
  </si>
  <si>
    <t>Odela Venkata Ganesh  Kumar</t>
  </si>
  <si>
    <t>C36231292</t>
  </si>
  <si>
    <t>Varad Vijay Tiwrekar</t>
  </si>
  <si>
    <t>C36231652</t>
  </si>
  <si>
    <t>Gangaram  Kailash Singh</t>
  </si>
  <si>
    <t>C36231716</t>
  </si>
  <si>
    <t>Vadagam Geetha</t>
  </si>
  <si>
    <t>C36231579</t>
  </si>
  <si>
    <t>Magduri  Ramesh</t>
  </si>
  <si>
    <t>C36231764</t>
  </si>
  <si>
    <t>A K  Priya</t>
  </si>
  <si>
    <t>C36231580</t>
  </si>
  <si>
    <t xml:space="preserve">B Manasa </t>
  </si>
  <si>
    <t>C36231568</t>
  </si>
  <si>
    <t>Sneha Mahaveer</t>
  </si>
  <si>
    <t xml:space="preserve">Md Saif  Ahmed </t>
  </si>
  <si>
    <t>C36231545</t>
  </si>
  <si>
    <t>Venkatesh Gottam</t>
  </si>
  <si>
    <t>C36231316</t>
  </si>
  <si>
    <t>K Ravinder Reddy</t>
  </si>
  <si>
    <t>C36231444</t>
  </si>
  <si>
    <t>Subha Bharathi</t>
  </si>
  <si>
    <t>Abhishek Sharma</t>
  </si>
  <si>
    <t>C36231244</t>
  </si>
  <si>
    <t xml:space="preserve">Kandukuri Vaishnavi </t>
  </si>
  <si>
    <t>C36231702</t>
  </si>
  <si>
    <t xml:space="preserve">Kaasam Ramya </t>
  </si>
  <si>
    <t>C36231682</t>
  </si>
  <si>
    <t>Priyanka Rao</t>
  </si>
  <si>
    <t>C36231524</t>
  </si>
  <si>
    <t xml:space="preserve">Konanki Roopa </t>
  </si>
  <si>
    <t>C36231601</t>
  </si>
  <si>
    <t>Parasurama Gouda E</t>
  </si>
  <si>
    <t>C36231290</t>
  </si>
  <si>
    <t>Justin Dsilva</t>
  </si>
  <si>
    <t>Bonala  Ravali</t>
  </si>
  <si>
    <t>C36231620</t>
  </si>
  <si>
    <t>KEERTHANA S</t>
  </si>
  <si>
    <t>C36231293</t>
  </si>
  <si>
    <t>Nishma J  Reddy</t>
  </si>
  <si>
    <t>C36231245</t>
  </si>
  <si>
    <t>Anem  Mounika</t>
  </si>
  <si>
    <t>C36231602</t>
  </si>
  <si>
    <t>Vinay Kumar</t>
  </si>
  <si>
    <t xml:space="preserve"> Gadidapati Priya </t>
  </si>
  <si>
    <t>C36231621</t>
  </si>
  <si>
    <t>Kaleru Vineeth</t>
  </si>
  <si>
    <t>C36231703</t>
  </si>
  <si>
    <t>Dasi Swetha</t>
  </si>
  <si>
    <t>C36231683</t>
  </si>
  <si>
    <t>Koushik V</t>
  </si>
  <si>
    <t>C36231264</t>
  </si>
  <si>
    <t>Henna Kousar F</t>
  </si>
  <si>
    <t>C36231246</t>
  </si>
  <si>
    <t>Syeda Saniya</t>
  </si>
  <si>
    <t>C36231247</t>
  </si>
  <si>
    <t>Aqeeb Khan</t>
  </si>
  <si>
    <t>C36231248</t>
  </si>
  <si>
    <t>Dasi Jagadeesh</t>
  </si>
  <si>
    <t>C36231684</t>
  </si>
  <si>
    <t xml:space="preserve">Manda Kalyan  </t>
  </si>
  <si>
    <t>C36231581</t>
  </si>
  <si>
    <t>Dimple Prasad</t>
  </si>
  <si>
    <t>C36231249</t>
  </si>
  <si>
    <t>Deepak Kumar Choudhary</t>
  </si>
  <si>
    <t>C36231250</t>
  </si>
  <si>
    <t xml:space="preserve">Kommoju Chandu sai Rama chandra Murthy </t>
  </si>
  <si>
    <t>C36231334</t>
  </si>
  <si>
    <t>Anwesha Chatterjee</t>
  </si>
  <si>
    <t>C36231353</t>
  </si>
  <si>
    <t xml:space="preserve">kanamarla  Raghunandan  </t>
  </si>
  <si>
    <t>C36231429</t>
  </si>
  <si>
    <t>Afiya Zaiba A</t>
  </si>
  <si>
    <t>C36231265</t>
  </si>
  <si>
    <t>KORICHVRLA VAISHNAVI</t>
  </si>
  <si>
    <t>C36231704</t>
  </si>
  <si>
    <t xml:space="preserve">Pothu Ashwitha </t>
  </si>
  <si>
    <t>C36231376</t>
  </si>
  <si>
    <t>Tokala Abhishalom</t>
  </si>
  <si>
    <t>C36231622</t>
  </si>
  <si>
    <t xml:space="preserve">Kothoju Radhika </t>
  </si>
  <si>
    <t>C36231603</t>
  </si>
  <si>
    <t>Shaik ShashaVali</t>
  </si>
  <si>
    <t>C36231727</t>
  </si>
  <si>
    <t>Gunde Vaishnavi</t>
  </si>
  <si>
    <t>C36231623</t>
  </si>
  <si>
    <t>Gudlavaleti Sowjanya</t>
  </si>
  <si>
    <t>C36231729</t>
  </si>
  <si>
    <t xml:space="preserve">Kolanupaka Bhargavi </t>
  </si>
  <si>
    <t>C36231705</t>
  </si>
  <si>
    <t>Bandaru Madhusudha naChari</t>
  </si>
  <si>
    <t>C36231624</t>
  </si>
  <si>
    <t>Panigantla Nandhini</t>
  </si>
  <si>
    <t>C36231706</t>
  </si>
  <si>
    <t>Surabhi Sharma</t>
  </si>
  <si>
    <t>C36231317</t>
  </si>
  <si>
    <t>Inchiparambil Raymon Paulose</t>
  </si>
  <si>
    <t>C36231309</t>
  </si>
  <si>
    <t>Apeksha Bhavikatti</t>
  </si>
  <si>
    <t>C36231258</t>
  </si>
  <si>
    <t>Shikha Shina</t>
  </si>
  <si>
    <t>C36231259</t>
  </si>
  <si>
    <t xml:space="preserve">B Madhusudan </t>
  </si>
  <si>
    <t>C36231625</t>
  </si>
  <si>
    <t xml:space="preserve">Marufa </t>
  </si>
  <si>
    <t>C36231260</t>
  </si>
  <si>
    <t>Saiqua Maheen M A</t>
  </si>
  <si>
    <t>C36231261</t>
  </si>
  <si>
    <t>Kommu Jyothi</t>
  </si>
  <si>
    <t>C36231546</t>
  </si>
  <si>
    <t xml:space="preserve">Gunji Deepika </t>
  </si>
  <si>
    <t>C36231642</t>
  </si>
  <si>
    <t>Pallekadi Shashidhar</t>
  </si>
  <si>
    <t>C36231783</t>
  </si>
  <si>
    <t>Madari Sai Karthik</t>
  </si>
  <si>
    <t>C36231569</t>
  </si>
  <si>
    <t>S Helan  Monica</t>
  </si>
  <si>
    <t>C36231299</t>
  </si>
  <si>
    <t>Kodaganti  Bhuvaneshwari</t>
  </si>
  <si>
    <t>C36231866</t>
  </si>
  <si>
    <t xml:space="preserve">Mundla prardhana </t>
  </si>
  <si>
    <t>C36231570</t>
  </si>
  <si>
    <t xml:space="preserve"> Soubhagya Hota </t>
  </si>
  <si>
    <t>C36231285</t>
  </si>
  <si>
    <t>Koyalkar Girija</t>
  </si>
  <si>
    <t>C36231707</t>
  </si>
  <si>
    <t xml:space="preserve">Pramod Upadhyaya PK </t>
  </si>
  <si>
    <t>C36231330</t>
  </si>
  <si>
    <t>Dhanraj Singh</t>
  </si>
  <si>
    <t>C36231504</t>
  </si>
  <si>
    <t>Phalke Aniket Rahul</t>
  </si>
  <si>
    <t>C36231305</t>
  </si>
  <si>
    <t>Sharath B Kodad</t>
  </si>
  <si>
    <t>C36231266</t>
  </si>
  <si>
    <t>S Murali Krishna</t>
  </si>
  <si>
    <t>C36231296</t>
  </si>
  <si>
    <t>Gunjan Swaroop Sharma</t>
  </si>
  <si>
    <t>O36230065</t>
  </si>
  <si>
    <t xml:space="preserve">Rajshekar </t>
  </si>
  <si>
    <t>C36231357</t>
  </si>
  <si>
    <t xml:space="preserve">Geetha </t>
  </si>
  <si>
    <t>C36231286</t>
  </si>
  <si>
    <t>Hussain Saheb P</t>
  </si>
  <si>
    <t>Naveen Kumar M N</t>
  </si>
  <si>
    <t>C36240357</t>
  </si>
  <si>
    <t>Shakthi M</t>
  </si>
  <si>
    <t>C36231329</t>
  </si>
  <si>
    <t>Varsha Prakashlal Chawrai</t>
  </si>
  <si>
    <t>C36231300</t>
  </si>
  <si>
    <t>Haritha P</t>
  </si>
  <si>
    <t>C36231287</t>
  </si>
  <si>
    <t>Kethuri Sindhuja</t>
  </si>
  <si>
    <t>C36231900</t>
  </si>
  <si>
    <t xml:space="preserve">Neha Kumari </t>
  </si>
  <si>
    <t>C36231349</t>
  </si>
  <si>
    <t>Sharmaine Maria Ignatio</t>
  </si>
  <si>
    <t>C36231362</t>
  </si>
  <si>
    <t>S Dilip Kumar</t>
  </si>
  <si>
    <t>C36231371</t>
  </si>
  <si>
    <t>Khushal Chetankumar Chaudhary</t>
  </si>
  <si>
    <t>C36231351</t>
  </si>
  <si>
    <t xml:space="preserve">Tanvi Sanjay Shinde </t>
  </si>
  <si>
    <t>C36231302</t>
  </si>
  <si>
    <t>Yelike Venkata Subash Chandra  Bose</t>
  </si>
  <si>
    <t>C36231288</t>
  </si>
  <si>
    <t>C36231348</t>
  </si>
  <si>
    <t xml:space="preserve">Mallela Deepika </t>
  </si>
  <si>
    <t>C36231408</t>
  </si>
  <si>
    <t>Tabinda   Mehmood</t>
  </si>
  <si>
    <t>C36231345</t>
  </si>
  <si>
    <t xml:space="preserve">Methari Mahima Sri  </t>
  </si>
  <si>
    <t>C36231535</t>
  </si>
  <si>
    <t xml:space="preserve"> Vijayakumar</t>
  </si>
  <si>
    <t>C36231308</t>
  </si>
  <si>
    <t>Denzil Donald Baretto</t>
  </si>
  <si>
    <t>C36231475</t>
  </si>
  <si>
    <t>Razia Sulthana</t>
  </si>
  <si>
    <t>O36230039</t>
  </si>
  <si>
    <t>Divya P</t>
  </si>
  <si>
    <t>C36231295</t>
  </si>
  <si>
    <t>Akhil Gupta</t>
  </si>
  <si>
    <t>C36231336</t>
  </si>
  <si>
    <t>Gajji  Mahesh</t>
  </si>
  <si>
    <t>C36231571</t>
  </si>
  <si>
    <t>Nakkala Sai Charan  Yadav</t>
  </si>
  <si>
    <t>C36231572</t>
  </si>
  <si>
    <t xml:space="preserve"> Atmakuri  Sai </t>
  </si>
  <si>
    <t>C36231626</t>
  </si>
  <si>
    <t>Nikita Sharma</t>
  </si>
  <si>
    <t>C36231355</t>
  </si>
  <si>
    <t>Kiran S</t>
  </si>
  <si>
    <t>C36231445</t>
  </si>
  <si>
    <t xml:space="preserve"> M Varsha </t>
  </si>
  <si>
    <t>C36231319</t>
  </si>
  <si>
    <t>Ashwin  Kumar</t>
  </si>
  <si>
    <t>C36231409</t>
  </si>
  <si>
    <t>Rishi Kailash Joshi</t>
  </si>
  <si>
    <t>C36231350</t>
  </si>
  <si>
    <t>Morla  Pavani</t>
  </si>
  <si>
    <t xml:space="preserve"> Akshaya S</t>
  </si>
  <si>
    <t>O36230040</t>
  </si>
  <si>
    <t>Balaji Neela  Prasad</t>
  </si>
  <si>
    <t>Monigha Dhanabalan</t>
  </si>
  <si>
    <t>C36231306</t>
  </si>
  <si>
    <t>Priyanka Warad</t>
  </si>
  <si>
    <t>O36230066</t>
  </si>
  <si>
    <t xml:space="preserve">Kurakula Nagaraju </t>
  </si>
  <si>
    <t>C36231378</t>
  </si>
  <si>
    <t>Kiran R S</t>
  </si>
  <si>
    <t>C36231421</t>
  </si>
  <si>
    <t>Jinna Kala Madhav Reddy</t>
  </si>
  <si>
    <t>C36231338</t>
  </si>
  <si>
    <t>Sairam Panguluri</t>
  </si>
  <si>
    <t>C36231303</t>
  </si>
  <si>
    <t xml:space="preserve">Cheekatla Ganesh </t>
  </si>
  <si>
    <t>C36231379</t>
  </si>
  <si>
    <t>Deekshith MS</t>
  </si>
  <si>
    <t xml:space="preserve">Neha Tabassum </t>
  </si>
  <si>
    <t>O36230076</t>
  </si>
  <si>
    <t>EY</t>
  </si>
  <si>
    <t>Edith Deborah</t>
  </si>
  <si>
    <t>O36230069</t>
  </si>
  <si>
    <t>Mohana Bhavya Y</t>
  </si>
  <si>
    <t>O36230079</t>
  </si>
  <si>
    <t>Snehal Neel Pathak</t>
  </si>
  <si>
    <t>O36230077</t>
  </si>
  <si>
    <t>Shaik  Nayeem</t>
  </si>
  <si>
    <t>Nidhi Arunsingh Bhadoriya</t>
  </si>
  <si>
    <t>O36230071</t>
  </si>
  <si>
    <t>Aruna Mariya</t>
  </si>
  <si>
    <t>C36231307</t>
  </si>
  <si>
    <t>C36231304</t>
  </si>
  <si>
    <t>Ananya H C</t>
  </si>
  <si>
    <t>O36230073</t>
  </si>
  <si>
    <t>Vivek Nambiar S V</t>
  </si>
  <si>
    <t>O36230078</t>
  </si>
  <si>
    <t>O36230067</t>
  </si>
  <si>
    <t>Marlyn George</t>
  </si>
  <si>
    <t>O36230080</t>
  </si>
  <si>
    <t>Hannah Kirubaraj</t>
  </si>
  <si>
    <t>O36230074</t>
  </si>
  <si>
    <t>Soumya Alawadhi</t>
  </si>
  <si>
    <t>O36230068</t>
  </si>
  <si>
    <t>Jacqueline</t>
  </si>
  <si>
    <t>O36230070</t>
  </si>
  <si>
    <t>Mrudul Joseph</t>
  </si>
  <si>
    <t>O36230072</t>
  </si>
  <si>
    <t xml:space="preserve">S Abhishek </t>
  </si>
  <si>
    <t>C36231443</t>
  </si>
  <si>
    <t xml:space="preserve">Vevina Stanley </t>
  </si>
  <si>
    <t>C36231322</t>
  </si>
  <si>
    <t>Swathi N S</t>
  </si>
  <si>
    <t>C36231356</t>
  </si>
  <si>
    <t xml:space="preserve">KS Nanjappa </t>
  </si>
  <si>
    <t>C36231405</t>
  </si>
  <si>
    <t>Sanjay V</t>
  </si>
  <si>
    <t>C36231653</t>
  </si>
  <si>
    <t xml:space="preserve">  Alisha Henarica Chand </t>
  </si>
  <si>
    <t>C36231414</t>
  </si>
  <si>
    <t>Stefy Davis P</t>
  </si>
  <si>
    <t>C36231436</t>
  </si>
  <si>
    <t>Lakshmi Sri P</t>
  </si>
  <si>
    <t>C36231386</t>
  </si>
  <si>
    <t xml:space="preserve">Justin V Thomas </t>
  </si>
  <si>
    <t>C36231419</t>
  </si>
  <si>
    <t>Disha Awasthi</t>
  </si>
  <si>
    <t>C36231505</t>
  </si>
  <si>
    <t xml:space="preserve">Bulokam Sowmya Rani </t>
  </si>
  <si>
    <t>C36231643</t>
  </si>
  <si>
    <t>Jagadesh V</t>
  </si>
  <si>
    <t>O36230041</t>
  </si>
  <si>
    <t>Gagan Kumar</t>
  </si>
  <si>
    <t>Srilakshmi Nair</t>
  </si>
  <si>
    <t>C36231393</t>
  </si>
  <si>
    <t xml:space="preserve">Gujarathi Rishitha </t>
  </si>
  <si>
    <t>C36231604</t>
  </si>
  <si>
    <t xml:space="preserve">Snehith Ravi Kumar </t>
  </si>
  <si>
    <t>C36231380</t>
  </si>
  <si>
    <t xml:space="preserve">V V Rama Brahmam Darla </t>
  </si>
  <si>
    <t>C36231644</t>
  </si>
  <si>
    <t>Medisetti Yamuna Mahathi Bindu</t>
  </si>
  <si>
    <t>C36231627</t>
  </si>
  <si>
    <t xml:space="preserve">Krishna Reddy Nandyala </t>
  </si>
  <si>
    <t>C36231328</t>
  </si>
  <si>
    <t>Riya Bagga</t>
  </si>
  <si>
    <t>C36231417</t>
  </si>
  <si>
    <t xml:space="preserve">Matoori Srikanth </t>
  </si>
  <si>
    <t>C36231605</t>
  </si>
  <si>
    <t>Jonathan  Menezes</t>
  </si>
  <si>
    <t>C36231423</t>
  </si>
  <si>
    <t>John Dynesious Joseph Manikuzhiyill</t>
  </si>
  <si>
    <t>C36231428</t>
  </si>
  <si>
    <t>Sherin  Robin</t>
  </si>
  <si>
    <t>C36231337</t>
  </si>
  <si>
    <t>Thaen  Tamizh .K</t>
  </si>
  <si>
    <t>C36231513</t>
  </si>
  <si>
    <t>Uddhav  Maruti Kadam</t>
  </si>
  <si>
    <t>C36231489</t>
  </si>
  <si>
    <t xml:space="preserve">T Sanjeevani Dora </t>
  </si>
  <si>
    <t>C36231525</t>
  </si>
  <si>
    <t xml:space="preserve">Vibhor Tyagi </t>
  </si>
  <si>
    <t>C36231961</t>
  </si>
  <si>
    <t>Shaista</t>
  </si>
  <si>
    <t>C36231474</t>
  </si>
  <si>
    <t>Pritee Rupesh chordiya</t>
  </si>
  <si>
    <t>C36231439</t>
  </si>
  <si>
    <t>Palamakula Srikanth</t>
  </si>
  <si>
    <t>C36231582</t>
  </si>
  <si>
    <t>Silpa Vukkem</t>
  </si>
  <si>
    <t xml:space="preserve">   Nasina  Srinivasulu </t>
  </si>
  <si>
    <t>O36230042</t>
  </si>
  <si>
    <t>Yemuna M</t>
  </si>
  <si>
    <t>C36231325</t>
  </si>
  <si>
    <t>Anilkumar  N</t>
  </si>
  <si>
    <t>C36231415</t>
  </si>
  <si>
    <t>Aishwarya Suresh Shinde</t>
  </si>
  <si>
    <t>C36231323</t>
  </si>
  <si>
    <t xml:space="preserve">B Anchal Prusty </t>
  </si>
  <si>
    <t>C36231573</t>
  </si>
  <si>
    <t>Jupalli Naga  Anjali Devi</t>
  </si>
  <si>
    <t>C36231657</t>
  </si>
  <si>
    <t>Sabeetha</t>
  </si>
  <si>
    <t>C36231324</t>
  </si>
  <si>
    <t>C36231332</t>
  </si>
  <si>
    <t>Jonathan Clifford Saldanha</t>
  </si>
  <si>
    <t>C36231456</t>
  </si>
  <si>
    <t>Nargey Abhilash Yadav</t>
  </si>
  <si>
    <t>C36231554</t>
  </si>
  <si>
    <t>Tanya S</t>
  </si>
  <si>
    <t xml:space="preserve">A T Neeraja </t>
  </si>
  <si>
    <t>O36230060</t>
  </si>
  <si>
    <t>Gyanveer Nishad</t>
  </si>
  <si>
    <t>C36231434</t>
  </si>
  <si>
    <t>Mohammed Parvaiz</t>
  </si>
  <si>
    <t>C36231394</t>
  </si>
  <si>
    <t>Anjali Vishwajeet Singh</t>
  </si>
  <si>
    <t>C36231460</t>
  </si>
  <si>
    <t>Shaik Imtiyaz</t>
  </si>
  <si>
    <t>C36231717</t>
  </si>
  <si>
    <t xml:space="preserve">Jakke Anusha </t>
  </si>
  <si>
    <t>C36231718</t>
  </si>
  <si>
    <t>Arsh  Unnisa</t>
  </si>
  <si>
    <t>C36231628</t>
  </si>
  <si>
    <t xml:space="preserve">Ram  Sharan </t>
  </si>
  <si>
    <t>C36231517</t>
  </si>
  <si>
    <t>Abhishek A N</t>
  </si>
  <si>
    <t>C36231418</t>
  </si>
  <si>
    <t>Rapelli Sai Druthi</t>
  </si>
  <si>
    <t>C36231629</t>
  </si>
  <si>
    <t>Raghav G</t>
  </si>
  <si>
    <t>C36231501</t>
  </si>
  <si>
    <t>Manjunath Rajaput</t>
  </si>
  <si>
    <t>C36231446</t>
  </si>
  <si>
    <t xml:space="preserve">Priyanka Patil </t>
  </si>
  <si>
    <t>C36231555</t>
  </si>
  <si>
    <t>Pratheek Boyapati</t>
  </si>
  <si>
    <t>C36231476</t>
  </si>
  <si>
    <t>C Aishwarya Rajput</t>
  </si>
  <si>
    <t>C36231452</t>
  </si>
  <si>
    <t>Jerin John</t>
  </si>
  <si>
    <t>C36231416</t>
  </si>
  <si>
    <t>Shaik Imrana</t>
  </si>
  <si>
    <t>C36231941</t>
  </si>
  <si>
    <t>Malini  Chandrabalan</t>
  </si>
  <si>
    <t>C36231457</t>
  </si>
  <si>
    <t>Prachita Mohanty</t>
  </si>
  <si>
    <t>C36231447</t>
  </si>
  <si>
    <t>Spanishta Adil Irani</t>
  </si>
  <si>
    <t>C36231488</t>
  </si>
  <si>
    <t>Nehal Atul  Panchal</t>
  </si>
  <si>
    <t>C36231490</t>
  </si>
  <si>
    <t>Bhageshwari Himanshu Yadav</t>
  </si>
  <si>
    <t>C36231427</t>
  </si>
  <si>
    <t xml:space="preserve"> Amol Digambar Vaidya</t>
  </si>
  <si>
    <t>C36231440</t>
  </si>
  <si>
    <t>Anjali Ajith Singh</t>
  </si>
  <si>
    <t>C36231432</t>
  </si>
  <si>
    <t>Kritika  Shailesh Shirke</t>
  </si>
  <si>
    <t>C36231455</t>
  </si>
  <si>
    <t>Garima Sachdeva</t>
  </si>
  <si>
    <t>O36230084</t>
  </si>
  <si>
    <t>EY payroll</t>
  </si>
  <si>
    <t>Malavika B</t>
  </si>
  <si>
    <t>O36230081</t>
  </si>
  <si>
    <t>Sathisha R</t>
  </si>
  <si>
    <t>C36231556</t>
  </si>
  <si>
    <t xml:space="preserve">Vippari Rajesh  </t>
  </si>
  <si>
    <t>C36231547</t>
  </si>
  <si>
    <t>Reetika  Singh</t>
  </si>
  <si>
    <t>C36231437</t>
  </si>
  <si>
    <t xml:space="preserve"> Baswa Meddinti  Prem Viraj</t>
  </si>
  <si>
    <t>C36231736</t>
  </si>
  <si>
    <t>Karikar Abu Jafar Abdul Munnan</t>
  </si>
  <si>
    <t>C36231485</t>
  </si>
  <si>
    <t xml:space="preserve">K Sandeep </t>
  </si>
  <si>
    <t>C36231548</t>
  </si>
  <si>
    <t>Mohammad Humaid Mukim Shaikh</t>
  </si>
  <si>
    <t>C36231431</t>
  </si>
  <si>
    <t>Harshal  Shishir Manke</t>
  </si>
  <si>
    <t>C36231430</t>
  </si>
  <si>
    <t>Afreen Alisha</t>
  </si>
  <si>
    <t>C36231454</t>
  </si>
  <si>
    <t>Saleema Khatoon</t>
  </si>
  <si>
    <t>C36231967</t>
  </si>
  <si>
    <t>Divya  Mishra</t>
  </si>
  <si>
    <t>O36230082</t>
  </si>
  <si>
    <t xml:space="preserve">Medam Meghana </t>
  </si>
  <si>
    <t>C36231496</t>
  </si>
  <si>
    <t>Maddula Radha Krishna Muthy</t>
  </si>
  <si>
    <t>C36231583</t>
  </si>
  <si>
    <t>Bhakti Bhagawat  Chavare</t>
  </si>
  <si>
    <t>C36231497</t>
  </si>
  <si>
    <t>Ameena  Shajahan Hassan</t>
  </si>
  <si>
    <t>O36230083</t>
  </si>
  <si>
    <t>EY-GDS</t>
  </si>
  <si>
    <t>Pradeep Inti</t>
  </si>
  <si>
    <t>C36231506</t>
  </si>
  <si>
    <t>Gaurav  Santhosh Tiwari</t>
  </si>
  <si>
    <t>C36231433</t>
  </si>
  <si>
    <t>Harsh Jagdish Agarwal</t>
  </si>
  <si>
    <t>C36231441</t>
  </si>
  <si>
    <t>Dipansha Shailesh Salvi</t>
  </si>
  <si>
    <t>C36231442</t>
  </si>
  <si>
    <t>Kruthika S R</t>
  </si>
  <si>
    <t>O36230053</t>
  </si>
  <si>
    <t xml:space="preserve">K Preethi  </t>
  </si>
  <si>
    <t>C36231823</t>
  </si>
  <si>
    <t>C Selvam</t>
  </si>
  <si>
    <t>C36231449</t>
  </si>
  <si>
    <t xml:space="preserve">Guddanti Vishnu </t>
  </si>
  <si>
    <t>C36231649</t>
  </si>
  <si>
    <t>Shruthi Ms</t>
  </si>
  <si>
    <t>C36231510</t>
  </si>
  <si>
    <t xml:space="preserve">Bhukya Praveen </t>
  </si>
  <si>
    <t>C36231630</t>
  </si>
  <si>
    <t xml:space="preserve"> Vikshitha S U</t>
  </si>
  <si>
    <t>C36231523</t>
  </si>
  <si>
    <t xml:space="preserve">Vemireddy Vinay Kumar Reddy </t>
  </si>
  <si>
    <t>C36231498</t>
  </si>
  <si>
    <t>Bilal Pasha</t>
  </si>
  <si>
    <t>C36231511</t>
  </si>
  <si>
    <t>Mahmood  Dawood Basha Shaikh</t>
  </si>
  <si>
    <t>C36231779</t>
  </si>
  <si>
    <t>Aman Jayaprakash Yadav</t>
  </si>
  <si>
    <t>C36231477</t>
  </si>
  <si>
    <t>Debarati Chakraborty</t>
  </si>
  <si>
    <t>C36231486</t>
  </si>
  <si>
    <t>Stephanie Jyrwa Nongsiej</t>
  </si>
  <si>
    <t>C36231552</t>
  </si>
  <si>
    <t>Sowmiya Haridoss</t>
  </si>
  <si>
    <t>C36231483</t>
  </si>
  <si>
    <t>Vritika Dinesh Kithani</t>
  </si>
  <si>
    <t>C36231473</t>
  </si>
  <si>
    <t>Zaveriya Shoaib Wasim Khan</t>
  </si>
  <si>
    <t>C36231450</t>
  </si>
  <si>
    <t>Neeraj Jaswant Jaiswar</t>
  </si>
  <si>
    <t>C36231732</t>
  </si>
  <si>
    <t>Sakshi Bhaskar  Poojari</t>
  </si>
  <si>
    <t>C36231451</t>
  </si>
  <si>
    <t xml:space="preserve">Lovepreet Sukhchain Singh Sandhu </t>
  </si>
  <si>
    <t>C36231471</t>
  </si>
  <si>
    <t>Arvind Sayar Singh</t>
  </si>
  <si>
    <t>C36231472</t>
  </si>
  <si>
    <t>Joel  Eapen</t>
  </si>
  <si>
    <t>C36231453</t>
  </si>
  <si>
    <t>Shwetha Bl</t>
  </si>
  <si>
    <t>Ashish Kumar</t>
  </si>
  <si>
    <t>C36231487</t>
  </si>
  <si>
    <t>Vivek Vilas Shirke</t>
  </si>
  <si>
    <t>C36231689</t>
  </si>
  <si>
    <t>Raksha Rohidas Mudgekar</t>
  </si>
  <si>
    <t>O36230049</t>
  </si>
  <si>
    <t xml:space="preserve">Durga A </t>
  </si>
  <si>
    <t>C36231507</t>
  </si>
  <si>
    <t xml:space="preserve">Mutyala RamaDevi  </t>
  </si>
  <si>
    <t>C36231867</t>
  </si>
  <si>
    <t xml:space="preserve"> Nilesh Tanaji Yewale </t>
  </si>
  <si>
    <t>C36231518</t>
  </si>
  <si>
    <t xml:space="preserve"> Mallikarjunaiah  V B</t>
  </si>
  <si>
    <t>C36231466</t>
  </si>
  <si>
    <t xml:space="preserve">Manjunatha J </t>
  </si>
  <si>
    <t>C36231467</t>
  </si>
  <si>
    <t>Anaboina  Sai Kumar</t>
  </si>
  <si>
    <t>C36231574</t>
  </si>
  <si>
    <t>Nimmaka  Praveen Kumar</t>
  </si>
  <si>
    <t>C36231645</t>
  </si>
  <si>
    <t>Minaxi Dinesh Singh</t>
  </si>
  <si>
    <t>C36231662</t>
  </si>
  <si>
    <t>Rehan Phiroz  Shaikh</t>
  </si>
  <si>
    <t>C36231469</t>
  </si>
  <si>
    <t>Megha Keshav Kammar</t>
  </si>
  <si>
    <t>C36231478</t>
  </si>
  <si>
    <t>Shubham Ramesh  Sanas</t>
  </si>
  <si>
    <t>C36231509</t>
  </si>
  <si>
    <t xml:space="preserve">Awnish Kumar Ujjain </t>
  </si>
  <si>
    <t>C36231499</t>
  </si>
  <si>
    <t>Yashwant Rao Patanker</t>
  </si>
  <si>
    <t>C36231807</t>
  </si>
  <si>
    <t xml:space="preserve">Korashika Balaji </t>
  </si>
  <si>
    <t>C36231516</t>
  </si>
  <si>
    <t>Sandeep Ramanand Bhartee</t>
  </si>
  <si>
    <t>C36231479</t>
  </si>
  <si>
    <t xml:space="preserve">Gyana Manjari Kar </t>
  </si>
  <si>
    <t>C36231557</t>
  </si>
  <si>
    <t>U Manas Patro</t>
  </si>
  <si>
    <t>C36231536</t>
  </si>
  <si>
    <t xml:space="preserve">Adabala Ashwini Durga  Pranavi </t>
  </si>
  <si>
    <t>C36231575</t>
  </si>
  <si>
    <t>Khupat Vishnu Priya</t>
  </si>
  <si>
    <t>C36231646</t>
  </si>
  <si>
    <t>Vaishnavi S</t>
  </si>
  <si>
    <t>C36231527</t>
  </si>
  <si>
    <t>Rahul Biliye</t>
  </si>
  <si>
    <t>C36231561</t>
  </si>
  <si>
    <t>Samruddhi Sanjay Kondekar</t>
  </si>
  <si>
    <t>C36231612</t>
  </si>
  <si>
    <t>Yarrasani Venkatesh Yadav</t>
  </si>
  <si>
    <t>C36231484</t>
  </si>
  <si>
    <t>Ankit Satish  Singh</t>
  </si>
  <si>
    <t>C36231530</t>
  </si>
  <si>
    <t>J Sai teja</t>
  </si>
  <si>
    <t>C36231868</t>
  </si>
  <si>
    <t>Vaibhav Parikshit Karkare</t>
  </si>
  <si>
    <t>C36231542</t>
  </si>
  <si>
    <t xml:space="preserve">Goulikar Vijay Kumar  </t>
  </si>
  <si>
    <t>C36231824</t>
  </si>
  <si>
    <t>Jyoti Chalawadi S</t>
  </si>
  <si>
    <t xml:space="preserve">Nalla Mounika </t>
  </si>
  <si>
    <t>C36231660</t>
  </si>
  <si>
    <t xml:space="preserve">Dhirendra Kumar </t>
  </si>
  <si>
    <t>C36231470</t>
  </si>
  <si>
    <t>Priya Dharshini C</t>
  </si>
  <si>
    <t xml:space="preserve">RASURI SWATHI </t>
  </si>
  <si>
    <t>C36231927</t>
  </si>
  <si>
    <t>Nikitha A</t>
  </si>
  <si>
    <t>KUMMARI KRISHNA</t>
  </si>
  <si>
    <t>C36231840</t>
  </si>
  <si>
    <t>SHAMA ANIL KUMAR</t>
  </si>
  <si>
    <t>C36231928</t>
  </si>
  <si>
    <t>Nakka Sravanthi</t>
  </si>
  <si>
    <t>C36231945</t>
  </si>
  <si>
    <t>Dhamarakunta Navanitha</t>
  </si>
  <si>
    <t>C36231658</t>
  </si>
  <si>
    <t>SANJEEVAKOTA MEENAKSHI</t>
  </si>
  <si>
    <t>C36231670</t>
  </si>
  <si>
    <t xml:space="preserve"> Dhananjay Sushil kumar Jaiswar</t>
  </si>
  <si>
    <t>C36231508</t>
  </si>
  <si>
    <t xml:space="preserve"> Akshay Bhaskar Shinde</t>
  </si>
  <si>
    <t>C36231480</t>
  </si>
  <si>
    <t>Binamra Bikash swain</t>
  </si>
  <si>
    <t>C36231481</t>
  </si>
  <si>
    <t>Valle shobha Rani</t>
  </si>
  <si>
    <t>C36231901</t>
  </si>
  <si>
    <t>Kola Mounika</t>
  </si>
  <si>
    <t>C36231631</t>
  </si>
  <si>
    <t>Aviraj Sopan Nanaware</t>
  </si>
  <si>
    <t>C36231500</t>
  </si>
  <si>
    <t>Tanduru  Hemalatha</t>
  </si>
  <si>
    <t>C36231968</t>
  </si>
  <si>
    <t xml:space="preserve">Govardhan Boddu  </t>
  </si>
  <si>
    <t>C36231647</t>
  </si>
  <si>
    <t>Vempati Pavan Kalyan</t>
  </si>
  <si>
    <t>C36231869</t>
  </si>
  <si>
    <t>Thota Manasa</t>
  </si>
  <si>
    <t>C36231834</t>
  </si>
  <si>
    <t xml:space="preserve"> Komma  Sivananda Reddy </t>
  </si>
  <si>
    <t>C36231519</t>
  </si>
  <si>
    <t>Mukesh Kumar  Yadav</t>
  </si>
  <si>
    <t>C36231482</t>
  </si>
  <si>
    <t xml:space="preserve">G Geetha Sri </t>
  </si>
  <si>
    <t>C36231520</t>
  </si>
  <si>
    <t>Rahul Ashok Kapoor</t>
  </si>
  <si>
    <t>C36231531</t>
  </si>
  <si>
    <t>Gajengi Sruthi</t>
  </si>
  <si>
    <t>C36231632</t>
  </si>
  <si>
    <t>Gubnar Balaji</t>
  </si>
  <si>
    <t>C36231576</t>
  </si>
  <si>
    <t>Suneti Sireesha</t>
  </si>
  <si>
    <t>C36231633</t>
  </si>
  <si>
    <t>Neha Ramchayan Chaurasiya</t>
  </si>
  <si>
    <t>C36231521</t>
  </si>
  <si>
    <t>Nyala Sandeep</t>
  </si>
  <si>
    <t>C36231902</t>
  </si>
  <si>
    <t>Mohammed Aamir Khan</t>
  </si>
  <si>
    <t>C36231903</t>
  </si>
  <si>
    <t>Hari Hara  Padhy</t>
  </si>
  <si>
    <t>C36231558</t>
  </si>
  <si>
    <t>Mohammed Nawaz Shareef</t>
  </si>
  <si>
    <t>C36231584</t>
  </si>
  <si>
    <t>Sardar Jagpal Singh</t>
  </si>
  <si>
    <t>C36231585</t>
  </si>
  <si>
    <t>Abdul Mailk Alaman</t>
  </si>
  <si>
    <t>C36231870</t>
  </si>
  <si>
    <t xml:space="preserve">KARAMTHOT SANGEETHA  BAI </t>
  </si>
  <si>
    <t>C36231904</t>
  </si>
  <si>
    <t>Soumya Kumatagi</t>
  </si>
  <si>
    <t>Penugonda Prathima</t>
  </si>
  <si>
    <t>C36231564</t>
  </si>
  <si>
    <t xml:space="preserve"> Amulya Bonkuru</t>
  </si>
  <si>
    <t>C36231905</t>
  </si>
  <si>
    <t xml:space="preserve">Somandula Niharika </t>
  </si>
  <si>
    <t>C36231708</t>
  </si>
  <si>
    <t xml:space="preserve"> Podichetty Sai Shivathmika </t>
  </si>
  <si>
    <t>C36231685</t>
  </si>
  <si>
    <t>Odisela Lavanya</t>
  </si>
  <si>
    <t>C36231686</t>
  </si>
  <si>
    <t>Sunisha Sunilkumar</t>
  </si>
  <si>
    <t>C36231551</t>
  </si>
  <si>
    <t xml:space="preserve">Kavya Goudageri </t>
  </si>
  <si>
    <t>O36230050</t>
  </si>
  <si>
    <t>Kola Venkata Subramanyam</t>
  </si>
  <si>
    <t>C36231794</t>
  </si>
  <si>
    <t>Akash J Jain</t>
  </si>
  <si>
    <t>C36231522</t>
  </si>
  <si>
    <t xml:space="preserve">B Suresh  </t>
  </si>
  <si>
    <t>C36231606</t>
  </si>
  <si>
    <t xml:space="preserve">Mohammed Mazhar </t>
  </si>
  <si>
    <t>C36231634</t>
  </si>
  <si>
    <t>Shaik Rahamathulla</t>
  </si>
  <si>
    <t>C36231528</t>
  </si>
  <si>
    <t>MOHAMMED HABEEB HUSSAIN</t>
  </si>
  <si>
    <t>C36231710</t>
  </si>
  <si>
    <t>Mangali Sudhakar</t>
  </si>
  <si>
    <t>C36231841</t>
  </si>
  <si>
    <t xml:space="preserve"> Pradeep K Sarathe </t>
  </si>
  <si>
    <t>C36231664</t>
  </si>
  <si>
    <t>Prabu R.S</t>
  </si>
  <si>
    <t>C36231538</t>
  </si>
  <si>
    <t>Srirangam Sankalp</t>
  </si>
  <si>
    <t>C36231738</t>
  </si>
  <si>
    <t>Heena Kouser</t>
  </si>
  <si>
    <t>C36231526</t>
  </si>
  <si>
    <t>Deepika L</t>
  </si>
  <si>
    <t>C36231639</t>
  </si>
  <si>
    <t xml:space="preserve">SINGAVARAPU ANAND </t>
  </si>
  <si>
    <t>C36231671</t>
  </si>
  <si>
    <t>THIPARTHI JAGADESHWAR REDDY</t>
  </si>
  <si>
    <t>C36231672</t>
  </si>
  <si>
    <t xml:space="preserve">L Bathma Priya  </t>
  </si>
  <si>
    <t>C36231539</t>
  </si>
  <si>
    <t>Aparna Mani</t>
  </si>
  <si>
    <t>C36231540</t>
  </si>
  <si>
    <t>Dolly Singh</t>
  </si>
  <si>
    <t>C36231589</t>
  </si>
  <si>
    <t>Kasarapu Nanda Kishore</t>
  </si>
  <si>
    <t>C36231613</t>
  </si>
  <si>
    <t xml:space="preserve">Md Zameer Ali </t>
  </si>
  <si>
    <t>C36231690</t>
  </si>
  <si>
    <t>Pavitha R</t>
  </si>
  <si>
    <t xml:space="preserve"> Kajal  Shankar Thorat</t>
  </si>
  <si>
    <t>C36231559</t>
  </si>
  <si>
    <t xml:space="preserve">R.Renuka  </t>
  </si>
  <si>
    <t>C36231691</t>
  </si>
  <si>
    <t>Vrushabh Gautam  Bansode</t>
  </si>
  <si>
    <t>C36231608</t>
  </si>
  <si>
    <t>Gorijala Pavan Kumar</t>
  </si>
  <si>
    <t>C36231541</t>
  </si>
  <si>
    <t>Chivukula Venkata Sai Raja Rohith</t>
  </si>
  <si>
    <t>C36231562</t>
  </si>
  <si>
    <t>Gowthami G P</t>
  </si>
  <si>
    <t>C36231635</t>
  </si>
  <si>
    <t>Suzanne Britto</t>
  </si>
  <si>
    <t>C36231586</t>
  </si>
  <si>
    <t xml:space="preserve">Sumedha	 Sunil Tambe </t>
  </si>
  <si>
    <t>C36231638</t>
  </si>
  <si>
    <t xml:space="preserve">Lanke Ashok </t>
  </si>
  <si>
    <t>C36231673</t>
  </si>
  <si>
    <t xml:space="preserve">Adepu Kirankumar </t>
  </si>
  <si>
    <t>C36231725</t>
  </si>
  <si>
    <t>Kotla Keerthi</t>
  </si>
  <si>
    <t>C36231692</t>
  </si>
  <si>
    <t xml:space="preserve">Varikuppala Kavya </t>
  </si>
  <si>
    <t>C36231711</t>
  </si>
  <si>
    <t>M Sravya</t>
  </si>
  <si>
    <t>C36231712</t>
  </si>
  <si>
    <t xml:space="preserve">Jannu Rakesh </t>
  </si>
  <si>
    <t>C36231758</t>
  </si>
  <si>
    <t>Chaithanya  V</t>
  </si>
  <si>
    <t>C36231560</t>
  </si>
  <si>
    <t xml:space="preserve">CHETTIBILLI RENUKA </t>
  </si>
  <si>
    <t>C36231770</t>
  </si>
  <si>
    <t>T V Divya Rani</t>
  </si>
  <si>
    <t>C36231693</t>
  </si>
  <si>
    <t>Keerthana Satheesan</t>
  </si>
  <si>
    <t>C36231674</t>
  </si>
  <si>
    <t>Ritu Santosh Botre</t>
  </si>
  <si>
    <t>C36231814</t>
  </si>
  <si>
    <t>DOKAMURI HARISH</t>
  </si>
  <si>
    <t>C36231906</t>
  </si>
  <si>
    <t>Kalpana N D</t>
  </si>
  <si>
    <t>C36231661</t>
  </si>
  <si>
    <t>Rachit Ganiga</t>
  </si>
  <si>
    <t>C36231680</t>
  </si>
  <si>
    <t xml:space="preserve">Syed Naseruddin </t>
  </si>
  <si>
    <t>C36231744</t>
  </si>
  <si>
    <t>Nitesh Rohidas Kathawale</t>
  </si>
  <si>
    <t>C36231587</t>
  </si>
  <si>
    <t>Bachala Jeevita</t>
  </si>
  <si>
    <t>C36231675</t>
  </si>
  <si>
    <t>Abhinav Kumar</t>
  </si>
  <si>
    <t>C36231563</t>
  </si>
  <si>
    <t>Swati Nayak</t>
  </si>
  <si>
    <t>C36231694</t>
  </si>
  <si>
    <t>Surya Prakash Kalapala</t>
  </si>
  <si>
    <t>C36231733</t>
  </si>
  <si>
    <t>Gundu Chandana</t>
  </si>
  <si>
    <t>C36231835</t>
  </si>
  <si>
    <t>S Keerthika</t>
  </si>
  <si>
    <t>C36231676</t>
  </si>
  <si>
    <t xml:space="preserve">Maruru   Jyoshna </t>
  </si>
  <si>
    <t>C36231740</t>
  </si>
  <si>
    <t>Bellana  Sai Kumar</t>
  </si>
  <si>
    <t>C36231713</t>
  </si>
  <si>
    <t>Sorupaka Revathi</t>
  </si>
  <si>
    <t>C36231714</t>
  </si>
  <si>
    <t>Mula Sindhu</t>
  </si>
  <si>
    <t>C36231726</t>
  </si>
  <si>
    <t xml:space="preserve"> Mohammad Nasreen</t>
  </si>
  <si>
    <t>C36231741</t>
  </si>
  <si>
    <t>Maligay  Pavan Kalyan</t>
  </si>
  <si>
    <t>C36231745</t>
  </si>
  <si>
    <t>Shaik  Abdullah</t>
  </si>
  <si>
    <t>C36231746</t>
  </si>
  <si>
    <t>Â Alupula  Vishnu Teja</t>
  </si>
  <si>
    <t>C36231739</t>
  </si>
  <si>
    <t xml:space="preserve">Dande  Sowmya Sri </t>
  </si>
  <si>
    <t>C36231771</t>
  </si>
  <si>
    <t xml:space="preserve">Vattiprolu Deepthi </t>
  </si>
  <si>
    <t>C36231753</t>
  </si>
  <si>
    <t>Chanda Gayathri</t>
  </si>
  <si>
    <t>C36231650</t>
  </si>
  <si>
    <t>Priya pushparaj</t>
  </si>
  <si>
    <t>Shaik Kouser  Begum</t>
  </si>
  <si>
    <t>C36231848</t>
  </si>
  <si>
    <t>Kindidoddi Sabitha</t>
  </si>
  <si>
    <t>C36231942</t>
  </si>
  <si>
    <t xml:space="preserve">Ambika Sunil Singh </t>
  </si>
  <si>
    <t>C36231655</t>
  </si>
  <si>
    <t xml:space="preserve">Boini Rakesh </t>
  </si>
  <si>
    <t>C36231747</t>
  </si>
  <si>
    <t>Ravula Bharath</t>
  </si>
  <si>
    <t>C36231748</t>
  </si>
  <si>
    <t>Lakhpati Prasad Tiwari</t>
  </si>
  <si>
    <t>C36231656</t>
  </si>
  <si>
    <t>Upendar  Reddy</t>
  </si>
  <si>
    <t>C36231695</t>
  </si>
  <si>
    <t>Dayyala  Pravalika</t>
  </si>
  <si>
    <t>C36231607</t>
  </si>
  <si>
    <t>Kommu Manmitha</t>
  </si>
  <si>
    <t>C36231946</t>
  </si>
  <si>
    <t>Akanksha  Tripathi</t>
  </si>
  <si>
    <t>Rohithraj  Kharvi</t>
  </si>
  <si>
    <t>C36231709</t>
  </si>
  <si>
    <t>Nadvancha Shubham</t>
  </si>
  <si>
    <t>C36231696</t>
  </si>
  <si>
    <t>Neha Ramraj  Sharma</t>
  </si>
  <si>
    <t>C36231789</t>
  </si>
  <si>
    <t xml:space="preserve">Fareen Mainuddin Chamcham </t>
  </si>
  <si>
    <t>C36231790</t>
  </si>
  <si>
    <t>Nihal Ghosarwade</t>
  </si>
  <si>
    <t>C36231697</t>
  </si>
  <si>
    <t>Prity Rakesh Shah</t>
  </si>
  <si>
    <t>C36231791</t>
  </si>
  <si>
    <t>Naveen C A</t>
  </si>
  <si>
    <t>C36231609</t>
  </si>
  <si>
    <t>C36231765</t>
  </si>
  <si>
    <t xml:space="preserve">Swetha </t>
  </si>
  <si>
    <t>C36231636</t>
  </si>
  <si>
    <t>Digil  Davis Vadakkan</t>
  </si>
  <si>
    <t>C36231792</t>
  </si>
  <si>
    <t>Prateek Shahi</t>
  </si>
  <si>
    <t>C36231799</t>
  </si>
  <si>
    <t>Ravi Manojkumar  Navani</t>
  </si>
  <si>
    <t>C36231793</t>
  </si>
  <si>
    <t>Keerthi Reddy</t>
  </si>
  <si>
    <t xml:space="preserve">Jagadeesha </t>
  </si>
  <si>
    <t>C36231610</t>
  </si>
  <si>
    <t>O36230104</t>
  </si>
  <si>
    <t>Chintala Vidya</t>
  </si>
  <si>
    <t>C36231828</t>
  </si>
  <si>
    <t>Rifayah Fathima</t>
  </si>
  <si>
    <t>C36231588</t>
  </si>
  <si>
    <t>Khushi C. Pathak</t>
  </si>
  <si>
    <t>C36231728</t>
  </si>
  <si>
    <t>Priyanka Jagat  Singh</t>
  </si>
  <si>
    <t>C36231677</t>
  </si>
  <si>
    <t>Nayan Rajendra Surve</t>
  </si>
  <si>
    <t>C36231796</t>
  </si>
  <si>
    <t>Kaviti Kumara Swamy</t>
  </si>
  <si>
    <t>C36231687</t>
  </si>
  <si>
    <t xml:space="preserve">Saista Mohammed Rehan Sayyed </t>
  </si>
  <si>
    <t>C36231797</t>
  </si>
  <si>
    <t xml:space="preserve"> Mohammed Shabuddin</t>
  </si>
  <si>
    <t>C36231648</t>
  </si>
  <si>
    <t xml:space="preserve">Rangarajan Ramesh </t>
  </si>
  <si>
    <t>C36231679</t>
  </si>
  <si>
    <t>Ayush Jaiprakash Agarwal</t>
  </si>
  <si>
    <t>C36231678</t>
  </si>
  <si>
    <t xml:space="preserve">B Vinod Kumar Reddy </t>
  </si>
  <si>
    <t>C36231637</t>
  </si>
  <si>
    <t>Kiran Kumar KH</t>
  </si>
  <si>
    <t>O36230110</t>
  </si>
  <si>
    <t xml:space="preserve">Priyanka Warad </t>
  </si>
  <si>
    <t>C36231611</t>
  </si>
  <si>
    <t xml:space="preserve">Beeda Chandrakala </t>
  </si>
  <si>
    <t>C36231787</t>
  </si>
  <si>
    <t>Prerna  Sharma</t>
  </si>
  <si>
    <t>O36230087</t>
  </si>
  <si>
    <t>Somya</t>
  </si>
  <si>
    <t>O36230099</t>
  </si>
  <si>
    <t>Prativa Tibrewal</t>
  </si>
  <si>
    <t>C36231743</t>
  </si>
  <si>
    <t>Vikas Jouhari</t>
  </si>
  <si>
    <t>C36231805</t>
  </si>
  <si>
    <t>Srinidhi Mysore Ramesh</t>
  </si>
  <si>
    <t>C36231665</t>
  </si>
  <si>
    <t>Harish Milind Gurav</t>
  </si>
  <si>
    <t>C36231798</t>
  </si>
  <si>
    <t>Prince  Rajpal</t>
  </si>
  <si>
    <t>O36230088</t>
  </si>
  <si>
    <t>Katta Dinesh</t>
  </si>
  <si>
    <t>O36230101</t>
  </si>
  <si>
    <t>Komal</t>
  </si>
  <si>
    <t>O36230095</t>
  </si>
  <si>
    <t xml:space="preserve">Ranju Kuruvilla Kurien </t>
  </si>
  <si>
    <t>O36230085</t>
  </si>
  <si>
    <t>Adarsha s</t>
  </si>
  <si>
    <t>C36231659</t>
  </si>
  <si>
    <t xml:space="preserve">Vinamr Rai Sharma </t>
  </si>
  <si>
    <t>C36231806</t>
  </si>
  <si>
    <t>Prashant Dattatraya  Phadatare</t>
  </si>
  <si>
    <t>C36231688</t>
  </si>
  <si>
    <t>Biswaranjan Mishra</t>
  </si>
  <si>
    <t>C36231730</t>
  </si>
  <si>
    <t>Jathin Kv</t>
  </si>
  <si>
    <t>C36231719</t>
  </si>
  <si>
    <t>Kritika Verma</t>
  </si>
  <si>
    <t xml:space="preserve">Vinitha  Venkatesan  </t>
  </si>
  <si>
    <t>O36230111</t>
  </si>
  <si>
    <t>Rethikashree A</t>
  </si>
  <si>
    <t>C36231755</t>
  </si>
  <si>
    <t>Revathy S</t>
  </si>
  <si>
    <t>C36231731</t>
  </si>
  <si>
    <t>Swathi R</t>
  </si>
  <si>
    <t>C36231762</t>
  </si>
  <si>
    <t xml:space="preserve">Mukanagari Divakar </t>
  </si>
  <si>
    <t>O36230100</t>
  </si>
  <si>
    <t>EY_Support</t>
  </si>
  <si>
    <t>Nidhi Verma</t>
  </si>
  <si>
    <t>O36230107</t>
  </si>
  <si>
    <t>Panduranki Satyanarayana Nishanth</t>
  </si>
  <si>
    <t>O36230098</t>
  </si>
  <si>
    <t>Dixitha BS</t>
  </si>
  <si>
    <t>C36231715</t>
  </si>
  <si>
    <t>Saravana Dharshini T</t>
  </si>
  <si>
    <t>C36231756</t>
  </si>
  <si>
    <t>Aamir Ansar Shaikh</t>
  </si>
  <si>
    <t>C36231809</t>
  </si>
  <si>
    <t>Shruthi Jain</t>
  </si>
  <si>
    <t>C36231761</t>
  </si>
  <si>
    <t>Abinaya P</t>
  </si>
  <si>
    <t>C36231750</t>
  </si>
  <si>
    <t xml:space="preserve">Kaviya </t>
  </si>
  <si>
    <t>C36231751</t>
  </si>
  <si>
    <t>Kavyanjali J</t>
  </si>
  <si>
    <t>O36230105</t>
  </si>
  <si>
    <t>Sowjanya Pidathala</t>
  </si>
  <si>
    <t>O36230108</t>
  </si>
  <si>
    <t>Nishish  Agrawal</t>
  </si>
  <si>
    <t>C36231742</t>
  </si>
  <si>
    <t>Allagoina Pranathi</t>
  </si>
  <si>
    <t>C36231766</t>
  </si>
  <si>
    <t>Shifali chaudhary</t>
  </si>
  <si>
    <t>O36230092</t>
  </si>
  <si>
    <t>Preethi Sathish</t>
  </si>
  <si>
    <t>O36230096</t>
  </si>
  <si>
    <t>Gijo George M</t>
  </si>
  <si>
    <t>C36231772</t>
  </si>
  <si>
    <t>Shaik Mubina</t>
  </si>
  <si>
    <t>O36230109</t>
  </si>
  <si>
    <t>Shivankit Anil Mishra</t>
  </si>
  <si>
    <t>C36231782</t>
  </si>
  <si>
    <t xml:space="preserve">Kishore </t>
  </si>
  <si>
    <t>O36230112</t>
  </si>
  <si>
    <t>Anosh Sudhakar Tandale</t>
  </si>
  <si>
    <t>C36231757</t>
  </si>
  <si>
    <t xml:space="preserve">Sadhvi Ahluwalia </t>
  </si>
  <si>
    <t>O36230089</t>
  </si>
  <si>
    <t>Sanjeevini  Lingeshwar Javali</t>
  </si>
  <si>
    <t>C36231720</t>
  </si>
  <si>
    <t>Priya Ankush Gaikwad</t>
  </si>
  <si>
    <t>C36231760</t>
  </si>
  <si>
    <t>Divyashree J A</t>
  </si>
  <si>
    <t>C36231752</t>
  </si>
  <si>
    <t>Kalaiselvi Govindaraju</t>
  </si>
  <si>
    <t>C36231754</t>
  </si>
  <si>
    <t xml:space="preserve">Ritika </t>
  </si>
  <si>
    <t>O36230093</t>
  </si>
  <si>
    <t>Chittoor Sudheer Kumar</t>
  </si>
  <si>
    <t>O36230102</t>
  </si>
  <si>
    <t>Parul Sharma</t>
  </si>
  <si>
    <t>O36230097</t>
  </si>
  <si>
    <t>Saswati Acharya</t>
  </si>
  <si>
    <t>O36230090</t>
  </si>
  <si>
    <t xml:space="preserve"> Vijayalakshmi Bai R</t>
  </si>
  <si>
    <t>C36231777</t>
  </si>
  <si>
    <t>Shoyab Mohmed Hanif Khan</t>
  </si>
  <si>
    <t>C36231768</t>
  </si>
  <si>
    <t>Deepika Srinivasan</t>
  </si>
  <si>
    <t>C36231773</t>
  </si>
  <si>
    <t>Amrita Kaur Jogindersingh Hotsinghani</t>
  </si>
  <si>
    <t>C36231775</t>
  </si>
  <si>
    <t>C36231774</t>
  </si>
  <si>
    <t>Carol Rhea Menezes</t>
  </si>
  <si>
    <t>C36232273</t>
  </si>
  <si>
    <t xml:space="preserve">Dhanush Kumar C </t>
  </si>
  <si>
    <t>C36231759</t>
  </si>
  <si>
    <t xml:space="preserve">Sidharth Tulsiyan </t>
  </si>
  <si>
    <t>C36231813</t>
  </si>
  <si>
    <t>Rutuj Vijay Dhimate</t>
  </si>
  <si>
    <t>C36231784</t>
  </si>
  <si>
    <t xml:space="preserve">CHINDAM HARSHINI </t>
  </si>
  <si>
    <t>C36232009</t>
  </si>
  <si>
    <t xml:space="preserve">pilla Abhinay </t>
  </si>
  <si>
    <t>C36231907</t>
  </si>
  <si>
    <t>Vinay Singh</t>
  </si>
  <si>
    <t>C36231769</t>
  </si>
  <si>
    <t>Asmita  Saxena</t>
  </si>
  <si>
    <t>C36231811</t>
  </si>
  <si>
    <t>Kadam Payal Vilas</t>
  </si>
  <si>
    <t>C36231933</t>
  </si>
  <si>
    <t>A Senthil Kumar</t>
  </si>
  <si>
    <t>C36232080</t>
  </si>
  <si>
    <t>Girish  G</t>
  </si>
  <si>
    <t>O36230086</t>
  </si>
  <si>
    <t>Girish Naidu</t>
  </si>
  <si>
    <t>Pooja Jadhav</t>
  </si>
  <si>
    <t>C36231929</t>
  </si>
  <si>
    <t>Sindhu S R</t>
  </si>
  <si>
    <t>Nadipelli Saipranay</t>
  </si>
  <si>
    <t>C36231908</t>
  </si>
  <si>
    <t xml:space="preserve">Jeevitha </t>
  </si>
  <si>
    <t>C36231786</t>
  </si>
  <si>
    <t>Thriveni N</t>
  </si>
  <si>
    <t>C36231767</t>
  </si>
  <si>
    <t>Devesh Dilip Sachdev</t>
  </si>
  <si>
    <t>C36231839</t>
  </si>
  <si>
    <t>Mikki Sharma</t>
  </si>
  <si>
    <t>O36230091</t>
  </si>
  <si>
    <t xml:space="preserve">Ajay Kumar Thimmappa </t>
  </si>
  <si>
    <t>O36230094</t>
  </si>
  <si>
    <t>Kratika Kapoor</t>
  </si>
  <si>
    <t>O36230103</t>
  </si>
  <si>
    <t xml:space="preserve">Dudala Sindhuja  </t>
  </si>
  <si>
    <t>C36231943</t>
  </si>
  <si>
    <t xml:space="preserve">Pothuluru Sravani </t>
  </si>
  <si>
    <t>O36230051</t>
  </si>
  <si>
    <t>Shivam Rajkumar Shukla</t>
  </si>
  <si>
    <t>C36231780</t>
  </si>
  <si>
    <t>Varsha Kanayo Tikmani</t>
  </si>
  <si>
    <t>C36231778</t>
  </si>
  <si>
    <t>Sakshi Yogendra Sharma</t>
  </si>
  <si>
    <t>C36231776</t>
  </si>
  <si>
    <t>YenumulaÂ  Â VenkataÂ Ramireddy</t>
  </si>
  <si>
    <t>Nandini S</t>
  </si>
  <si>
    <t>O36230055</t>
  </si>
  <si>
    <t>Akash Tukaram Mane</t>
  </si>
  <si>
    <t>C36231781</t>
  </si>
  <si>
    <t>Yashas Bs</t>
  </si>
  <si>
    <t>O36230052</t>
  </si>
  <si>
    <t>Usha Raja</t>
  </si>
  <si>
    <t>C36231800</t>
  </si>
  <si>
    <t>Mamidi  Venkatesh</t>
  </si>
  <si>
    <t>C36231909</t>
  </si>
  <si>
    <t>Gujjari Siddhartha</t>
  </si>
  <si>
    <t>C36231910</t>
  </si>
  <si>
    <t>Huzaif Aryan</t>
  </si>
  <si>
    <t>C36231808</t>
  </si>
  <si>
    <t>Umar Manvar Siddiki</t>
  </si>
  <si>
    <t>C36231815</t>
  </si>
  <si>
    <t>sumran Mattoo</t>
  </si>
  <si>
    <t>Archana  Priyadarshini</t>
  </si>
  <si>
    <t>C36231801</t>
  </si>
  <si>
    <t>Prerna N</t>
  </si>
  <si>
    <t>O36230044</t>
  </si>
  <si>
    <t>Tehniyat Ara M Momin</t>
  </si>
  <si>
    <t>C36231802</t>
  </si>
  <si>
    <t>Darshan G S</t>
  </si>
  <si>
    <t>C36231812</t>
  </si>
  <si>
    <t xml:space="preserve">Dubba Swathi </t>
  </si>
  <si>
    <t>C36231911</t>
  </si>
  <si>
    <t>Priya AshokKumar</t>
  </si>
  <si>
    <t>C36231820</t>
  </si>
  <si>
    <t>Vanitha M U</t>
  </si>
  <si>
    <t>C36231821</t>
  </si>
  <si>
    <t>Aadya Sharma</t>
  </si>
  <si>
    <t>O36230115</t>
  </si>
  <si>
    <t>A Charan Abishek</t>
  </si>
  <si>
    <t>C36231818</t>
  </si>
  <si>
    <t>Rohit Raj</t>
  </si>
  <si>
    <t>C36231795</t>
  </si>
  <si>
    <t xml:space="preserve"> Thanggoulen Kipgen</t>
  </si>
  <si>
    <t>O36230119</t>
  </si>
  <si>
    <t>Sharadha V</t>
  </si>
  <si>
    <t>O36230056</t>
  </si>
  <si>
    <t>Hemalatha M</t>
  </si>
  <si>
    <t>C36231804</t>
  </si>
  <si>
    <t>BANGARI ALEKHYA</t>
  </si>
  <si>
    <t>C36231912</t>
  </si>
  <si>
    <t xml:space="preserve">J Nithisha </t>
  </si>
  <si>
    <t>C36231913</t>
  </si>
  <si>
    <t xml:space="preserve">Sujitha </t>
  </si>
  <si>
    <t>C36232044</t>
  </si>
  <si>
    <t>Bollampelli krishna kumar</t>
  </si>
  <si>
    <t>C36231969</t>
  </si>
  <si>
    <t xml:space="preserve">Himanshu </t>
  </si>
  <si>
    <t>C36231934</t>
  </si>
  <si>
    <t>Bhushan Ganesh Watole</t>
  </si>
  <si>
    <t>C36231803</t>
  </si>
  <si>
    <t>S Suraj Vinay Kumar</t>
  </si>
  <si>
    <t>C36231970</t>
  </si>
  <si>
    <t>Maria Deep Abhilasha A</t>
  </si>
  <si>
    <t>C36231914</t>
  </si>
  <si>
    <t xml:space="preserve">Bandaru Sushmitha  </t>
  </si>
  <si>
    <t>O36230106</t>
  </si>
  <si>
    <t>Sangram Das</t>
  </si>
  <si>
    <t>O36230059</t>
  </si>
  <si>
    <t xml:space="preserve">Giridhar J D </t>
  </si>
  <si>
    <t>C36231822</t>
  </si>
  <si>
    <t>Ramya N</t>
  </si>
  <si>
    <t>C36231819</t>
  </si>
  <si>
    <t xml:space="preserve">Abhijay Pal  </t>
  </si>
  <si>
    <t>C36231850</t>
  </si>
  <si>
    <t>Aakash Chaturvedi</t>
  </si>
  <si>
    <t>C36231882</t>
  </si>
  <si>
    <t>Fluence Energy</t>
  </si>
  <si>
    <t xml:space="preserve"> Gurajapu Aravind Swamy  </t>
  </si>
  <si>
    <t>C36231926</t>
  </si>
  <si>
    <t>S Sharmila</t>
  </si>
  <si>
    <t>C36231893</t>
  </si>
  <si>
    <t xml:space="preserve">Sola Rambabu </t>
  </si>
  <si>
    <t>C36231825</t>
  </si>
  <si>
    <t xml:space="preserve">Syeda Sakina Fatima </t>
  </si>
  <si>
    <t>C36231826</t>
  </si>
  <si>
    <t xml:space="preserve">Thurpathi Prabhakar  </t>
  </si>
  <si>
    <t>C36231827</t>
  </si>
  <si>
    <t>Mohammad Muneerah Anjum</t>
  </si>
  <si>
    <t>C36231915</t>
  </si>
  <si>
    <t>Chethana R N</t>
  </si>
  <si>
    <t>C36231871</t>
  </si>
  <si>
    <t>Rahul Ashok Vishwakarma</t>
  </si>
  <si>
    <t>C36231844</t>
  </si>
  <si>
    <t>Adapa Pravalika</t>
  </si>
  <si>
    <t>C36231916</t>
  </si>
  <si>
    <t>Shivkumar P</t>
  </si>
  <si>
    <t>C36231974</t>
  </si>
  <si>
    <t>Anurag Mishra</t>
  </si>
  <si>
    <t>C36231816</t>
  </si>
  <si>
    <t xml:space="preserve">Parsineni Venkata Bala Ranganayakulu </t>
  </si>
  <si>
    <t>C36231917</t>
  </si>
  <si>
    <t>Manish Umesh Shetty</t>
  </si>
  <si>
    <t>C36231842</t>
  </si>
  <si>
    <t xml:space="preserve">Noami Peter Picardo </t>
  </si>
  <si>
    <t>C36231857</t>
  </si>
  <si>
    <t>Passi Gangothri</t>
  </si>
  <si>
    <t>C36231955</t>
  </si>
  <si>
    <t xml:space="preserve">Kanakam Haritha </t>
  </si>
  <si>
    <t>C36231918</t>
  </si>
  <si>
    <t>Mohd Gulam Osmani</t>
  </si>
  <si>
    <t>C36231944</t>
  </si>
  <si>
    <t>Arelli Sravani</t>
  </si>
  <si>
    <t>C36231958</t>
  </si>
  <si>
    <t>Mohammad Farooq Baba</t>
  </si>
  <si>
    <t>C36231836</t>
  </si>
  <si>
    <t>Mohammed  Younus</t>
  </si>
  <si>
    <t>C36231986</t>
  </si>
  <si>
    <t xml:space="preserve">Vinutha </t>
  </si>
  <si>
    <t>O36230054</t>
  </si>
  <si>
    <t>Debdutta  M</t>
  </si>
  <si>
    <t>Poushali Ghose</t>
  </si>
  <si>
    <t>C36231852</t>
  </si>
  <si>
    <t>Koustav Mondal</t>
  </si>
  <si>
    <t>C36231896</t>
  </si>
  <si>
    <t>Pradeep Guna G</t>
  </si>
  <si>
    <t>C36231846</t>
  </si>
  <si>
    <t>Sneha V</t>
  </si>
  <si>
    <t>C36231863</t>
  </si>
  <si>
    <t>Tirumalesh C Prajwal</t>
  </si>
  <si>
    <t>C36231832</t>
  </si>
  <si>
    <t>G Renuka Shree</t>
  </si>
  <si>
    <t>C36231872</t>
  </si>
  <si>
    <t>Tallapally Nandini</t>
  </si>
  <si>
    <t>C36231873</t>
  </si>
  <si>
    <t>Kadari  Madhu</t>
  </si>
  <si>
    <t>C36231919</t>
  </si>
  <si>
    <t xml:space="preserve"> Daddanala Lavanya</t>
  </si>
  <si>
    <t>C36231984</t>
  </si>
  <si>
    <t>Pannala  Pranitha</t>
  </si>
  <si>
    <t>C36231920</t>
  </si>
  <si>
    <t xml:space="preserve">Akarsh Somasundaran Nair </t>
  </si>
  <si>
    <t>C36231858</t>
  </si>
  <si>
    <t>Pratik Laxman Ninawe</t>
  </si>
  <si>
    <t>C36231853</t>
  </si>
  <si>
    <t>Aishwarya Ravi  Moghe</t>
  </si>
  <si>
    <t>C36231861</t>
  </si>
  <si>
    <t>Aditya Prakash Parmeshware</t>
  </si>
  <si>
    <t>C36231845</t>
  </si>
  <si>
    <t>Aaushi Singh</t>
  </si>
  <si>
    <t>C36231957</t>
  </si>
  <si>
    <t>Vishnu S Pillai</t>
  </si>
  <si>
    <t>C36231878</t>
  </si>
  <si>
    <t>Muzamil Bhasha Abdul Rehman Sab Doddamani</t>
  </si>
  <si>
    <t>C36231883</t>
  </si>
  <si>
    <t>Meka Amulya</t>
  </si>
  <si>
    <t>C36231921</t>
  </si>
  <si>
    <t>Greeshma Lokesh B</t>
  </si>
  <si>
    <t>C36231897</t>
  </si>
  <si>
    <t>Pratiksha K  Poojary</t>
  </si>
  <si>
    <t>C36232000</t>
  </si>
  <si>
    <t>Antharam Priyanka Reddy</t>
  </si>
  <si>
    <t>C36231947</t>
  </si>
  <si>
    <t xml:space="preserve">Sudagani Swapna </t>
  </si>
  <si>
    <t>C36231922</t>
  </si>
  <si>
    <t xml:space="preserve">Dande Baby Srilekha </t>
  </si>
  <si>
    <t>C36231874</t>
  </si>
  <si>
    <t xml:space="preserve"> Potturi Ravindranath</t>
  </si>
  <si>
    <t>C36231932</t>
  </si>
  <si>
    <t xml:space="preserve">Vanamoju Preethi </t>
  </si>
  <si>
    <t>C36231875</t>
  </si>
  <si>
    <t>Gajulavarthy Sanny</t>
  </si>
  <si>
    <t>C36231923</t>
  </si>
  <si>
    <t>P Haritha</t>
  </si>
  <si>
    <t>C36231829</t>
  </si>
  <si>
    <t>Prajesh Chandrshekhar Ambekar</t>
  </si>
  <si>
    <t>C36231939</t>
  </si>
  <si>
    <t>Sachin Ramlal Shrivastav</t>
  </si>
  <si>
    <t>C36231831</t>
  </si>
  <si>
    <t>Preeti Jawaharlal Navik</t>
  </si>
  <si>
    <t>C36231948</t>
  </si>
  <si>
    <t xml:space="preserve">Neeraj Ravi  Gundappanavar </t>
  </si>
  <si>
    <t>C36231847</t>
  </si>
  <si>
    <t>Sanjana Arun Shimpi</t>
  </si>
  <si>
    <t>C36231887</t>
  </si>
  <si>
    <t>Shubham Mihir Thakur</t>
  </si>
  <si>
    <t>C36231859</t>
  </si>
  <si>
    <t>Saurabh Sanjay Kamble</t>
  </si>
  <si>
    <t>C36231888</t>
  </si>
  <si>
    <t>Hira  Jina</t>
  </si>
  <si>
    <t>C36231894</t>
  </si>
  <si>
    <t xml:space="preserve">Rajmuthu Arun Thevar </t>
  </si>
  <si>
    <t>C36231854</t>
  </si>
  <si>
    <t>AKUNOOR SHIVA PRASAD</t>
  </si>
  <si>
    <t>C36231924</t>
  </si>
  <si>
    <t>Vidya N</t>
  </si>
  <si>
    <t>C36231898</t>
  </si>
  <si>
    <t>Monalisha Mishra</t>
  </si>
  <si>
    <t>C36231889</t>
  </si>
  <si>
    <t>Anushia Ganthi Ravi</t>
  </si>
  <si>
    <t>C36231862</t>
  </si>
  <si>
    <t>Sharath Ravindra</t>
  </si>
  <si>
    <t>C36231830</t>
  </si>
  <si>
    <t>Satyam Sudhir Rai</t>
  </si>
  <si>
    <t>C36231884</t>
  </si>
  <si>
    <t>Deepika Kishore Ahuja</t>
  </si>
  <si>
    <t>C36231951</t>
  </si>
  <si>
    <t>Gayathri P</t>
  </si>
  <si>
    <t>C36231899</t>
  </si>
  <si>
    <t>Mahima Chugh</t>
  </si>
  <si>
    <t>C36231843</t>
  </si>
  <si>
    <t xml:space="preserve">DP Karthikeyan  </t>
  </si>
  <si>
    <t>C36231864</t>
  </si>
  <si>
    <t>Pasala  Celestain</t>
  </si>
  <si>
    <t>C36231925</t>
  </si>
  <si>
    <t>Chetna Jain</t>
  </si>
  <si>
    <t>Nukala Tulasee Venkata Naga Phaneendra</t>
  </si>
  <si>
    <t>C36232040</t>
  </si>
  <si>
    <t xml:space="preserve">Isha Sunil  Pandere </t>
  </si>
  <si>
    <t>C36231940</t>
  </si>
  <si>
    <t>Shruti Shrikant jadhav</t>
  </si>
  <si>
    <t>C36231938</t>
  </si>
  <si>
    <t>Awin Kumar</t>
  </si>
  <si>
    <t>C36231935</t>
  </si>
  <si>
    <t>Anushka  V</t>
  </si>
  <si>
    <t>C36232045</t>
  </si>
  <si>
    <t>Rohan Chaudhari</t>
  </si>
  <si>
    <t>C36231997</t>
  </si>
  <si>
    <t>Medari Archana</t>
  </si>
  <si>
    <t>C36231980</t>
  </si>
  <si>
    <t>Nisha Lalchand  Rupani</t>
  </si>
  <si>
    <t>C36231956</t>
  </si>
  <si>
    <t xml:space="preserve">Komatla Raju   </t>
  </si>
  <si>
    <t>C36231885</t>
  </si>
  <si>
    <t xml:space="preserve">Sanjay H B </t>
  </si>
  <si>
    <t>C36231895</t>
  </si>
  <si>
    <t>Sridhar</t>
  </si>
  <si>
    <t>C36231855</t>
  </si>
  <si>
    <t>Vishal Mahesh Ratanpal</t>
  </si>
  <si>
    <t>C36231890</t>
  </si>
  <si>
    <t>Aiman Siddiqua</t>
  </si>
  <si>
    <t>C36231966</t>
  </si>
  <si>
    <t>Kishore Kumar S</t>
  </si>
  <si>
    <t>Aman Rai</t>
  </si>
  <si>
    <t>C36231837</t>
  </si>
  <si>
    <t>Kathiresan  Thandapani</t>
  </si>
  <si>
    <t>C36231959</t>
  </si>
  <si>
    <t>Tushar Saini</t>
  </si>
  <si>
    <t>C36231838</t>
  </si>
  <si>
    <t xml:space="preserve">Bhoir Rohit  Arun  </t>
  </si>
  <si>
    <t>C36231860</t>
  </si>
  <si>
    <t>Vaibhav</t>
  </si>
  <si>
    <t>C36231833</t>
  </si>
  <si>
    <t>Brunda K M</t>
  </si>
  <si>
    <t>C36231891</t>
  </si>
  <si>
    <t>Debi  Prasad Das</t>
  </si>
  <si>
    <t>C36231971</t>
  </si>
  <si>
    <t>Sudhi Ranjan  Panigrahi</t>
  </si>
  <si>
    <t>C36231972</t>
  </si>
  <si>
    <t>Nikitarani Brajakishore Panda</t>
  </si>
  <si>
    <t>C36231886</t>
  </si>
  <si>
    <t>Mohd Wasiuddin</t>
  </si>
  <si>
    <t>C36231930</t>
  </si>
  <si>
    <t>Narasingarao Bendadi</t>
  </si>
  <si>
    <t>C36231876</t>
  </si>
  <si>
    <t>C36231931</t>
  </si>
  <si>
    <t>Kasa Venkatesh</t>
  </si>
  <si>
    <t>C36231949</t>
  </si>
  <si>
    <t>Gumption Systems</t>
  </si>
  <si>
    <t>O36230114</t>
  </si>
  <si>
    <t>Ramesh Kumar Mopuri</t>
  </si>
  <si>
    <t>C36231879</t>
  </si>
  <si>
    <t>K Venkata Anunash Reddy</t>
  </si>
  <si>
    <t>C36231856</t>
  </si>
  <si>
    <t>Bala Krishna Seetha</t>
  </si>
  <si>
    <t>C36231877</t>
  </si>
  <si>
    <t>Toufia Kouser</t>
  </si>
  <si>
    <t>C36231962</t>
  </si>
  <si>
    <t>Manuraj Rajan  Achary</t>
  </si>
  <si>
    <t>C36231963</t>
  </si>
  <si>
    <t xml:space="preserve">Nalinikanta Sahoo </t>
  </si>
  <si>
    <t>O36230113</t>
  </si>
  <si>
    <t>Jackson Mathew</t>
  </si>
  <si>
    <t>Chamrathi Sai Chandana</t>
  </si>
  <si>
    <t>C36231936</t>
  </si>
  <si>
    <t xml:space="preserve">Chigiri Pragathi </t>
  </si>
  <si>
    <t>C36232126</t>
  </si>
  <si>
    <t>Sasikala  Nagolu</t>
  </si>
  <si>
    <t>Naveen Y</t>
  </si>
  <si>
    <t>C36231937</t>
  </si>
  <si>
    <t>Saloni Vinod Guher</t>
  </si>
  <si>
    <t>C36231979</t>
  </si>
  <si>
    <t>Sherin Mary Mathews</t>
  </si>
  <si>
    <t>C36231960</t>
  </si>
  <si>
    <t>Saurav Saraff</t>
  </si>
  <si>
    <t>C36231950</t>
  </si>
  <si>
    <t>Santhosh Lawrance  Rodrigues</t>
  </si>
  <si>
    <t>C36231880</t>
  </si>
  <si>
    <t xml:space="preserve">Prasansha  Kattel </t>
  </si>
  <si>
    <t>C36231952</t>
  </si>
  <si>
    <t>Karnati Manish Kumar</t>
  </si>
  <si>
    <t>C36232077</t>
  </si>
  <si>
    <t xml:space="preserve">Saketh Gowda </t>
  </si>
  <si>
    <t>C36231975</t>
  </si>
  <si>
    <t>Junikar Sunil Narayanrao</t>
  </si>
  <si>
    <t>C36230778</t>
  </si>
  <si>
    <t>Medline</t>
  </si>
  <si>
    <t xml:space="preserve">Gopinatha </t>
  </si>
  <si>
    <t>C36231976</t>
  </si>
  <si>
    <t>Sunit Nitin Talpade</t>
  </si>
  <si>
    <t>C36231954</t>
  </si>
  <si>
    <t xml:space="preserve">Dhanesh Vilas Chaudhari </t>
  </si>
  <si>
    <t>C36231964</t>
  </si>
  <si>
    <t>Nirikshitha J</t>
  </si>
  <si>
    <t>C36231999</t>
  </si>
  <si>
    <t>Mohammed kaif Sarfaraj Khan</t>
  </si>
  <si>
    <t>C36231965</t>
  </si>
  <si>
    <t>Isha Rajendra Vishwakarma</t>
  </si>
  <si>
    <t>C36231953</t>
  </si>
  <si>
    <t>Priya Jayprakash Yadav</t>
  </si>
  <si>
    <t>C36231993</t>
  </si>
  <si>
    <t>Shristi Jain</t>
  </si>
  <si>
    <t>C36232129</t>
  </si>
  <si>
    <t xml:space="preserve"> Karthik Surya Manikanta  Landa</t>
  </si>
  <si>
    <t>C36232006</t>
  </si>
  <si>
    <t>Subba Reddy</t>
  </si>
  <si>
    <t>C36231973</t>
  </si>
  <si>
    <t>Chetana Prakash Rane</t>
  </si>
  <si>
    <t>C36231977</t>
  </si>
  <si>
    <t>Tarachand Babulal  Suwasiya</t>
  </si>
  <si>
    <t>C36231981</t>
  </si>
  <si>
    <t>Vengadeswari Muruganantham</t>
  </si>
  <si>
    <t>C36231982</t>
  </si>
  <si>
    <t>Harika Pula</t>
  </si>
  <si>
    <t>C36231992</t>
  </si>
  <si>
    <t>Arun  Kumar.N</t>
  </si>
  <si>
    <t>C36231978</t>
  </si>
  <si>
    <t>Vaishali</t>
  </si>
  <si>
    <t>C36232005</t>
  </si>
  <si>
    <t>Mrunmayi Narayan Pawar</t>
  </si>
  <si>
    <t>C36231985</t>
  </si>
  <si>
    <t xml:space="preserve">Akshay Kumar Raja Yadav </t>
  </si>
  <si>
    <t>C36232022</t>
  </si>
  <si>
    <t>Krupa Rani</t>
  </si>
  <si>
    <t>Shwetha .M</t>
  </si>
  <si>
    <t>C36232007</t>
  </si>
  <si>
    <t>Premadhari Durgam</t>
  </si>
  <si>
    <t>C36232078</t>
  </si>
  <si>
    <t>Rinita Pravin Parmar</t>
  </si>
  <si>
    <t>C36231988</t>
  </si>
  <si>
    <t>Salman  Afroze N</t>
  </si>
  <si>
    <t>C36232064</t>
  </si>
  <si>
    <t xml:space="preserve">Veesam Pavani </t>
  </si>
  <si>
    <t>C36231983</t>
  </si>
  <si>
    <t>Somu Nekar</t>
  </si>
  <si>
    <t>C36231990</t>
  </si>
  <si>
    <t>Sultana Riyajuddin Mansoori</t>
  </si>
  <si>
    <t>C36231987</t>
  </si>
  <si>
    <t>Bonamukkala Chandra Sekhar Reddy</t>
  </si>
  <si>
    <t>C36231991</t>
  </si>
  <si>
    <t>Mohammed Junaid Khan</t>
  </si>
  <si>
    <t>C36231995</t>
  </si>
  <si>
    <t xml:space="preserve"> Dilip D</t>
  </si>
  <si>
    <t>C36231996</t>
  </si>
  <si>
    <t>Rutuja Dilip Mahajan</t>
  </si>
  <si>
    <t>C36232001</t>
  </si>
  <si>
    <t>Kriti Srivastava</t>
  </si>
  <si>
    <t>O36230117</t>
  </si>
  <si>
    <t>C36232057</t>
  </si>
  <si>
    <t>Sharanabasava Saalunke</t>
  </si>
  <si>
    <t xml:space="preserve">Madhusudhan  T G	</t>
  </si>
  <si>
    <t>C36231989</t>
  </si>
  <si>
    <t>Mudit Gupta</t>
  </si>
  <si>
    <t>C36232046</t>
  </si>
  <si>
    <t>Jeetendra Kumar Tripathy</t>
  </si>
  <si>
    <t>C36232029</t>
  </si>
  <si>
    <t>Northern Trust</t>
  </si>
  <si>
    <t>Jitendra Mewada</t>
  </si>
  <si>
    <t>C36232030</t>
  </si>
  <si>
    <t>Prabhat Kumar Gouda</t>
  </si>
  <si>
    <t>O36230116</t>
  </si>
  <si>
    <t>M Bhanu prasad</t>
  </si>
  <si>
    <t>C36231994</t>
  </si>
  <si>
    <t>Naresh Babu Karreddula</t>
  </si>
  <si>
    <t>C36232031</t>
  </si>
  <si>
    <t>Nikita Rajendra Kadam</t>
  </si>
  <si>
    <t>C36232004</t>
  </si>
  <si>
    <t xml:space="preserve">Anjali Rajkumar Pandey </t>
  </si>
  <si>
    <t>C36232002</t>
  </si>
  <si>
    <t>Tirunagari Sudha</t>
  </si>
  <si>
    <t>C36231998</t>
  </si>
  <si>
    <t xml:space="preserve">Faiz Ibrahim Shaikh </t>
  </si>
  <si>
    <t>C36232014</t>
  </si>
  <si>
    <t xml:space="preserve">Rishob Ghosh	 </t>
  </si>
  <si>
    <t>O36230118</t>
  </si>
  <si>
    <t>Mohammed Khadeer  Pasha</t>
  </si>
  <si>
    <t>C36232008</t>
  </si>
  <si>
    <t>Rehan Rakesh jaiswal</t>
  </si>
  <si>
    <t>C36232003</t>
  </si>
  <si>
    <t xml:space="preserve">Dipesh Vijay Londhe </t>
  </si>
  <si>
    <t>C36232011</t>
  </si>
  <si>
    <t xml:space="preserve">Pratik Pramod Suvare </t>
  </si>
  <si>
    <t>C36232012</t>
  </si>
  <si>
    <t>Rutuja Sanjay Auchar</t>
  </si>
  <si>
    <t>C36232010</t>
  </si>
  <si>
    <t xml:space="preserve">Priti Rajesh Sharma </t>
  </si>
  <si>
    <t>C36232089</t>
  </si>
  <si>
    <t>Pooja</t>
  </si>
  <si>
    <t>C36232038</t>
  </si>
  <si>
    <t xml:space="preserve">Varasala Immanuel Madhavan  </t>
  </si>
  <si>
    <t>C36232212</t>
  </si>
  <si>
    <t>Tejashwini A</t>
  </si>
  <si>
    <t xml:space="preserve">Rahul </t>
  </si>
  <si>
    <t>C36232067</t>
  </si>
  <si>
    <t xml:space="preserve"> Mandar Mangesh Khanvilkar </t>
  </si>
  <si>
    <t>C36232158</t>
  </si>
  <si>
    <t xml:space="preserve">Rohit Bhatt </t>
  </si>
  <si>
    <t>C36232025</t>
  </si>
  <si>
    <t xml:space="preserve">Shaik Mansoor  Ali </t>
  </si>
  <si>
    <t>C36232032</t>
  </si>
  <si>
    <t>Santhi B V</t>
  </si>
  <si>
    <t>C36232059</t>
  </si>
  <si>
    <t>Sneha G</t>
  </si>
  <si>
    <t xml:space="preserve">Rajesh  Rayakar </t>
  </si>
  <si>
    <t>C36232084</t>
  </si>
  <si>
    <t xml:space="preserve">Aman Munnilal Jaiswal </t>
  </si>
  <si>
    <t>C36232039</t>
  </si>
  <si>
    <t>Pagala Ramalakshumma</t>
  </si>
  <si>
    <t>C36232088</t>
  </si>
  <si>
    <t>Swayam Samyak Debasis</t>
  </si>
  <si>
    <t>C36232195</t>
  </si>
  <si>
    <t>Harshitha V</t>
  </si>
  <si>
    <t>C36232013</t>
  </si>
  <si>
    <t>Tejas Sanjay Divekar</t>
  </si>
  <si>
    <t>C36232053</t>
  </si>
  <si>
    <t>Meenal Shrivas</t>
  </si>
  <si>
    <t>K N Sharat</t>
  </si>
  <si>
    <t>C36232020</t>
  </si>
  <si>
    <t xml:space="preserve">Sonali B Sabawat </t>
  </si>
  <si>
    <t>C36232083</t>
  </si>
  <si>
    <t>Nikhil  Gowda</t>
  </si>
  <si>
    <t>C36232027</t>
  </si>
  <si>
    <t>Shivam Rajendra Prasad Mishra</t>
  </si>
  <si>
    <t>C36232023</t>
  </si>
  <si>
    <t>Thashif Thajudeen</t>
  </si>
  <si>
    <t>C36232097</t>
  </si>
  <si>
    <t>Greeshma MS</t>
  </si>
  <si>
    <t xml:space="preserve">Amit  Dhatrak </t>
  </si>
  <si>
    <t>C36232016</t>
  </si>
  <si>
    <t xml:space="preserve"> Gurupu Vamsi Kumar </t>
  </si>
  <si>
    <t>C36232017</t>
  </si>
  <si>
    <t>Vutukuri Sobharani</t>
  </si>
  <si>
    <t>C36232015</t>
  </si>
  <si>
    <t xml:space="preserve"> Boddu Jaya shri</t>
  </si>
  <si>
    <t>C36232021</t>
  </si>
  <si>
    <t>Nishanth Kumar</t>
  </si>
  <si>
    <t>C36232024</t>
  </si>
  <si>
    <t>Shaik MohammadSuheil</t>
  </si>
  <si>
    <t>Jaidhir Kumar</t>
  </si>
  <si>
    <t>C36230768</t>
  </si>
  <si>
    <t>Monsanto</t>
  </si>
  <si>
    <t>Shriyanka  Jamadade</t>
  </si>
  <si>
    <t>C36231242</t>
  </si>
  <si>
    <t>Sakshi Pathak</t>
  </si>
  <si>
    <t>Gajanand Amruth</t>
  </si>
  <si>
    <t>C36232043</t>
  </si>
  <si>
    <t xml:space="preserve">Roshani Dinesh Rane </t>
  </si>
  <si>
    <t>C36232047</t>
  </si>
  <si>
    <t>Smile Darshan Kumar Sharma</t>
  </si>
  <si>
    <t>C36232041</t>
  </si>
  <si>
    <t>Prathamesh Sunil Panzade</t>
  </si>
  <si>
    <t>C36232033</t>
  </si>
  <si>
    <t>Naganikitha Ila</t>
  </si>
  <si>
    <t>C36232036</t>
  </si>
  <si>
    <t xml:space="preserve">Pratik Kailash Pardeshi </t>
  </si>
  <si>
    <t>C36232063</t>
  </si>
  <si>
    <t>Nikita Appa Hegade</t>
  </si>
  <si>
    <t>C36232042</t>
  </si>
  <si>
    <t xml:space="preserve">Sejal Jalan	</t>
  </si>
  <si>
    <t>C36232034</t>
  </si>
  <si>
    <t>Gurudas  P C</t>
  </si>
  <si>
    <t>C36232035</t>
  </si>
  <si>
    <t>Akshay  Raikar</t>
  </si>
  <si>
    <t>C36232026</t>
  </si>
  <si>
    <t>Tejas Mangesh Ranpise</t>
  </si>
  <si>
    <t>C36232037</t>
  </si>
  <si>
    <t>Devdath  S</t>
  </si>
  <si>
    <t>C36232054</t>
  </si>
  <si>
    <t>Tejasvi Balasaheb  Namade</t>
  </si>
  <si>
    <t>C36232076</t>
  </si>
  <si>
    <t>Wagh Shweta Satish</t>
  </si>
  <si>
    <t>C36232048</t>
  </si>
  <si>
    <t>Satyam Omkar Mishra</t>
  </si>
  <si>
    <t>C36232055</t>
  </si>
  <si>
    <t>Sumith  Arun Raj</t>
  </si>
  <si>
    <t>C36232069</t>
  </si>
  <si>
    <t>Harshad Vishwanath Surve</t>
  </si>
  <si>
    <t>C36232079</t>
  </si>
  <si>
    <t>Veena M V</t>
  </si>
  <si>
    <t>C36232100</t>
  </si>
  <si>
    <t>Ikshita Milind  Meshram</t>
  </si>
  <si>
    <t>C36232101</t>
  </si>
  <si>
    <t xml:space="preserve">Sushmita Roshanlal Naithani  </t>
  </si>
  <si>
    <t>C36232068</t>
  </si>
  <si>
    <t>Jill Harshad Khadodra</t>
  </si>
  <si>
    <t>C36232065</t>
  </si>
  <si>
    <t>Addagiri Venkateswarlu</t>
  </si>
  <si>
    <t>C36232056</t>
  </si>
  <si>
    <t>Shifa Tabrez</t>
  </si>
  <si>
    <t>C36232049</t>
  </si>
  <si>
    <t>Nagisetti Phanindra Babu</t>
  </si>
  <si>
    <t>C36232112</t>
  </si>
  <si>
    <t>Basavalingayya Channabasayya Jetagimath</t>
  </si>
  <si>
    <t>C36231461</t>
  </si>
  <si>
    <t>Monsanto (Bayer) - Payroll</t>
  </si>
  <si>
    <t>Rutwik Santosh  Lawate</t>
  </si>
  <si>
    <t>C36232075</t>
  </si>
  <si>
    <t>Anvitha H M</t>
  </si>
  <si>
    <t>C36232105</t>
  </si>
  <si>
    <t>Susan Jovita Dsouza</t>
  </si>
  <si>
    <t>C36232123</t>
  </si>
  <si>
    <t>Aaliya Rahmath</t>
  </si>
  <si>
    <t>C36232090</t>
  </si>
  <si>
    <t>Badakal Madhu</t>
  </si>
  <si>
    <t>C36232050</t>
  </si>
  <si>
    <t>Tushar Bhatt</t>
  </si>
  <si>
    <t>C36232190</t>
  </si>
  <si>
    <t>Aishwarya Kakade</t>
  </si>
  <si>
    <t>Vamsi Gollamandala</t>
  </si>
  <si>
    <t>C36232194</t>
  </si>
  <si>
    <t>Riya AnilKumar Shyamdasani</t>
  </si>
  <si>
    <t>C36232070</t>
  </si>
  <si>
    <t>Ichha  Manohar Shirke</t>
  </si>
  <si>
    <t>C36232071</t>
  </si>
  <si>
    <t>Zion Oliveira</t>
  </si>
  <si>
    <t>C36232091</t>
  </si>
  <si>
    <t xml:space="preserve">Kotha Saileela </t>
  </si>
  <si>
    <t>C36232051</t>
  </si>
  <si>
    <t xml:space="preserve">Pradeep Sadashiv Gadhepatil </t>
  </si>
  <si>
    <t>C36232052</t>
  </si>
  <si>
    <t>Bharat Forge</t>
  </si>
  <si>
    <t xml:space="preserve">Kiran L </t>
  </si>
  <si>
    <t>C36232066</t>
  </si>
  <si>
    <t xml:space="preserve">S Sailesh </t>
  </si>
  <si>
    <t>C36232092</t>
  </si>
  <si>
    <t>Srijeeth A</t>
  </si>
  <si>
    <t>C36232124</t>
  </si>
  <si>
    <t xml:space="preserve">R Rakshith  </t>
  </si>
  <si>
    <t>C36232144</t>
  </si>
  <si>
    <t>Aashish S Angadi</t>
  </si>
  <si>
    <t>C36232093</t>
  </si>
  <si>
    <t>Aftab Alam</t>
  </si>
  <si>
    <t>C36232128</t>
  </si>
  <si>
    <t>Saima Qutbuddin Mapari</t>
  </si>
  <si>
    <t>C36232072</t>
  </si>
  <si>
    <t>Kurakula Ravalika</t>
  </si>
  <si>
    <t>C36231061</t>
  </si>
  <si>
    <t>RealPage</t>
  </si>
  <si>
    <t>Manomeeta Dhawan</t>
  </si>
  <si>
    <t>C36232058</t>
  </si>
  <si>
    <t>Gourish</t>
  </si>
  <si>
    <t>C36232060</t>
  </si>
  <si>
    <t>Partha Rana</t>
  </si>
  <si>
    <t>C36232288</t>
  </si>
  <si>
    <t>Riya Santosh</t>
  </si>
  <si>
    <t>C36232178</t>
  </si>
  <si>
    <t xml:space="preserve">Kommineni Bhargav </t>
  </si>
  <si>
    <t>C36232061</t>
  </si>
  <si>
    <t>Madhuri Babasaheb Narale</t>
  </si>
  <si>
    <t>C36232127</t>
  </si>
  <si>
    <t>Spoorthy C</t>
  </si>
  <si>
    <t>Naghma</t>
  </si>
  <si>
    <t>C36232062</t>
  </si>
  <si>
    <t>Priyanka N</t>
  </si>
  <si>
    <t>C36232094</t>
  </si>
  <si>
    <t>Kanika</t>
  </si>
  <si>
    <t>C36232110</t>
  </si>
  <si>
    <t>Samridhi Rai</t>
  </si>
  <si>
    <t>C36232165</t>
  </si>
  <si>
    <t>Bhumika Padaliya</t>
  </si>
  <si>
    <t>C36232125</t>
  </si>
  <si>
    <t>Kiran Lal V Pillai</t>
  </si>
  <si>
    <t>C36232174</t>
  </si>
  <si>
    <t xml:space="preserve">Sumit </t>
  </si>
  <si>
    <t>C36232073</t>
  </si>
  <si>
    <t>Sudhakar C</t>
  </si>
  <si>
    <t>C36232098</t>
  </si>
  <si>
    <t>Gagana Shree B R</t>
  </si>
  <si>
    <t>C36232074</t>
  </si>
  <si>
    <t>Prashant Kumar Shukla</t>
  </si>
  <si>
    <t>C36232085</t>
  </si>
  <si>
    <t xml:space="preserve">Devendra Pal Rajput </t>
  </si>
  <si>
    <t>C36232086</t>
  </si>
  <si>
    <t>Kallesh S B</t>
  </si>
  <si>
    <t>C36232199</t>
  </si>
  <si>
    <t>Smitha N</t>
  </si>
  <si>
    <t>C36232122</t>
  </si>
  <si>
    <t xml:space="preserve">Kondeti Ashok Reddy </t>
  </si>
  <si>
    <t>C36232191</t>
  </si>
  <si>
    <t xml:space="preserve">Bhuvan Deepak Thakurel </t>
  </si>
  <si>
    <t>C36232170</t>
  </si>
  <si>
    <t>Dudekula Jameel</t>
  </si>
  <si>
    <t>C36231062</t>
  </si>
  <si>
    <t>Adil  Farooque</t>
  </si>
  <si>
    <t>C36232081</t>
  </si>
  <si>
    <t>suseela p</t>
  </si>
  <si>
    <t>C36232082</t>
  </si>
  <si>
    <t xml:space="preserve">S Manjunath </t>
  </si>
  <si>
    <t>C36232095</t>
  </si>
  <si>
    <t>Ashish Lakhera</t>
  </si>
  <si>
    <t>C36232239</t>
  </si>
  <si>
    <t>Veerabomma Nagaraju</t>
  </si>
  <si>
    <t>C36240364</t>
  </si>
  <si>
    <t>Abaan Atheeqh Khan</t>
  </si>
  <si>
    <t>C36232179</t>
  </si>
  <si>
    <t>Sanmith</t>
  </si>
  <si>
    <t>C36232157</t>
  </si>
  <si>
    <t>Aleena Benjaman</t>
  </si>
  <si>
    <t>C36232161</t>
  </si>
  <si>
    <t>Mihir Alkeshbhai Khandhar</t>
  </si>
  <si>
    <t>O36230120</t>
  </si>
  <si>
    <t>Swaroop Abhishek J</t>
  </si>
  <si>
    <t>C36232107</t>
  </si>
  <si>
    <t>Mohammed Bilal</t>
  </si>
  <si>
    <t>C36232108</t>
  </si>
  <si>
    <t>Monika Vincent</t>
  </si>
  <si>
    <t>C36232111</t>
  </si>
  <si>
    <t>Sai Meghana</t>
  </si>
  <si>
    <t>C36232180</t>
  </si>
  <si>
    <t>Bijin Biju George</t>
  </si>
  <si>
    <t>C36232102</t>
  </si>
  <si>
    <t>Aaditya Gupta</t>
  </si>
  <si>
    <t>C36232230</t>
  </si>
  <si>
    <t>Mohammad Saad Asif Shaikh</t>
  </si>
  <si>
    <t>C36232103</t>
  </si>
  <si>
    <t xml:space="preserve">Amit Tiwari </t>
  </si>
  <si>
    <t>C36232099</t>
  </si>
  <si>
    <t>Aman Khanna</t>
  </si>
  <si>
    <t xml:space="preserve"> Santosh Sharanappa Patil </t>
  </si>
  <si>
    <t>C36232115</t>
  </si>
  <si>
    <t xml:space="preserve"> Vivek  Kumar</t>
  </si>
  <si>
    <t>C36232148</t>
  </si>
  <si>
    <t xml:space="preserve">J Vijay Kumar </t>
  </si>
  <si>
    <t>C36232143</t>
  </si>
  <si>
    <t xml:space="preserve">M G BHOOMIKA </t>
  </si>
  <si>
    <t>C36232120</t>
  </si>
  <si>
    <t>Medha nag</t>
  </si>
  <si>
    <t xml:space="preserve"> Imran Ahmad Mohammad Haroon</t>
  </si>
  <si>
    <t>C36232114</t>
  </si>
  <si>
    <t xml:space="preserve">Swathi </t>
  </si>
  <si>
    <t>C36232116</t>
  </si>
  <si>
    <t>Nimesh Raghunath Apte</t>
  </si>
  <si>
    <t>C36232140</t>
  </si>
  <si>
    <t xml:space="preserve">Harshit Sunil Upadhyaya </t>
  </si>
  <si>
    <t>C36232121</t>
  </si>
  <si>
    <t>Kokila S</t>
  </si>
  <si>
    <t>C36232117</t>
  </si>
  <si>
    <t>Yashwanth M</t>
  </si>
  <si>
    <t>C36232175</t>
  </si>
  <si>
    <t xml:space="preserve">Rishob Ghosh </t>
  </si>
  <si>
    <t>C36232096</t>
  </si>
  <si>
    <t>Moulishankar Chiranjeevi srikantan</t>
  </si>
  <si>
    <t>C36232147</t>
  </si>
  <si>
    <t>Vilas Atmaram Jadhav</t>
  </si>
  <si>
    <t>C36232146</t>
  </si>
  <si>
    <t xml:space="preserve">K S Arul Kumar </t>
  </si>
  <si>
    <t>C36232118</t>
  </si>
  <si>
    <t>Sahil Ziyauddin Khan</t>
  </si>
  <si>
    <t>C36232119</t>
  </si>
  <si>
    <t>Kunal  Rajaram Bhosle</t>
  </si>
  <si>
    <t>C36232113</t>
  </si>
  <si>
    <t>Ramya MR</t>
  </si>
  <si>
    <t>C36232152</t>
  </si>
  <si>
    <t>Thulasi TS</t>
  </si>
  <si>
    <t>C36232176</t>
  </si>
  <si>
    <t xml:space="preserve">Saniya </t>
  </si>
  <si>
    <t>C36232162</t>
  </si>
  <si>
    <t>Merin Xavier</t>
  </si>
  <si>
    <t>C36232133</t>
  </si>
  <si>
    <t>Dishali Khatri</t>
  </si>
  <si>
    <t>C36232188</t>
  </si>
  <si>
    <t>Amit  Kumar Jha</t>
  </si>
  <si>
    <t>C36232229</t>
  </si>
  <si>
    <t xml:space="preserve">Satyam Sagar  </t>
  </si>
  <si>
    <t>C36232134</t>
  </si>
  <si>
    <t>Mohammed Matheen</t>
  </si>
  <si>
    <t>C36232189</t>
  </si>
  <si>
    <t>Swati Sucharita Nayak</t>
  </si>
  <si>
    <t>C36232163</t>
  </si>
  <si>
    <t>Syed Khadar Fareed</t>
  </si>
  <si>
    <t>C36232141</t>
  </si>
  <si>
    <t xml:space="preserve">Kattari Sneha  </t>
  </si>
  <si>
    <t>C36232221</t>
  </si>
  <si>
    <t>Arya R K</t>
  </si>
  <si>
    <t>C36232154</t>
  </si>
  <si>
    <t>Safura Taj A</t>
  </si>
  <si>
    <t>C36232198</t>
  </si>
  <si>
    <t xml:space="preserve"> Sanketh S Chavan</t>
  </si>
  <si>
    <t>C36232153</t>
  </si>
  <si>
    <t>Arpitha Francis</t>
  </si>
  <si>
    <t>C36232135</t>
  </si>
  <si>
    <t>Sam Sanjith Calvin B</t>
  </si>
  <si>
    <t>C36232136</t>
  </si>
  <si>
    <t>Jatin Chandra C</t>
  </si>
  <si>
    <t>C36232137</t>
  </si>
  <si>
    <t xml:space="preserve">C M Deekshitha </t>
  </si>
  <si>
    <t>C36232142</t>
  </si>
  <si>
    <t xml:space="preserve">Abdul Roshan Shariff </t>
  </si>
  <si>
    <t>C36232155</t>
  </si>
  <si>
    <t xml:space="preserve"> Neelesh M H</t>
  </si>
  <si>
    <t>C36232177</t>
  </si>
  <si>
    <t>Aman Agarwal</t>
  </si>
  <si>
    <t>C36232156</t>
  </si>
  <si>
    <t>Shubha K</t>
  </si>
  <si>
    <t>Anusha Kittur</t>
  </si>
  <si>
    <t>C36232145</t>
  </si>
  <si>
    <t>Poornima Kotteswaran</t>
  </si>
  <si>
    <t>C36232138</t>
  </si>
  <si>
    <t>Kurapati Naveen Kumar</t>
  </si>
  <si>
    <t>C36240077</t>
  </si>
  <si>
    <t>Arjun S</t>
  </si>
  <si>
    <t>C36232130</t>
  </si>
  <si>
    <t>Tamanna Anis mohammad  Ansari</t>
  </si>
  <si>
    <t>C36232139</t>
  </si>
  <si>
    <t>Ketan Ninad Phatak</t>
  </si>
  <si>
    <t>C36240150</t>
  </si>
  <si>
    <t>Ehsan</t>
  </si>
  <si>
    <t>C36232164</t>
  </si>
  <si>
    <t xml:space="preserve">Pottabathina Aruna </t>
  </si>
  <si>
    <t>C36232169</t>
  </si>
  <si>
    <t>Ashwini P</t>
  </si>
  <si>
    <t>Sireesha Ravipati</t>
  </si>
  <si>
    <t>C36232131</t>
  </si>
  <si>
    <t>Wipro</t>
  </si>
  <si>
    <t>Febin Philip</t>
  </si>
  <si>
    <t>C36232241</t>
  </si>
  <si>
    <t>Shyam Laxmanrao Darade</t>
  </si>
  <si>
    <t>C36232208</t>
  </si>
  <si>
    <t>Akash M</t>
  </si>
  <si>
    <t>O36230121</t>
  </si>
  <si>
    <t>Pankaj Jindal</t>
  </si>
  <si>
    <t>C36232245</t>
  </si>
  <si>
    <t xml:space="preserve">D Sai Kumari </t>
  </si>
  <si>
    <t>C36232231</t>
  </si>
  <si>
    <t xml:space="preserve">Niyaz Ahmed Mohammad Hussain Tirmizi </t>
  </si>
  <si>
    <t>C36232150</t>
  </si>
  <si>
    <t>S Prathiba Margrat</t>
  </si>
  <si>
    <t>C36232149</t>
  </si>
  <si>
    <t xml:space="preserve">Buchi Srinu </t>
  </si>
  <si>
    <t>C36232132</t>
  </si>
  <si>
    <t>Runal Francis Pereira</t>
  </si>
  <si>
    <t>C36232151</t>
  </si>
  <si>
    <t>Angadi Venugopal</t>
  </si>
  <si>
    <t>C36232200</t>
  </si>
  <si>
    <t xml:space="preserve">Md Sohail Siddique </t>
  </si>
  <si>
    <t>C36232192</t>
  </si>
  <si>
    <t>Tarunoju Kranthi Kumar</t>
  </si>
  <si>
    <t>C36232218</t>
  </si>
  <si>
    <t xml:space="preserve"> Chinmaya Kumar Maharana </t>
  </si>
  <si>
    <t>C36232224</t>
  </si>
  <si>
    <t>Shaik Sharukh</t>
  </si>
  <si>
    <t>Dinesh Kumar</t>
  </si>
  <si>
    <t>C36232248</t>
  </si>
  <si>
    <t xml:space="preserve">Ansari Juned Shaukatali </t>
  </si>
  <si>
    <t>C36232167</t>
  </si>
  <si>
    <t>mayuresh bharmoria</t>
  </si>
  <si>
    <t>C36232168</t>
  </si>
  <si>
    <t>Girish Gopal Naik</t>
  </si>
  <si>
    <t>C36232185</t>
  </si>
  <si>
    <t>Dushya S</t>
  </si>
  <si>
    <t>C36232196</t>
  </si>
  <si>
    <t xml:space="preserve">Mohamed Azarudeen </t>
  </si>
  <si>
    <t>C36232204</t>
  </si>
  <si>
    <t>K Karthikeyan</t>
  </si>
  <si>
    <t>C36232173</t>
  </si>
  <si>
    <t>Somnath Choudhury</t>
  </si>
  <si>
    <t>O36230127</t>
  </si>
  <si>
    <t>Deloitte Contract</t>
  </si>
  <si>
    <t>PD WOLKE CONSULTANCY</t>
  </si>
  <si>
    <t>O36230123</t>
  </si>
  <si>
    <t>Narendra Kumar Shivpujan Azad</t>
  </si>
  <si>
    <t>C36232222</t>
  </si>
  <si>
    <t>Bhakti Shirish Shinde</t>
  </si>
  <si>
    <t>C36232159</t>
  </si>
  <si>
    <t>Pottipati Chandra Sekhar Reddy</t>
  </si>
  <si>
    <t>O36230122</t>
  </si>
  <si>
    <t>Priya Thombre</t>
  </si>
  <si>
    <t>C36240080</t>
  </si>
  <si>
    <t>Akhil Choudhary</t>
  </si>
  <si>
    <t>C36232183</t>
  </si>
  <si>
    <t>Archana B Bangera</t>
  </si>
  <si>
    <t>C36240253</t>
  </si>
  <si>
    <t>Madeena Mohd ibrahim</t>
  </si>
  <si>
    <t>C36232181</t>
  </si>
  <si>
    <t>Fareen</t>
  </si>
  <si>
    <t>C36232171</t>
  </si>
  <si>
    <t>Mansi Santosh Choubey</t>
  </si>
  <si>
    <t>C36232172</t>
  </si>
  <si>
    <t>Nitin Dhanyakumar Meshram</t>
  </si>
  <si>
    <t>C36232219</t>
  </si>
  <si>
    <t xml:space="preserve">P Ahalya </t>
  </si>
  <si>
    <t>C36240363</t>
  </si>
  <si>
    <t>Gangireddy Chenna Reddy</t>
  </si>
  <si>
    <t>C36232182</t>
  </si>
  <si>
    <t>Biladugu Venkateswarlu</t>
  </si>
  <si>
    <t>C36232213</t>
  </si>
  <si>
    <t>Umakanth Mahindrakar</t>
  </si>
  <si>
    <t>C36232201</t>
  </si>
  <si>
    <t xml:space="preserve">Bhakti Ashok Gajra </t>
  </si>
  <si>
    <t>C36232186</t>
  </si>
  <si>
    <t>Mandeep Singh</t>
  </si>
  <si>
    <t>C36232184</t>
  </si>
  <si>
    <t>Bezawada Subhash Chandra</t>
  </si>
  <si>
    <t>C36232205</t>
  </si>
  <si>
    <t>Prejith Antony R</t>
  </si>
  <si>
    <t>C36232193</t>
  </si>
  <si>
    <t>Akansha Ahuja</t>
  </si>
  <si>
    <t>A Shadaksharan</t>
  </si>
  <si>
    <t>C36232263</t>
  </si>
  <si>
    <t>Amit Deepak  Shelar</t>
  </si>
  <si>
    <t>C36232211</t>
  </si>
  <si>
    <t>Patwe Altaf Arshad</t>
  </si>
  <si>
    <t>C36232244</t>
  </si>
  <si>
    <t>Anil Gowda H</t>
  </si>
  <si>
    <t>C36232217</t>
  </si>
  <si>
    <t>Pankaj  Verma</t>
  </si>
  <si>
    <t>O36230125</t>
  </si>
  <si>
    <t xml:space="preserve">H Prabhas </t>
  </si>
  <si>
    <t>C36232228</t>
  </si>
  <si>
    <t>Punitha C</t>
  </si>
  <si>
    <t>Sathya Neil Chowdary Daruru</t>
  </si>
  <si>
    <t>C36232214</t>
  </si>
  <si>
    <t>Monalisa Patra</t>
  </si>
  <si>
    <t>C36232227</t>
  </si>
  <si>
    <t>RAJESH VB</t>
  </si>
  <si>
    <t>C36232202</t>
  </si>
  <si>
    <t>Abhishek Kamble</t>
  </si>
  <si>
    <t>C36232209</t>
  </si>
  <si>
    <t xml:space="preserve">  UK Deepak </t>
  </si>
  <si>
    <t>C36232210</t>
  </si>
  <si>
    <t>C36232237</t>
  </si>
  <si>
    <t>Bybare Wasim Akram</t>
  </si>
  <si>
    <t>C36232215</t>
  </si>
  <si>
    <t>Boddu Jaya shri</t>
  </si>
  <si>
    <t>O36230124</t>
  </si>
  <si>
    <t xml:space="preserve">Gopinath V	 </t>
  </si>
  <si>
    <t>O36230126</t>
  </si>
  <si>
    <t>Revappa Savale</t>
  </si>
  <si>
    <t>C36232203</t>
  </si>
  <si>
    <t xml:space="preserve">Mayank </t>
  </si>
  <si>
    <t>C36232206</t>
  </si>
  <si>
    <t>T Jennifer</t>
  </si>
  <si>
    <t>C36232216</t>
  </si>
  <si>
    <t>Palaparty SriTeja</t>
  </si>
  <si>
    <t>C36232238</t>
  </si>
  <si>
    <t xml:space="preserve">Nimmani Vasanth </t>
  </si>
  <si>
    <t>C36232256</t>
  </si>
  <si>
    <t xml:space="preserve"> Kajal Kumari</t>
  </si>
  <si>
    <t>C36232207</t>
  </si>
  <si>
    <t>Swarnali Mitra</t>
  </si>
  <si>
    <t>C36232243</t>
  </si>
  <si>
    <t xml:space="preserve">Peraboina Ajay  </t>
  </si>
  <si>
    <t>C36232264</t>
  </si>
  <si>
    <t>Swetha J R</t>
  </si>
  <si>
    <t>C36232247</t>
  </si>
  <si>
    <t>Deloitte-One Tech</t>
  </si>
  <si>
    <t>Jithkrishna V A</t>
  </si>
  <si>
    <t>C36232251</t>
  </si>
  <si>
    <t>Suman Rajendra Yadav</t>
  </si>
  <si>
    <t>C36232223</t>
  </si>
  <si>
    <t>Saniya A</t>
  </si>
  <si>
    <t>C36232220</t>
  </si>
  <si>
    <t>Laxmi Yadav</t>
  </si>
  <si>
    <t>C36232232</t>
  </si>
  <si>
    <t>Suman Kumar</t>
  </si>
  <si>
    <t>C36232343</t>
  </si>
  <si>
    <t>Mishell Bhavana</t>
  </si>
  <si>
    <t>C36240025</t>
  </si>
  <si>
    <t>Taskeen Taj</t>
  </si>
  <si>
    <t>C36232252</t>
  </si>
  <si>
    <t xml:space="preserve">Piyush Agarwal  </t>
  </si>
  <si>
    <t>C36232291</t>
  </si>
  <si>
    <t xml:space="preserve"> Amzad Khan</t>
  </si>
  <si>
    <t>C36232242</t>
  </si>
  <si>
    <t xml:space="preserve"> Piyush Agarwal  </t>
  </si>
  <si>
    <t>O36230132</t>
  </si>
  <si>
    <t xml:space="preserve">Waseem </t>
  </si>
  <si>
    <t>C36232240</t>
  </si>
  <si>
    <t>Abdul  Rahim Khan</t>
  </si>
  <si>
    <t>C36232225</t>
  </si>
  <si>
    <t xml:space="preserve">Chandani </t>
  </si>
  <si>
    <t>C36230547</t>
  </si>
  <si>
    <t>Shell</t>
  </si>
  <si>
    <t>ROHIT Panchu pal</t>
  </si>
  <si>
    <t>C36232234</t>
  </si>
  <si>
    <t>Vennapusa Varaprasad Reddy</t>
  </si>
  <si>
    <t>O36230133</t>
  </si>
  <si>
    <t>Surendra Kumar Purohit</t>
  </si>
  <si>
    <t>O36230129</t>
  </si>
  <si>
    <t>M K Aashiq</t>
  </si>
  <si>
    <t>C36232330</t>
  </si>
  <si>
    <t>Adarsh C V</t>
  </si>
  <si>
    <t>C36232235</t>
  </si>
  <si>
    <t xml:space="preserve">Keerti </t>
  </si>
  <si>
    <t>C36232226</t>
  </si>
  <si>
    <t>Vaishnavi  Arunrao Kakad</t>
  </si>
  <si>
    <t>O36230128</t>
  </si>
  <si>
    <t>Harsha C M</t>
  </si>
  <si>
    <t>C36230702</t>
  </si>
  <si>
    <t>MOHD JAMEEL AHMED</t>
  </si>
  <si>
    <t>C36232261</t>
  </si>
  <si>
    <t>Gourish .R</t>
  </si>
  <si>
    <t>O36230131</t>
  </si>
  <si>
    <t>Kusumeshkant  Sharma</t>
  </si>
  <si>
    <t>C36232236</t>
  </si>
  <si>
    <t>Kandula Anil Kumar</t>
  </si>
  <si>
    <t>C36232277</t>
  </si>
  <si>
    <t xml:space="preserve">Rayidi Prathima </t>
  </si>
  <si>
    <t>C36232274</t>
  </si>
  <si>
    <t>Bakkir Reddy Vinod Kumar Reddy</t>
  </si>
  <si>
    <t>O36230134</t>
  </si>
  <si>
    <t>Sanjay Js</t>
  </si>
  <si>
    <t>C36232298</t>
  </si>
  <si>
    <t>Srujana BR</t>
  </si>
  <si>
    <t>C36232250</t>
  </si>
  <si>
    <t xml:space="preserve"> Vemulapalli Raveendra Kumar</t>
  </si>
  <si>
    <t>C36232307</t>
  </si>
  <si>
    <t xml:space="preserve"> Chandan Kumar </t>
  </si>
  <si>
    <t>O36230135</t>
  </si>
  <si>
    <t xml:space="preserve">PremKumar Paras Yadav </t>
  </si>
  <si>
    <t>C36232257</t>
  </si>
  <si>
    <t>Soujanya. C.S</t>
  </si>
  <si>
    <t>C36232246</t>
  </si>
  <si>
    <t>Velmani Sankaranarayanan</t>
  </si>
  <si>
    <t>C36232311</t>
  </si>
  <si>
    <t>Sahil Harish Bhandari</t>
  </si>
  <si>
    <t>C36232249</t>
  </si>
  <si>
    <t>Koppala Bhanuchandra</t>
  </si>
  <si>
    <t>O36230136</t>
  </si>
  <si>
    <t>Yash Deepak Wadhwani</t>
  </si>
  <si>
    <t>C36232310</t>
  </si>
  <si>
    <t xml:space="preserve"> Mani Verma </t>
  </si>
  <si>
    <t>C36232312</t>
  </si>
  <si>
    <t xml:space="preserve">Rahul Ajay Shinde </t>
  </si>
  <si>
    <t>C36232292</t>
  </si>
  <si>
    <t>Ravikumar Ramkumar Soni</t>
  </si>
  <si>
    <t>C36232270</t>
  </si>
  <si>
    <t>Adapa Sai Latha</t>
  </si>
  <si>
    <t>C36232284</t>
  </si>
  <si>
    <t>Sakshi Agarwal</t>
  </si>
  <si>
    <t>C36232283</t>
  </si>
  <si>
    <t xml:space="preserve"> Challagundla SriLakshmi </t>
  </si>
  <si>
    <t>C36232268</t>
  </si>
  <si>
    <t>Ayushi Kesarwani</t>
  </si>
  <si>
    <t>C36240022</t>
  </si>
  <si>
    <t xml:space="preserve">Jasmine I </t>
  </si>
  <si>
    <t>C36232299</t>
  </si>
  <si>
    <t>Karan Pravin  Kadam</t>
  </si>
  <si>
    <t>C36232285</t>
  </si>
  <si>
    <t>Anish Vasanth Shetty</t>
  </si>
  <si>
    <t>C36232254</t>
  </si>
  <si>
    <t>Nehal madan Kanojia</t>
  </si>
  <si>
    <t>C36232286</t>
  </si>
  <si>
    <t xml:space="preserve">Prathamesh Jitendra Yadav </t>
  </si>
  <si>
    <t>C36232262</t>
  </si>
  <si>
    <t>Sonali Rai.R</t>
  </si>
  <si>
    <t>C36232265</t>
  </si>
  <si>
    <t xml:space="preserve">Dhinuja </t>
  </si>
  <si>
    <t>C36232259</t>
  </si>
  <si>
    <t>Nelluri Tejaswi</t>
  </si>
  <si>
    <t>C36232341</t>
  </si>
  <si>
    <t xml:space="preserve"> Ruchi Kumari </t>
  </si>
  <si>
    <t>C36232325</t>
  </si>
  <si>
    <t xml:space="preserve">Singh Kishan Chandrashekher </t>
  </si>
  <si>
    <t>C36232258</t>
  </si>
  <si>
    <t>Divyanshu Sharma</t>
  </si>
  <si>
    <t>C36232266</t>
  </si>
  <si>
    <t xml:space="preserve">Matham Diwakar </t>
  </si>
  <si>
    <t>C36232293</t>
  </si>
  <si>
    <t>Ashitosh Kamble</t>
  </si>
  <si>
    <t>C36232269</t>
  </si>
  <si>
    <t xml:space="preserve">Neeraj M B </t>
  </si>
  <si>
    <t>C36232267</t>
  </si>
  <si>
    <t xml:space="preserve">Mohmmed Sultan </t>
  </si>
  <si>
    <t>C36232280</t>
  </si>
  <si>
    <t>Maddipatla Sushanth</t>
  </si>
  <si>
    <t>C36232275</t>
  </si>
  <si>
    <t>MALIREDDY SRINADH REDDY</t>
  </si>
  <si>
    <t>C36232276</t>
  </si>
  <si>
    <t>Nitin R</t>
  </si>
  <si>
    <t>C36232281</t>
  </si>
  <si>
    <t>Pushkar Pawar</t>
  </si>
  <si>
    <t>C36232314</t>
  </si>
  <si>
    <t>C36232313</t>
  </si>
  <si>
    <t>Priyanka K G</t>
  </si>
  <si>
    <t>C36232278</t>
  </si>
  <si>
    <t>Aashis Kumar</t>
  </si>
  <si>
    <t xml:space="preserve">Kh. Magdalene </t>
  </si>
  <si>
    <t>C36232294</t>
  </si>
  <si>
    <t>Kavya c</t>
  </si>
  <si>
    <t>Musharaff  Khan A</t>
  </si>
  <si>
    <t>C36232295</t>
  </si>
  <si>
    <t>Aounathya K Rao</t>
  </si>
  <si>
    <t>C36232282</t>
  </si>
  <si>
    <t>Bhaumik U</t>
  </si>
  <si>
    <t>Moduboina Venkateswarlu</t>
  </si>
  <si>
    <t>C36232279</t>
  </si>
  <si>
    <t>DataFlow Group</t>
  </si>
  <si>
    <t>Aishwarya D B</t>
  </si>
  <si>
    <t>C36232308</t>
  </si>
  <si>
    <t xml:space="preserve">Esha Deepak Kesarkar </t>
  </si>
  <si>
    <t>C36232302</t>
  </si>
  <si>
    <t>Harshitha N</t>
  </si>
  <si>
    <t>C36232297</t>
  </si>
  <si>
    <t>Malini J</t>
  </si>
  <si>
    <t>C36232346</t>
  </si>
  <si>
    <t>Amadeus Software</t>
  </si>
  <si>
    <t xml:space="preserve">Prabhakar Shailendra Sharma </t>
  </si>
  <si>
    <t>C36232320</t>
  </si>
  <si>
    <t>Kunica Deepak Padhiyar</t>
  </si>
  <si>
    <t>C36232322</t>
  </si>
  <si>
    <t xml:space="preserve">Udaynarayan Ramshiromani Vishwakarma  </t>
  </si>
  <si>
    <t>C36232303</t>
  </si>
  <si>
    <t>Navneet Kaur R. Saini</t>
  </si>
  <si>
    <t>C36232334</t>
  </si>
  <si>
    <t>Chetna Soni</t>
  </si>
  <si>
    <t>C36232327</t>
  </si>
  <si>
    <t>Km Akanksha</t>
  </si>
  <si>
    <t>C36232300</t>
  </si>
  <si>
    <t>Pankaj Verma</t>
  </si>
  <si>
    <t>C36232289</t>
  </si>
  <si>
    <t>Shadab  Raja</t>
  </si>
  <si>
    <t>C36240012</t>
  </si>
  <si>
    <t>GANGARAJU S</t>
  </si>
  <si>
    <t>C36232290</t>
  </si>
  <si>
    <t>Sreenath S M</t>
  </si>
  <si>
    <t>C36230756</t>
  </si>
  <si>
    <t>Likki Manohar Reddy</t>
  </si>
  <si>
    <t>C36240066</t>
  </si>
  <si>
    <t>Sclviya W</t>
  </si>
  <si>
    <t>C36232315</t>
  </si>
  <si>
    <t>Ravindra Rajput</t>
  </si>
  <si>
    <t>C36232309</t>
  </si>
  <si>
    <t>Poornima M</t>
  </si>
  <si>
    <t>C36240063</t>
  </si>
  <si>
    <t xml:space="preserve"> Elston Egbert Saldanha</t>
  </si>
  <si>
    <t>C36232304</t>
  </si>
  <si>
    <t>Anant Nandkishor Verma</t>
  </si>
  <si>
    <t>C36232305</t>
  </si>
  <si>
    <t xml:space="preserve"> Ali Mehdi </t>
  </si>
  <si>
    <t>C36240264</t>
  </si>
  <si>
    <t>Hitesh  Gupta</t>
  </si>
  <si>
    <t>C36232316</t>
  </si>
  <si>
    <t>Kajal Rajput</t>
  </si>
  <si>
    <t>C36232317</t>
  </si>
  <si>
    <t>Chethan Kumar Mi</t>
  </si>
  <si>
    <t>C36240027</t>
  </si>
  <si>
    <t>Raghupathi J P</t>
  </si>
  <si>
    <t>C36232296</t>
  </si>
  <si>
    <t>Yugendar  P K</t>
  </si>
  <si>
    <t>C36232318</t>
  </si>
  <si>
    <t>Vangala Kalyan Siva Kumar Reddy</t>
  </si>
  <si>
    <t>C36240037</t>
  </si>
  <si>
    <t>Yavana Subrahmanya Vaageesh</t>
  </si>
  <si>
    <t>C36232301</t>
  </si>
  <si>
    <t>Snehal Balasaheb Bhosale</t>
  </si>
  <si>
    <t>C36232321</t>
  </si>
  <si>
    <t>Bhavik Vijay Pawar</t>
  </si>
  <si>
    <t>C36232306</t>
  </si>
  <si>
    <t>Bharath P S</t>
  </si>
  <si>
    <t>C36240038</t>
  </si>
  <si>
    <t xml:space="preserve">Rutuja Nivrutti Machindar </t>
  </si>
  <si>
    <t>C36232328</t>
  </si>
  <si>
    <t>Savio Steven Menezes</t>
  </si>
  <si>
    <t>C36240005</t>
  </si>
  <si>
    <t>Anil V</t>
  </si>
  <si>
    <t>C36232324</t>
  </si>
  <si>
    <t xml:space="preserve"> Y Keerthi Reddy</t>
  </si>
  <si>
    <t>C36232326</t>
  </si>
  <si>
    <t>Hemavathi K</t>
  </si>
  <si>
    <t>C36232340</t>
  </si>
  <si>
    <t>Ashok Kumar N</t>
  </si>
  <si>
    <t>C36232329</t>
  </si>
  <si>
    <t>Gotipakala Praveen Anand</t>
  </si>
  <si>
    <t>C36240034</t>
  </si>
  <si>
    <t xml:space="preserve">Yekkulur Manohar Reddy 	 </t>
  </si>
  <si>
    <t>C36240003</t>
  </si>
  <si>
    <t>Kattekola Srikanth</t>
  </si>
  <si>
    <t>C36232323</t>
  </si>
  <si>
    <t>Fouzan Zafar Sait</t>
  </si>
  <si>
    <t>C36240014</t>
  </si>
  <si>
    <t>Shriram Maheshrao Shende</t>
  </si>
  <si>
    <t>C36232337</t>
  </si>
  <si>
    <t>Mukka Rakesh</t>
  </si>
  <si>
    <t>C36240000</t>
  </si>
  <si>
    <t>Nikhil Sakharam Gaikwad</t>
  </si>
  <si>
    <t>C36232336</t>
  </si>
  <si>
    <t>Anuvisht Singh</t>
  </si>
  <si>
    <t>Jnaneshwar S</t>
  </si>
  <si>
    <t>C36240045</t>
  </si>
  <si>
    <t>O36230138</t>
  </si>
  <si>
    <t>Afzal Riyaz  Ali Shaikh</t>
  </si>
  <si>
    <t>C36232344</t>
  </si>
  <si>
    <t>Rakshith Raj</t>
  </si>
  <si>
    <t>C36240064</t>
  </si>
  <si>
    <t xml:space="preserve">Satendra Singh </t>
  </si>
  <si>
    <t>C36240039</t>
  </si>
  <si>
    <t>Maunika K S</t>
  </si>
  <si>
    <t>C36240008</t>
  </si>
  <si>
    <t>Aravind K</t>
  </si>
  <si>
    <t>C36232331</t>
  </si>
  <si>
    <t>Prem M  Malladi</t>
  </si>
  <si>
    <t>C36232345</t>
  </si>
  <si>
    <t>Pritam  Dalvi</t>
  </si>
  <si>
    <t>C36232332</t>
  </si>
  <si>
    <t>Gopal Vinayak Kasbe</t>
  </si>
  <si>
    <t>C36240015</t>
  </si>
  <si>
    <t>Narmatha Nagarajan</t>
  </si>
  <si>
    <t>C36232338</t>
  </si>
  <si>
    <t xml:space="preserve">A Chamundeswari </t>
  </si>
  <si>
    <t>C36232351</t>
  </si>
  <si>
    <t>Rushikesh Popat Hingane</t>
  </si>
  <si>
    <t>C36232339</t>
  </si>
  <si>
    <t>Anjitha Ajay</t>
  </si>
  <si>
    <t>C36240087</t>
  </si>
  <si>
    <t>Vanneti Laxmi Swetha</t>
  </si>
  <si>
    <t>C36240212</t>
  </si>
  <si>
    <t>Yash Rajesh Gupta</t>
  </si>
  <si>
    <t>C36240006</t>
  </si>
  <si>
    <t>Priyanka  P</t>
  </si>
  <si>
    <t>C36232342</t>
  </si>
  <si>
    <t>Ajay Sanjay Tangadkar</t>
  </si>
  <si>
    <t>C36232350</t>
  </si>
  <si>
    <t>Rohan Rajinder Thakur</t>
  </si>
  <si>
    <t>C36240004</t>
  </si>
  <si>
    <t>Gaurav Jitendra Nagpal</t>
  </si>
  <si>
    <t>C36240024</t>
  </si>
  <si>
    <t>Krithika R Das</t>
  </si>
  <si>
    <t>C36240140</t>
  </si>
  <si>
    <t>Santhoshkumar Perumal</t>
  </si>
  <si>
    <t>C36240060</t>
  </si>
  <si>
    <t>Sakriti Dhar</t>
  </si>
  <si>
    <t>C36240029</t>
  </si>
  <si>
    <t xml:space="preserve">Obireddy Gari Govardhan Reddy </t>
  </si>
  <si>
    <t>C36240009</t>
  </si>
  <si>
    <t>Laxmi M</t>
  </si>
  <si>
    <t>Namrata Rajkumar Bhagwat</t>
  </si>
  <si>
    <t>C36240013</t>
  </si>
  <si>
    <t xml:space="preserve">Sanjay E </t>
  </si>
  <si>
    <t>C36240010</t>
  </si>
  <si>
    <t>Sandeep S R</t>
  </si>
  <si>
    <t>C36240023</t>
  </si>
  <si>
    <t xml:space="preserve">Prabadevi Thirupathi. </t>
  </si>
  <si>
    <t>C36240173</t>
  </si>
  <si>
    <t>Kumari Alpana Prasad</t>
  </si>
  <si>
    <t>O36230141</t>
  </si>
  <si>
    <t>Rashmi Suresh Babu</t>
  </si>
  <si>
    <t>C36232348</t>
  </si>
  <si>
    <t>Subhjit Vijay Haldar</t>
  </si>
  <si>
    <t>C36240016</t>
  </si>
  <si>
    <t xml:space="preserve">Phani Krishna Sunkaranam </t>
  </si>
  <si>
    <t>C36230889</t>
  </si>
  <si>
    <t>Saswat Parida</t>
  </si>
  <si>
    <t>C36240086</t>
  </si>
  <si>
    <t>Kavya  N</t>
  </si>
  <si>
    <t>C36240046</t>
  </si>
  <si>
    <t>Mohamed Saquib</t>
  </si>
  <si>
    <t>C36240042</t>
  </si>
  <si>
    <t xml:space="preserve"> UNDAVALLI MURALI KRISHNA </t>
  </si>
  <si>
    <t>O36240000</t>
  </si>
  <si>
    <t xml:space="preserve">Nara Venkata Raghava Santhosh </t>
  </si>
  <si>
    <t>C36240017</t>
  </si>
  <si>
    <t>Vaishnavi Arunrao Kakad</t>
  </si>
  <si>
    <t>C36232349</t>
  </si>
  <si>
    <t>N S Pradeep</t>
  </si>
  <si>
    <t>O36230140</t>
  </si>
  <si>
    <t>Shikha Sood</t>
  </si>
  <si>
    <t>C36232347</t>
  </si>
  <si>
    <t>Ibaad Ur  Rehman</t>
  </si>
  <si>
    <t>C36240001</t>
  </si>
  <si>
    <t xml:space="preserve"> Mohammed Saleem Malik</t>
  </si>
  <si>
    <t>C36240047</t>
  </si>
  <si>
    <t>Akash R  Nair</t>
  </si>
  <si>
    <t>C36240011</t>
  </si>
  <si>
    <t>Soma  Sravanthi</t>
  </si>
  <si>
    <t>C36240056</t>
  </si>
  <si>
    <t>kannadhasan Thirunavukarasu</t>
  </si>
  <si>
    <t>C36240053</t>
  </si>
  <si>
    <t>Kolluri Somaiah Chowdary</t>
  </si>
  <si>
    <t>C36240002</t>
  </si>
  <si>
    <t>Kandukuri Sai Sri Latha</t>
  </si>
  <si>
    <t>C36240043</t>
  </si>
  <si>
    <t>Kanthimathinathan M</t>
  </si>
  <si>
    <t>C36240218</t>
  </si>
  <si>
    <t>Sahil Sanjay Dongre</t>
  </si>
  <si>
    <t>C36240035</t>
  </si>
  <si>
    <t>Afrous Hussain</t>
  </si>
  <si>
    <t>C36240028</t>
  </si>
  <si>
    <t>Mohammed Yousufuddin</t>
  </si>
  <si>
    <t>C36240019</t>
  </si>
  <si>
    <t>Priyanshu Sanjay Dwivedi</t>
  </si>
  <si>
    <t>C36240071</t>
  </si>
  <si>
    <t xml:space="preserve">Megha </t>
  </si>
  <si>
    <t>C36240020</t>
  </si>
  <si>
    <t xml:space="preserve">Harshad Ashok Sutar </t>
  </si>
  <si>
    <t>C36240036</t>
  </si>
  <si>
    <t>Nalinikanta Sahoo</t>
  </si>
  <si>
    <t>C36240018</t>
  </si>
  <si>
    <t>Priyadharshini  S</t>
  </si>
  <si>
    <t>C36240186</t>
  </si>
  <si>
    <t>Tarun Sai M</t>
  </si>
  <si>
    <t>C36240065</t>
  </si>
  <si>
    <t>Mansi Chandrakant  Shinde</t>
  </si>
  <si>
    <t>C36240033</t>
  </si>
  <si>
    <t>Ariba  Shaikh</t>
  </si>
  <si>
    <t>C36240026</t>
  </si>
  <si>
    <t>Channalli venkatesh Vaishnavi</t>
  </si>
  <si>
    <t>C36240057</t>
  </si>
  <si>
    <t>Sushma Anil Dhamdhere</t>
  </si>
  <si>
    <t>C36240062</t>
  </si>
  <si>
    <t>Snehal Eknath Mhaske</t>
  </si>
  <si>
    <t>C36240058</t>
  </si>
  <si>
    <t>Nikita Shalgar</t>
  </si>
  <si>
    <t>C36240044</t>
  </si>
  <si>
    <t>Sagar Dash</t>
  </si>
  <si>
    <t>C36240021</t>
  </si>
  <si>
    <t xml:space="preserve">Rittika Thakur </t>
  </si>
  <si>
    <t>C36240049</t>
  </si>
  <si>
    <t>CHANDAN KUMAR</t>
  </si>
  <si>
    <t>C36240048</t>
  </si>
  <si>
    <t xml:space="preserve">Samantha Aden </t>
  </si>
  <si>
    <t>C36240030</t>
  </si>
  <si>
    <t>Sameel Nazrudeen</t>
  </si>
  <si>
    <t>C36240040</t>
  </si>
  <si>
    <t xml:space="preserve">Shiny Christa Vandana </t>
  </si>
  <si>
    <t>C36240229</t>
  </si>
  <si>
    <t>Arisha Jain</t>
  </si>
  <si>
    <t>C36240059</t>
  </si>
  <si>
    <t>Archana M</t>
  </si>
  <si>
    <t>C36240081</t>
  </si>
  <si>
    <t>Arjun Santosh Lothe</t>
  </si>
  <si>
    <t>C36240069</t>
  </si>
  <si>
    <t>Chandini V Reddy</t>
  </si>
  <si>
    <t>C36240031</t>
  </si>
  <si>
    <t>Adarsh Vinay Singh</t>
  </si>
  <si>
    <t>C36240041</t>
  </si>
  <si>
    <t>Pratik Jitendra Mahapadi</t>
  </si>
  <si>
    <t>C36240032</t>
  </si>
  <si>
    <t>Pooja Ramchandra Walkoli</t>
  </si>
  <si>
    <t>C36240131</t>
  </si>
  <si>
    <t>Deepak  Avdeshkumar sharma</t>
  </si>
  <si>
    <t>C36240050</t>
  </si>
  <si>
    <t xml:space="preserve">Akshay Suresh Surya </t>
  </si>
  <si>
    <t>C36240051</t>
  </si>
  <si>
    <t xml:space="preserve">Rajan Sharma </t>
  </si>
  <si>
    <t>C36240255</t>
  </si>
  <si>
    <t>Tanuja Vikas Mestry</t>
  </si>
  <si>
    <t>C36240070</t>
  </si>
  <si>
    <t xml:space="preserve">Shaikh Farhin Ishaque </t>
  </si>
  <si>
    <t>C36240088</t>
  </si>
  <si>
    <t>Prashant Chandrakant Bhatade</t>
  </si>
  <si>
    <t>C36240079</t>
  </si>
  <si>
    <t>Souradip Sen</t>
  </si>
  <si>
    <t>C36240068</t>
  </si>
  <si>
    <t xml:space="preserve">Sharp Software Development India </t>
  </si>
  <si>
    <t>Soumik V</t>
  </si>
  <si>
    <t>C36240055</t>
  </si>
  <si>
    <t>G Harinath  Reddy</t>
  </si>
  <si>
    <t>C36240052</t>
  </si>
  <si>
    <t>Buddhesh Suresh Waghmare</t>
  </si>
  <si>
    <t>C36240089</t>
  </si>
  <si>
    <t>Aparajita Das</t>
  </si>
  <si>
    <t>C36240258</t>
  </si>
  <si>
    <t>Sudarsan Ghosh</t>
  </si>
  <si>
    <t>C36240061</t>
  </si>
  <si>
    <t>Ushameghana Tallam</t>
  </si>
  <si>
    <t>C36240158</t>
  </si>
  <si>
    <t xml:space="preserve">Surendra Tarai   </t>
  </si>
  <si>
    <t>C36231851</t>
  </si>
  <si>
    <t>Vaishnavi Avinash Kelkar</t>
  </si>
  <si>
    <t>C36240246</t>
  </si>
  <si>
    <t>Ashlesha Suresh Sajgane</t>
  </si>
  <si>
    <t>C36240078</t>
  </si>
  <si>
    <t>Karthik Krishna Nadar</t>
  </si>
  <si>
    <t>C36240075</t>
  </si>
  <si>
    <t>Shantanu  Pundir</t>
  </si>
  <si>
    <t>C36240189</t>
  </si>
  <si>
    <t>Mohammed Wasif Amir</t>
  </si>
  <si>
    <t>C36240353</t>
  </si>
  <si>
    <t>Varun Kumar Venugopal</t>
  </si>
  <si>
    <t>C36240082</t>
  </si>
  <si>
    <t>Vikas Manojkumar Nishad</t>
  </si>
  <si>
    <t>C36240083</t>
  </si>
  <si>
    <t xml:space="preserve"> Abhishek Shivdas Patil</t>
  </si>
  <si>
    <t>C36240090</t>
  </si>
  <si>
    <t>Thanuja G</t>
  </si>
  <si>
    <t>C36240219</t>
  </si>
  <si>
    <t>AMIT SHARMA</t>
  </si>
  <si>
    <t>C36240073</t>
  </si>
  <si>
    <t xml:space="preserve"> Shubham Gorakshanath Pawase</t>
  </si>
  <si>
    <t>C36240074</t>
  </si>
  <si>
    <t>Durgesh Chedilal Gupta</t>
  </si>
  <si>
    <t>C36240084</t>
  </si>
  <si>
    <t>Naresh Chaidini</t>
  </si>
  <si>
    <t>C36240130</t>
  </si>
  <si>
    <t>Komal Jitesh Jadwani</t>
  </si>
  <si>
    <t>C36240151</t>
  </si>
  <si>
    <t>Rahul Shivprasad Gupta</t>
  </si>
  <si>
    <t>C36240128</t>
  </si>
  <si>
    <t>Rutuja Shamrao Gaikwad</t>
  </si>
  <si>
    <t>C36240145</t>
  </si>
  <si>
    <t>C36240076</t>
  </si>
  <si>
    <t>Saurav  Kumar</t>
  </si>
  <si>
    <t>O36230130</t>
  </si>
  <si>
    <t>Lade Jyothi Swarupa</t>
  </si>
  <si>
    <t>C36240091</t>
  </si>
  <si>
    <t>Alok Maharatha</t>
  </si>
  <si>
    <t>C36240127</t>
  </si>
  <si>
    <t>Ramesh R</t>
  </si>
  <si>
    <t>O36230137</t>
  </si>
  <si>
    <t>Vinit Kumar singh</t>
  </si>
  <si>
    <t>O36230139</t>
  </si>
  <si>
    <t>Amritha S</t>
  </si>
  <si>
    <t>C36240067</t>
  </si>
  <si>
    <t>Ratheesha A N</t>
  </si>
  <si>
    <t>C36231194</t>
  </si>
  <si>
    <t>Societe Generale</t>
  </si>
  <si>
    <t>Menaka prasad</t>
  </si>
  <si>
    <t>Deeba  R</t>
  </si>
  <si>
    <t>C36231363</t>
  </si>
  <si>
    <t>Suresh Babu</t>
  </si>
  <si>
    <t>C36232019</t>
  </si>
  <si>
    <t>B Gayathri</t>
  </si>
  <si>
    <t>C36231229</t>
  </si>
  <si>
    <t>Tata Elxsi</t>
  </si>
  <si>
    <t>Matin Bashir Desai</t>
  </si>
  <si>
    <t>C36231230</t>
  </si>
  <si>
    <t>Thimirishetty Dharani</t>
  </si>
  <si>
    <t>C36240093</t>
  </si>
  <si>
    <t>Thomson Reuters</t>
  </si>
  <si>
    <t>Ilaparvuluri leela Datta Praneeth</t>
  </si>
  <si>
    <t>C36240094</t>
  </si>
  <si>
    <t xml:space="preserve">U Maheshwari </t>
  </si>
  <si>
    <t>C36240095</t>
  </si>
  <si>
    <t>Bandari Vinayraj</t>
  </si>
  <si>
    <t>C36240096</t>
  </si>
  <si>
    <t xml:space="preserve">Gangineni Bhargavi  </t>
  </si>
  <si>
    <t>C36240097</t>
  </si>
  <si>
    <t xml:space="preserve"> Angel Makka</t>
  </si>
  <si>
    <t>C36240098</t>
  </si>
  <si>
    <t>Akash Kumar</t>
  </si>
  <si>
    <t>C36240099</t>
  </si>
  <si>
    <t>Pachipenta Nayana Sai Sri</t>
  </si>
  <si>
    <t>C36240100</t>
  </si>
  <si>
    <t xml:space="preserve">Barla Sai Karthik  </t>
  </si>
  <si>
    <t>C36240101</t>
  </si>
  <si>
    <t>Devalla Shiva Kalyan</t>
  </si>
  <si>
    <t>C36240102</t>
  </si>
  <si>
    <t>Karan Dayal Dhameja</t>
  </si>
  <si>
    <t>C36240235</t>
  </si>
  <si>
    <t>Madam Anil kumar reddy</t>
  </si>
  <si>
    <t>C36240103</t>
  </si>
  <si>
    <t>Shubhamkumar Upadhayay</t>
  </si>
  <si>
    <t>C36240104</t>
  </si>
  <si>
    <t xml:space="preserve">Suryapally Shashank </t>
  </si>
  <si>
    <t>C36240105</t>
  </si>
  <si>
    <t xml:space="preserve"> Peddi Soumya Reddy</t>
  </si>
  <si>
    <t>C36240106</t>
  </si>
  <si>
    <t>Kalal Prasanna</t>
  </si>
  <si>
    <t>C36240107</t>
  </si>
  <si>
    <t>Sudhula Pavan Ganesh</t>
  </si>
  <si>
    <t>C36240108</t>
  </si>
  <si>
    <t>Raachala Harish Reddy</t>
  </si>
  <si>
    <t>C36240109</t>
  </si>
  <si>
    <t>Madasu Bhagya Lakshmi Prasanna</t>
  </si>
  <si>
    <t>C36240110</t>
  </si>
  <si>
    <t>Videsh Rajesh Baikar</t>
  </si>
  <si>
    <t>C36240092</t>
  </si>
  <si>
    <t>Mohammed Abdul rakhib</t>
  </si>
  <si>
    <t>C36240111</t>
  </si>
  <si>
    <t>Sahil Ashok More</t>
  </si>
  <si>
    <t>C36240136</t>
  </si>
  <si>
    <t>Parasa Neeraja</t>
  </si>
  <si>
    <t>C36240112</t>
  </si>
  <si>
    <t xml:space="preserve">Ashif  Khan </t>
  </si>
  <si>
    <t>C36240113</t>
  </si>
  <si>
    <t>Arun Gnana Raj L</t>
  </si>
  <si>
    <t>C36240187</t>
  </si>
  <si>
    <t>Mannu Mahotra</t>
  </si>
  <si>
    <t>C36240126</t>
  </si>
  <si>
    <t>Mohammed Osman  Khan</t>
  </si>
  <si>
    <t>C36240114</t>
  </si>
  <si>
    <t>Dharshini R</t>
  </si>
  <si>
    <t>C36240085</t>
  </si>
  <si>
    <t>Thakur Paramraj Singh</t>
  </si>
  <si>
    <t>C36240115</t>
  </si>
  <si>
    <t>NAJMA TAJ</t>
  </si>
  <si>
    <t>C36240142</t>
  </si>
  <si>
    <t>Pavan c</t>
  </si>
  <si>
    <t>C36240209</t>
  </si>
  <si>
    <t>Rachita K A</t>
  </si>
  <si>
    <t>C36240143</t>
  </si>
  <si>
    <t>S Sachin Singh</t>
  </si>
  <si>
    <t>C36240137</t>
  </si>
  <si>
    <t>Sunaina Padhi</t>
  </si>
  <si>
    <t>C36240161</t>
  </si>
  <si>
    <t>Namilikonda Vidya</t>
  </si>
  <si>
    <t>C36240116</t>
  </si>
  <si>
    <t>Mitali Motiram Tulshikar</t>
  </si>
  <si>
    <t>C36240138</t>
  </si>
  <si>
    <t xml:space="preserve"> Nirupama Singh</t>
  </si>
  <si>
    <t>C36240132</t>
  </si>
  <si>
    <t xml:space="preserve">Chamantula Harish Kumar </t>
  </si>
  <si>
    <t>C36240133</t>
  </si>
  <si>
    <t>Sharath CM</t>
  </si>
  <si>
    <t>Archana Gupta</t>
  </si>
  <si>
    <t>C36240139</t>
  </si>
  <si>
    <t xml:space="preserve">Datacomp Webtech Technologies </t>
  </si>
  <si>
    <t>Jaddu Manasa</t>
  </si>
  <si>
    <t>C36240134</t>
  </si>
  <si>
    <t>Udit Bhardwaj</t>
  </si>
  <si>
    <t>C36240135</t>
  </si>
  <si>
    <t xml:space="preserve">Dabbara Sri Krupa </t>
  </si>
  <si>
    <t>C36240180</t>
  </si>
  <si>
    <t>C36240190</t>
  </si>
  <si>
    <t>Nyala sandeep</t>
  </si>
  <si>
    <t>C36240181</t>
  </si>
  <si>
    <t>C36240203</t>
  </si>
  <si>
    <t xml:space="preserve">Gadidapati Priya  </t>
  </si>
  <si>
    <t xml:space="preserve">Jogu Anitha </t>
  </si>
  <si>
    <t>C36240202</t>
  </si>
  <si>
    <t>MOHAMMED AAMIR KHAN</t>
  </si>
  <si>
    <t>C36240162</t>
  </si>
  <si>
    <t>Shama Anil Kumar</t>
  </si>
  <si>
    <t>Chindam Harshini</t>
  </si>
  <si>
    <t>Karamthot Sangeetha Bai</t>
  </si>
  <si>
    <t>C36240191</t>
  </si>
  <si>
    <t xml:space="preserve">Pallekadi Shashidhar </t>
  </si>
  <si>
    <t>C36240163</t>
  </si>
  <si>
    <t>C36240204</t>
  </si>
  <si>
    <t>Md Saif Ahmed</t>
  </si>
  <si>
    <t>C36240152</t>
  </si>
  <si>
    <t>C36240153</t>
  </si>
  <si>
    <t>C36240154</t>
  </si>
  <si>
    <t>C36240205</t>
  </si>
  <si>
    <t>C36240206</t>
  </si>
  <si>
    <t>C36240182</t>
  </si>
  <si>
    <t xml:space="preserve">Vempati Pavan Kalyan </t>
  </si>
  <si>
    <t>C36240208</t>
  </si>
  <si>
    <t xml:space="preserve">Rajesh Vippari </t>
  </si>
  <si>
    <t>Mohammed Younus</t>
  </si>
  <si>
    <t>C36240155</t>
  </si>
  <si>
    <t>Valmik Deepak Devare</t>
  </si>
  <si>
    <t>C36240141</t>
  </si>
  <si>
    <t>Govardhan  Boddu</t>
  </si>
  <si>
    <t>C36240183</t>
  </si>
  <si>
    <t xml:space="preserve">Rasuri Swathi </t>
  </si>
  <si>
    <t>C36240157</t>
  </si>
  <si>
    <t>C36240166</t>
  </si>
  <si>
    <t>C36240215</t>
  </si>
  <si>
    <t xml:space="preserve">Nakka Sravanthi </t>
  </si>
  <si>
    <t>C36240192</t>
  </si>
  <si>
    <t>Gajulavarthi Sunny</t>
  </si>
  <si>
    <t>C36240167</t>
  </si>
  <si>
    <t>C36240168</t>
  </si>
  <si>
    <t>C36240214</t>
  </si>
  <si>
    <t xml:space="preserve">Kota Nithesh Kumar Reddy </t>
  </si>
  <si>
    <t>C36240146</t>
  </si>
  <si>
    <t>Vanamoju Preethi</t>
  </si>
  <si>
    <t>Aakash  Shandilya</t>
  </si>
  <si>
    <t>O36240001</t>
  </si>
  <si>
    <t>C36240207</t>
  </si>
  <si>
    <t>Rohan Tiwarekar</t>
  </si>
  <si>
    <t>C36240129</t>
  </si>
  <si>
    <t>Tanvi Vikas Kamble</t>
  </si>
  <si>
    <t>C36240194</t>
  </si>
  <si>
    <t xml:space="preserve"> Shirisha Yara</t>
  </si>
  <si>
    <t>Gulari  Uday Kiran Goud</t>
  </si>
  <si>
    <t>C36240169</t>
  </si>
  <si>
    <t>Tippanaboina  Unnathi</t>
  </si>
  <si>
    <t>C36240170</t>
  </si>
  <si>
    <t>Korichvrla Vaishnavi</t>
  </si>
  <si>
    <t xml:space="preserve">VemiReddy Vinay Kumar Reddy </t>
  </si>
  <si>
    <t>C36240171</t>
  </si>
  <si>
    <t>Beleshanti Anchal  Prusty</t>
  </si>
  <si>
    <t>C36240217</t>
  </si>
  <si>
    <t>Valle Shobha Rani</t>
  </si>
  <si>
    <t>C36240213</t>
  </si>
  <si>
    <t xml:space="preserve">Gujarathi  Rishitha </t>
  </si>
  <si>
    <t>C36240172</t>
  </si>
  <si>
    <t>Jupally Kiran  Kumar</t>
  </si>
  <si>
    <t>A Prashanth Kumar</t>
  </si>
  <si>
    <t>C36240299</t>
  </si>
  <si>
    <t xml:space="preserve"> Nallamilli Divya</t>
  </si>
  <si>
    <t>C36240156</t>
  </si>
  <si>
    <t>Balanagu S Krishna Chaitanya</t>
  </si>
  <si>
    <t>O36240003</t>
  </si>
  <si>
    <t xml:space="preserve">P C Susheela  </t>
  </si>
  <si>
    <t>C36240149</t>
  </si>
  <si>
    <t>Puttoju Vineeth</t>
  </si>
  <si>
    <t>C36240117</t>
  </si>
  <si>
    <t xml:space="preserve">Sridevi  </t>
  </si>
  <si>
    <t>C36240193</t>
  </si>
  <si>
    <t>Saurabh Premnarayan Pandey</t>
  </si>
  <si>
    <t>C36240197</t>
  </si>
  <si>
    <t xml:space="preserve">KOTHAPALLI SURYANARAYANA </t>
  </si>
  <si>
    <t>O36240004</t>
  </si>
  <si>
    <t>Lokesh G</t>
  </si>
  <si>
    <t>C36240179</t>
  </si>
  <si>
    <t>Sowmya S</t>
  </si>
  <si>
    <t>C36240185</t>
  </si>
  <si>
    <t>Shubair Abbas</t>
  </si>
  <si>
    <t>C36240148</t>
  </si>
  <si>
    <t>Dinesh Rajesh Gandhi</t>
  </si>
  <si>
    <t>C36240175</t>
  </si>
  <si>
    <t xml:space="preserve">Umesh Venkatesh Kulkarni </t>
  </si>
  <si>
    <t>C36240176</t>
  </si>
  <si>
    <t>Manisha Angad Singh</t>
  </si>
  <si>
    <t>C36240177</t>
  </si>
  <si>
    <t>O36240002</t>
  </si>
  <si>
    <t xml:space="preserve">Sandu Ananda Kumar </t>
  </si>
  <si>
    <t>C36240174</t>
  </si>
  <si>
    <t>Bhola Shanker Katariya</t>
  </si>
  <si>
    <t>C36240236</t>
  </si>
  <si>
    <t>Kirthi S</t>
  </si>
  <si>
    <t>C36240308</t>
  </si>
  <si>
    <t xml:space="preserve">Naveenakumar V </t>
  </si>
  <si>
    <t>C36240230</t>
  </si>
  <si>
    <t>Manjunatha</t>
  </si>
  <si>
    <t>C36240201</t>
  </si>
  <si>
    <t>Arun Deepak  Ahuja</t>
  </si>
  <si>
    <t>C36240198</t>
  </si>
  <si>
    <t xml:space="preserve">Patan Babajan </t>
  </si>
  <si>
    <t>C36240265</t>
  </si>
  <si>
    <t>Affan  Aslam Tahasildar</t>
  </si>
  <si>
    <t>C36240178</t>
  </si>
  <si>
    <t xml:space="preserve">Durgam Nishanth Kumar </t>
  </si>
  <si>
    <t>C36240300</t>
  </si>
  <si>
    <t>Vinayak Sripati Kharade</t>
  </si>
  <si>
    <t>C36240266</t>
  </si>
  <si>
    <t>Aditya Kumar</t>
  </si>
  <si>
    <t>C36240164</t>
  </si>
  <si>
    <t>Kanak Ranjan</t>
  </si>
  <si>
    <t>C36240159</t>
  </si>
  <si>
    <t>Pansara  Ankur Hitendrakumar</t>
  </si>
  <si>
    <t>C36240165</t>
  </si>
  <si>
    <t>Rohan Vijay Bharadkar</t>
  </si>
  <si>
    <t>C36240307</t>
  </si>
  <si>
    <t>Gujjari Sidhartha</t>
  </si>
  <si>
    <t>C36240184</t>
  </si>
  <si>
    <t xml:space="preserve">Anem Mounika </t>
  </si>
  <si>
    <t>C36240188</t>
  </si>
  <si>
    <t>Kumari  Alpana  Prasad</t>
  </si>
  <si>
    <t>C36240160</t>
  </si>
  <si>
    <t>Anand S L</t>
  </si>
  <si>
    <t>O36240005</t>
  </si>
  <si>
    <t xml:space="preserve"> Pavan Kalyan Reddy Y </t>
  </si>
  <si>
    <t>C36240225</t>
  </si>
  <si>
    <t>Maheshwaram Sushma</t>
  </si>
  <si>
    <t>C36240301</t>
  </si>
  <si>
    <t>Chaitra Arjun</t>
  </si>
  <si>
    <t>Prakhar Makhija</t>
  </si>
  <si>
    <t>Niharika M K</t>
  </si>
  <si>
    <t>Paramjit  Singh</t>
  </si>
  <si>
    <t>C36240211</t>
  </si>
  <si>
    <t xml:space="preserve">Sandeep Kumar Singh </t>
  </si>
  <si>
    <t>C36240263</t>
  </si>
  <si>
    <t>Syed  Aqib Rahaman</t>
  </si>
  <si>
    <t>C36240195</t>
  </si>
  <si>
    <t>Asfiya  Farheen</t>
  </si>
  <si>
    <t>C36240196</t>
  </si>
  <si>
    <t>Sane Divyasri</t>
  </si>
  <si>
    <t>C36240220</t>
  </si>
  <si>
    <t xml:space="preserve"> Vikas.G</t>
  </si>
  <si>
    <t>C36240199</t>
  </si>
  <si>
    <t xml:space="preserve">Mohammed Irfan </t>
  </si>
  <si>
    <t>C36240234</t>
  </si>
  <si>
    <t>Sushma Hegde</t>
  </si>
  <si>
    <t>Ravi Joglekar</t>
  </si>
  <si>
    <t>C36240210</t>
  </si>
  <si>
    <t xml:space="preserve">Deloitte_Support </t>
  </si>
  <si>
    <t>Jyothsna S</t>
  </si>
  <si>
    <t>C36240250</t>
  </si>
  <si>
    <t>Anushka Kumari</t>
  </si>
  <si>
    <t>C36240228</t>
  </si>
  <si>
    <t>Bushra Sayyum Ansari</t>
  </si>
  <si>
    <t>C36240222</t>
  </si>
  <si>
    <t>Ganesh Ramesh Autade</t>
  </si>
  <si>
    <t>C36240224</t>
  </si>
  <si>
    <t>Vedant Prakash Mali</t>
  </si>
  <si>
    <t>C36240221</t>
  </si>
  <si>
    <t>Deepthi V</t>
  </si>
  <si>
    <t>C36240251</t>
  </si>
  <si>
    <t>Kavita Shekar Naik</t>
  </si>
  <si>
    <t>C36240223</t>
  </si>
  <si>
    <t>Kimaya Vilas Hajare</t>
  </si>
  <si>
    <t>C36240233</t>
  </si>
  <si>
    <t>Shriti Prakash Kotian</t>
  </si>
  <si>
    <t>C36240247</t>
  </si>
  <si>
    <t>Gautam Prakash Jadhav</t>
  </si>
  <si>
    <t>C36240344</t>
  </si>
  <si>
    <t xml:space="preserve">Bajaga Gitanjali Bajirao </t>
  </si>
  <si>
    <t>C36240245</t>
  </si>
  <si>
    <t xml:space="preserve">T K Harshitha </t>
  </si>
  <si>
    <t>C36240252</t>
  </si>
  <si>
    <t>A Alan Terence</t>
  </si>
  <si>
    <t>C36240216</t>
  </si>
  <si>
    <t xml:space="preserve"> Anand  Kumar</t>
  </si>
  <si>
    <t>C36240267</t>
  </si>
  <si>
    <t>Rangisetti Anitha</t>
  </si>
  <si>
    <t>C36240226</t>
  </si>
  <si>
    <t xml:space="preserve">P Catherine </t>
  </si>
  <si>
    <t>C36240118</t>
  </si>
  <si>
    <t xml:space="preserve"> Sevak Saurabhkumar Ketankumar</t>
  </si>
  <si>
    <t>C36240237</t>
  </si>
  <si>
    <t>Mohit Kumar</t>
  </si>
  <si>
    <t>Anil Kumar M</t>
  </si>
  <si>
    <t>Deena Johnson</t>
  </si>
  <si>
    <t>C36240289</t>
  </si>
  <si>
    <t xml:space="preserve">Nuthakki Upeksha  </t>
  </si>
  <si>
    <t>C36240119</t>
  </si>
  <si>
    <t>Lavanya Shekhar Kamble</t>
  </si>
  <si>
    <t>C36240242</t>
  </si>
  <si>
    <t>B Naga Sai Sindhura</t>
  </si>
  <si>
    <t>C36240371</t>
  </si>
  <si>
    <t>V Kousalya</t>
  </si>
  <si>
    <t>C36240268</t>
  </si>
  <si>
    <t xml:space="preserve">Vibinraj Stephen </t>
  </si>
  <si>
    <t>C36240231</t>
  </si>
  <si>
    <t>Syed Nemath Ullah</t>
  </si>
  <si>
    <t>C36240120</t>
  </si>
  <si>
    <t>Lalbee Kuppaganti</t>
  </si>
  <si>
    <t xml:space="preserve">Sandeep. M. </t>
  </si>
  <si>
    <t>C36240243</t>
  </si>
  <si>
    <t>Vannala Veena</t>
  </si>
  <si>
    <t>C36240279</t>
  </si>
  <si>
    <t>Bhandari Archana</t>
  </si>
  <si>
    <t>C36240280</t>
  </si>
  <si>
    <t>Makineni Krishna Murthy</t>
  </si>
  <si>
    <t>O36240008</t>
  </si>
  <si>
    <t>Gujarathi Pavani</t>
  </si>
  <si>
    <t>C36240227</t>
  </si>
  <si>
    <t xml:space="preserve">Anish Kumar Jha </t>
  </si>
  <si>
    <t>C36240257</t>
  </si>
  <si>
    <t>Akshata Deepak Bhesal</t>
  </si>
  <si>
    <t>C36240274</t>
  </si>
  <si>
    <t>Kunal Machhindra Gaikwad</t>
  </si>
  <si>
    <t>C36240259</t>
  </si>
  <si>
    <t>Pooja Nandlal Bhardwaj</t>
  </si>
  <si>
    <t>C36240249</t>
  </si>
  <si>
    <t>Roshini R Jain I</t>
  </si>
  <si>
    <t>C36240244</t>
  </si>
  <si>
    <t>Kavya Shri H M</t>
  </si>
  <si>
    <t>C36240238</t>
  </si>
  <si>
    <t>Divya Prabhakar</t>
  </si>
  <si>
    <t xml:space="preserve">Srikanta  Gope </t>
  </si>
  <si>
    <t>C36240248</t>
  </si>
  <si>
    <t>Sarvesh  Rajendra Kamble</t>
  </si>
  <si>
    <t>C36240312</t>
  </si>
  <si>
    <t>Pooja Rani</t>
  </si>
  <si>
    <t>C36240254</t>
  </si>
  <si>
    <t>Jeffin Thambi Raj</t>
  </si>
  <si>
    <t>C36240239</t>
  </si>
  <si>
    <t xml:space="preserve">Mario  Chow </t>
  </si>
  <si>
    <t>C36240240</t>
  </si>
  <si>
    <t>Prashanth  Peter</t>
  </si>
  <si>
    <t>C36240241</t>
  </si>
  <si>
    <t xml:space="preserve">C S Subin </t>
  </si>
  <si>
    <t>C36240260</t>
  </si>
  <si>
    <t>G Sai Chaitanya</t>
  </si>
  <si>
    <t>C36240374</t>
  </si>
  <si>
    <t xml:space="preserve">Sameer Ranjan Dash </t>
  </si>
  <si>
    <t>C36240382</t>
  </si>
  <si>
    <t xml:space="preserve">Syed Zafar Hasan Rizvi </t>
  </si>
  <si>
    <t>C36240281</t>
  </si>
  <si>
    <t>Manoj Babu Oddar</t>
  </si>
  <si>
    <t>C36240256</t>
  </si>
  <si>
    <t>Gajjala Gopi</t>
  </si>
  <si>
    <t>C36240121</t>
  </si>
  <si>
    <t xml:space="preserve">Surapaneni Saibharath  </t>
  </si>
  <si>
    <t>C36240297</t>
  </si>
  <si>
    <t>Asma Abdulla Sakharkar</t>
  </si>
  <si>
    <t>C36240261</t>
  </si>
  <si>
    <t>Anjali khandelwal</t>
  </si>
  <si>
    <t>C36240270</t>
  </si>
  <si>
    <t>Pavana M</t>
  </si>
  <si>
    <t>Stalin S</t>
  </si>
  <si>
    <t>C36240288</t>
  </si>
  <si>
    <t>Abhishek Pattanashetti</t>
  </si>
  <si>
    <t>C36240262</t>
  </si>
  <si>
    <t>Mamta Kailas Dahiwal</t>
  </si>
  <si>
    <t>O36240007</t>
  </si>
  <si>
    <t xml:space="preserve">Thirukkovalluru  Ajith </t>
  </si>
  <si>
    <t>C36240276</t>
  </si>
  <si>
    <t>Infosys 3</t>
  </si>
  <si>
    <t xml:space="preserve">Palchuri Vamsee Krishna </t>
  </si>
  <si>
    <t>O36240010</t>
  </si>
  <si>
    <t>Patel Kamlesh Ramesh Bhai</t>
  </si>
  <si>
    <t>C36240271</t>
  </si>
  <si>
    <t>Aakash Gopal Sawant</t>
  </si>
  <si>
    <t>C36240272</t>
  </si>
  <si>
    <t>Chaitra Hu</t>
  </si>
  <si>
    <t>Thivagar T</t>
  </si>
  <si>
    <t>C36240337</t>
  </si>
  <si>
    <t>Swagata Chowdhury</t>
  </si>
  <si>
    <t>C36240273</t>
  </si>
  <si>
    <t xml:space="preserve">Shatabdi Mohanty	</t>
  </si>
  <si>
    <t>C36240305</t>
  </si>
  <si>
    <t>Tharakaram Seetharaman</t>
  </si>
  <si>
    <t>Lomada Vishnu Priya</t>
  </si>
  <si>
    <t>C36240407</t>
  </si>
  <si>
    <t>Vidhya V</t>
  </si>
  <si>
    <t>C36240277</t>
  </si>
  <si>
    <t>Nagarjuna Punati</t>
  </si>
  <si>
    <t>Chintalapalli  Madhusudhan Reddy</t>
  </si>
  <si>
    <t>C36240345</t>
  </si>
  <si>
    <t xml:space="preserve">Gudupu Vyshnavi </t>
  </si>
  <si>
    <t>C36240293</t>
  </si>
  <si>
    <t>Barkha Gidwani</t>
  </si>
  <si>
    <t>NELATURI RANJEETH KUMAR</t>
  </si>
  <si>
    <t>C36240365</t>
  </si>
  <si>
    <t>Amir Kumar Modak</t>
  </si>
  <si>
    <t>C36240278</t>
  </si>
  <si>
    <t xml:space="preserve"> Kumkar Gauri Namdev</t>
  </si>
  <si>
    <t>C36240309</t>
  </si>
  <si>
    <t>Megha Jitendar Bhoir</t>
  </si>
  <si>
    <t>C36240356</t>
  </si>
  <si>
    <t xml:space="preserve">Gracy Johnson </t>
  </si>
  <si>
    <t>C36240275</t>
  </si>
  <si>
    <t>Syed Adnanuddin</t>
  </si>
  <si>
    <t>C36240319</t>
  </si>
  <si>
    <t>Anusha RK</t>
  </si>
  <si>
    <t>Chauhan Mayurbhai Narendrabhai</t>
  </si>
  <si>
    <t>C36240282</t>
  </si>
  <si>
    <t xml:space="preserve">Amarjeet Singh Surender Singh Jabal </t>
  </si>
  <si>
    <t>C36240269</t>
  </si>
  <si>
    <t>Tripti  Vishwakarma</t>
  </si>
  <si>
    <t>C36240303</t>
  </si>
  <si>
    <t>Dhishna B K</t>
  </si>
  <si>
    <t>C36240329</t>
  </si>
  <si>
    <t>Subham Kumar Swain</t>
  </si>
  <si>
    <t>C36240352</t>
  </si>
  <si>
    <t>Hema Varamurthi</t>
  </si>
  <si>
    <t>Beryl B</t>
  </si>
  <si>
    <t>Praveen Kumar</t>
  </si>
  <si>
    <t>Mohammed Ismail</t>
  </si>
  <si>
    <t>C36240311</t>
  </si>
  <si>
    <t xml:space="preserve">J Stella Mary </t>
  </si>
  <si>
    <t>C36240338</t>
  </si>
  <si>
    <t>C36240290</t>
  </si>
  <si>
    <t xml:space="preserve">Sheela </t>
  </si>
  <si>
    <t>C36240283</t>
  </si>
  <si>
    <t xml:space="preserve"> Kavitha E </t>
  </si>
  <si>
    <t>C36240359</t>
  </si>
  <si>
    <t>Urshita Parikh Mehul</t>
  </si>
  <si>
    <t>C36240328</t>
  </si>
  <si>
    <t xml:space="preserve">Gaurav </t>
  </si>
  <si>
    <t>O36240009</t>
  </si>
  <si>
    <t xml:space="preserve">Twinkal Bharat Jain </t>
  </si>
  <si>
    <t>C36240320</t>
  </si>
  <si>
    <t>Amol Sarjerao Pawar</t>
  </si>
  <si>
    <t>C36240304</t>
  </si>
  <si>
    <t xml:space="preserve">Tamatam Ediga Devi Prasad Goud </t>
  </si>
  <si>
    <t>C36240323</t>
  </si>
  <si>
    <t>Chejarla Balakotaiah</t>
  </si>
  <si>
    <t>C36240316</t>
  </si>
  <si>
    <t>Deepika D</t>
  </si>
  <si>
    <t>Sneha Rajan</t>
  </si>
  <si>
    <t>C36240342</t>
  </si>
  <si>
    <t xml:space="preserve"> S Lokesh Gowda </t>
  </si>
  <si>
    <t>C36240383</t>
  </si>
  <si>
    <t>Tejaswini N</t>
  </si>
  <si>
    <t>Amit Kumar Behera</t>
  </si>
  <si>
    <t>C36240294</t>
  </si>
  <si>
    <t>Adobe</t>
  </si>
  <si>
    <t xml:space="preserve">B P Nisha </t>
  </si>
  <si>
    <t>C36240295</t>
  </si>
  <si>
    <t>Tupakula Mohan Krishna  Reddy</t>
  </si>
  <si>
    <t>C36240122</t>
  </si>
  <si>
    <t xml:space="preserve"> Shivangi Sinha </t>
  </si>
  <si>
    <t>C36240284</t>
  </si>
  <si>
    <t>Irigala Srinivasulu  Reddy</t>
  </si>
  <si>
    <t>C36240317</t>
  </si>
  <si>
    <t xml:space="preserve"> Ankit Jain</t>
  </si>
  <si>
    <t>C36240315</t>
  </si>
  <si>
    <t xml:space="preserve">Devendra Saini </t>
  </si>
  <si>
    <t>C36240392</t>
  </si>
  <si>
    <t>Chaithanya Reddy N K</t>
  </si>
  <si>
    <t>C36240325</t>
  </si>
  <si>
    <t>Yasmin Dhal</t>
  </si>
  <si>
    <t>C36240286</t>
  </si>
  <si>
    <t xml:space="preserve">Panguluri Sai Ram </t>
  </si>
  <si>
    <t>C36240287</t>
  </si>
  <si>
    <t>Mamatha G R</t>
  </si>
  <si>
    <t>C36240285</t>
  </si>
  <si>
    <t>Aditi Indrakamal Mishra</t>
  </si>
  <si>
    <t>C36240327</t>
  </si>
  <si>
    <t>Mudassir Reheman</t>
  </si>
  <si>
    <t>C36240313</t>
  </si>
  <si>
    <t xml:space="preserve">Balasubramanian </t>
  </si>
  <si>
    <t>C36240322</t>
  </si>
  <si>
    <t xml:space="preserve">Madhumiha </t>
  </si>
  <si>
    <t>C36240306</t>
  </si>
  <si>
    <t>Syed Sufiyan  Ahmed</t>
  </si>
  <si>
    <t>C36240123</t>
  </si>
  <si>
    <t>Palakitee Venkat Dinesh</t>
  </si>
  <si>
    <t>C36240124</t>
  </si>
  <si>
    <t>Jasmeet Kaur Kohli</t>
  </si>
  <si>
    <t>C36240298</t>
  </si>
  <si>
    <t>Aamer  Ghouri</t>
  </si>
  <si>
    <t>C36240125</t>
  </si>
  <si>
    <t>Ashika P. P</t>
  </si>
  <si>
    <t>C36240409</t>
  </si>
  <si>
    <t xml:space="preserve">Shainee Mangal </t>
  </si>
  <si>
    <t>O36240012</t>
  </si>
  <si>
    <t>Yogesh Basagonda Kadam</t>
  </si>
  <si>
    <t>C36230974</t>
  </si>
  <si>
    <t>Toyota</t>
  </si>
  <si>
    <t>Deepak Raj Thinis Xavier Raj</t>
  </si>
  <si>
    <t>C36240343</t>
  </si>
  <si>
    <t>Kalyan Singha Roy</t>
  </si>
  <si>
    <t>C36230736</t>
  </si>
  <si>
    <t>VMware</t>
  </si>
  <si>
    <t xml:space="preserve">Shreya Arvind Sasane </t>
  </si>
  <si>
    <t>C36240331</t>
  </si>
  <si>
    <t xml:space="preserve">Mohammad Sadique Raza </t>
  </si>
  <si>
    <t>C36231788</t>
  </si>
  <si>
    <t>Praveen Omprakash Upadhyay</t>
  </si>
  <si>
    <t>C36240336</t>
  </si>
  <si>
    <t xml:space="preserve">Tejal kisan Dhobale  </t>
  </si>
  <si>
    <t>C36240330</t>
  </si>
  <si>
    <t>Boopathi Ravichandran</t>
  </si>
  <si>
    <t>C36240368</t>
  </si>
  <si>
    <t>Sreeram Ramamohan Reddy</t>
  </si>
  <si>
    <t>C36240318</t>
  </si>
  <si>
    <t>Savitha Moorthi</t>
  </si>
  <si>
    <t>C36240370</t>
  </si>
  <si>
    <t>Pratik Govind Bhanushali</t>
  </si>
  <si>
    <t>C36240339</t>
  </si>
  <si>
    <t>Yash Yuvaraj Badgujar</t>
  </si>
  <si>
    <t>C36240340</t>
  </si>
  <si>
    <t>Kizley Benedict</t>
  </si>
  <si>
    <t>O36240013</t>
  </si>
  <si>
    <t>Mudda Dinesh Kumar</t>
  </si>
  <si>
    <t>O36240014</t>
  </si>
  <si>
    <t>Simran Rohidas Shedge</t>
  </si>
  <si>
    <t>C36240346</t>
  </si>
  <si>
    <t>Abhishek Kumar</t>
  </si>
  <si>
    <t>C36240332</t>
  </si>
  <si>
    <t>Samarth Diwakar</t>
  </si>
  <si>
    <t>C36240350</t>
  </si>
  <si>
    <t>Keshab  Chetry</t>
  </si>
  <si>
    <t>C36240349</t>
  </si>
  <si>
    <t>Babu  Gopal</t>
  </si>
  <si>
    <t>C36240324</t>
  </si>
  <si>
    <t>Nithin A</t>
  </si>
  <si>
    <t>C36240335</t>
  </si>
  <si>
    <t>Dalen Lobo</t>
  </si>
  <si>
    <t>C36240395</t>
  </si>
  <si>
    <t>Soni  Hanumant Ghadge</t>
  </si>
  <si>
    <t>C36240358</t>
  </si>
  <si>
    <t xml:space="preserve">Eede Leela Venkat Sai </t>
  </si>
  <si>
    <t>C36240375</t>
  </si>
  <si>
    <t xml:space="preserve">Vannala Veena </t>
  </si>
  <si>
    <t>C36240361</t>
  </si>
  <si>
    <t>Vaishnavi N J</t>
  </si>
  <si>
    <t>Raziq Ahmed</t>
  </si>
  <si>
    <t>C36240413</t>
  </si>
  <si>
    <t xml:space="preserve"> Vishal Dogra</t>
  </si>
  <si>
    <t>C36240347</t>
  </si>
  <si>
    <t xml:space="preserve">Nishant Kumar </t>
  </si>
  <si>
    <t>O36230075</t>
  </si>
  <si>
    <t>Xylem INC</t>
  </si>
  <si>
    <t>P Ramanjaneyulu</t>
  </si>
  <si>
    <t>C36240341</t>
  </si>
  <si>
    <t>Abhishek S Kulkarni</t>
  </si>
  <si>
    <t>C36240379</t>
  </si>
  <si>
    <t>Delloite consulting -Non Tech</t>
  </si>
  <si>
    <t xml:space="preserve">Anusha G R. </t>
  </si>
  <si>
    <t>C36240348</t>
  </si>
  <si>
    <t>Deepa Munna Gupta</t>
  </si>
  <si>
    <t>C36240362</t>
  </si>
  <si>
    <t>Maskar Akshada Ashok</t>
  </si>
  <si>
    <t>C36240354</t>
  </si>
  <si>
    <t>Nikhil Pundalik Angolkar</t>
  </si>
  <si>
    <t>C36240367</t>
  </si>
  <si>
    <t>Anurag Goswami</t>
  </si>
  <si>
    <t>C36231817</t>
  </si>
  <si>
    <t>Yokogawa</t>
  </si>
  <si>
    <t>O36240015</t>
  </si>
  <si>
    <t xml:space="preserve"> Suryaprakash Yadav</t>
  </si>
  <si>
    <t>C36240355</t>
  </si>
  <si>
    <t xml:space="preserve">Reginson Francis </t>
  </si>
  <si>
    <t>C36240402</t>
  </si>
  <si>
    <t>Ranjeet Mohan Kumar</t>
  </si>
  <si>
    <t>O36240018</t>
  </si>
  <si>
    <t>Prasad Praful Donde</t>
  </si>
  <si>
    <t>C36240372</t>
  </si>
  <si>
    <t>Anuradha Sanjay Sontakke</t>
  </si>
  <si>
    <t>C36240378</t>
  </si>
  <si>
    <t xml:space="preserve">Datla Subbaraju </t>
  </si>
  <si>
    <t>C36231514</t>
  </si>
  <si>
    <t xml:space="preserve">Zensar Technologies </t>
  </si>
  <si>
    <t>Rashmi Kulkarni</t>
  </si>
  <si>
    <t>Pavankumar Hullannavar</t>
  </si>
  <si>
    <t>C36240381</t>
  </si>
  <si>
    <t>Steffi Venora Dsouza</t>
  </si>
  <si>
    <t>C36240396</t>
  </si>
  <si>
    <t>Manju Ganesh  Prajapati</t>
  </si>
  <si>
    <t>C36240397</t>
  </si>
  <si>
    <t>Samarth N C</t>
  </si>
  <si>
    <t>C36240369</t>
  </si>
  <si>
    <t xml:space="preserve">Prudhvi Raj G </t>
  </si>
  <si>
    <t>O36240016</t>
  </si>
  <si>
    <t>Tejashree  Ramesh Hole</t>
  </si>
  <si>
    <t>C36240386</t>
  </si>
  <si>
    <t>Anuragh H</t>
  </si>
  <si>
    <t>C36240387</t>
  </si>
  <si>
    <t>Saurabh Jain</t>
  </si>
  <si>
    <t>C36240377</t>
  </si>
  <si>
    <t>Aishwarya Babasab Patil</t>
  </si>
  <si>
    <t>C36240373</t>
  </si>
  <si>
    <t>Varshitha Bai D</t>
  </si>
  <si>
    <t>C36240376</t>
  </si>
  <si>
    <t>Vijay S Chavan</t>
  </si>
  <si>
    <t>C36240429</t>
  </si>
  <si>
    <t xml:space="preserve">G Sabarish Kumar  </t>
  </si>
  <si>
    <t>C36240424</t>
  </si>
  <si>
    <t>Praharsh Pramod Chaugula</t>
  </si>
  <si>
    <t>C36240399</t>
  </si>
  <si>
    <t>shubhanshu tibrewal</t>
  </si>
  <si>
    <t>O36240017</t>
  </si>
  <si>
    <t>Subash A R</t>
  </si>
  <si>
    <t>C36240380</t>
  </si>
  <si>
    <t>Aniskeh Manick S N</t>
  </si>
  <si>
    <t>Medini. M. V</t>
  </si>
  <si>
    <t>C36240408</t>
  </si>
  <si>
    <t>Abhishek Sukla</t>
  </si>
  <si>
    <t>C36240388</t>
  </si>
  <si>
    <t>Sakshi Sandesh Khaire</t>
  </si>
  <si>
    <t>C36240389</t>
  </si>
  <si>
    <t xml:space="preserve">Lingampet Prabhalika </t>
  </si>
  <si>
    <t>C36240464</t>
  </si>
  <si>
    <t>Kavitanjali Kumari</t>
  </si>
  <si>
    <t>C36240384</t>
  </si>
  <si>
    <t>Sona Samuel</t>
  </si>
  <si>
    <t>C36240390</t>
  </si>
  <si>
    <t>Chiranjeevi Poluboena</t>
  </si>
  <si>
    <t>C36240400</t>
  </si>
  <si>
    <t>Vijaya Ananda Pattara</t>
  </si>
  <si>
    <t>C36240385</t>
  </si>
  <si>
    <t>Analog Devices</t>
  </si>
  <si>
    <t xml:space="preserve">Pranav Raj </t>
  </si>
  <si>
    <t>C36240473</t>
  </si>
  <si>
    <t>Mandla Sagar</t>
  </si>
  <si>
    <t>C36240391</t>
  </si>
  <si>
    <t>Suruchi Ravindra Chavan</t>
  </si>
  <si>
    <t>C36240393</t>
  </si>
  <si>
    <t xml:space="preserve">Sunaina B	 </t>
  </si>
  <si>
    <t>C36240505</t>
  </si>
  <si>
    <t>Divya Shree H.U</t>
  </si>
  <si>
    <t>C36240414</t>
  </si>
  <si>
    <t>Javeria Sultana M</t>
  </si>
  <si>
    <t>C36240394</t>
  </si>
  <si>
    <t>Renuka Soman  Tamatta</t>
  </si>
  <si>
    <t>C36240416</t>
  </si>
  <si>
    <t>Ankush Malik</t>
  </si>
  <si>
    <t>C36240425</t>
  </si>
  <si>
    <t>Ashok Kumar  Singh</t>
  </si>
  <si>
    <t>C36240426</t>
  </si>
  <si>
    <t>Sami Jaya Tulasi Ram</t>
  </si>
  <si>
    <t>C36240401</t>
  </si>
  <si>
    <t>Shobha Manival Raju</t>
  </si>
  <si>
    <t>C36240450</t>
  </si>
  <si>
    <t>Amazon</t>
  </si>
  <si>
    <t>Bikash Ranjan Sahoo</t>
  </si>
  <si>
    <t>C36240423</t>
  </si>
  <si>
    <t xml:space="preserve">Savatkar  Ashish </t>
  </si>
  <si>
    <t>C36240415</t>
  </si>
  <si>
    <t>Vilas Revansiddha  Harihar</t>
  </si>
  <si>
    <t>C36240398</t>
  </si>
  <si>
    <t>Pooja Kailash Gupta</t>
  </si>
  <si>
    <t>C36240428</t>
  </si>
  <si>
    <t>Diptendu Sarkar</t>
  </si>
  <si>
    <t>C36240403</t>
  </si>
  <si>
    <t>Surya Magesh</t>
  </si>
  <si>
    <t>C36240419</t>
  </si>
  <si>
    <t>Preeti Pradeep Mandole</t>
  </si>
  <si>
    <t>ANZ</t>
  </si>
  <si>
    <t>Yamei  Ningshen</t>
  </si>
  <si>
    <t>C36240404</t>
  </si>
  <si>
    <t>Chaitanya C</t>
  </si>
  <si>
    <t>C36240448</t>
  </si>
  <si>
    <t xml:space="preserve">Narendra Singh Bohara  </t>
  </si>
  <si>
    <t>C36240421</t>
  </si>
  <si>
    <t xml:space="preserve">Deekshith G P </t>
  </si>
  <si>
    <t>C36240501</t>
  </si>
  <si>
    <t xml:space="preserve">Samta Hanuman Singh Saun </t>
  </si>
  <si>
    <t>C36240405</t>
  </si>
  <si>
    <t>Prabhu Manivel</t>
  </si>
  <si>
    <t>C36240420</t>
  </si>
  <si>
    <t>Jennifer R</t>
  </si>
  <si>
    <t>C36240412</t>
  </si>
  <si>
    <t>Tanay  Tandon</t>
  </si>
  <si>
    <t>C36240406</t>
  </si>
  <si>
    <t>Rambabu Irigineni</t>
  </si>
  <si>
    <t>O36240019</t>
  </si>
  <si>
    <t xml:space="preserve">Aayushi Shivaji Haldankar </t>
  </si>
  <si>
    <t>C36240431</t>
  </si>
  <si>
    <t>P Sravan Kumar</t>
  </si>
  <si>
    <t>C36240418</t>
  </si>
  <si>
    <t>Nidhi Deepak Vira</t>
  </si>
  <si>
    <t>C36240447</t>
  </si>
  <si>
    <t>Asher Shailendra Patil</t>
  </si>
  <si>
    <t>C36240411</t>
  </si>
  <si>
    <t>Swetha</t>
  </si>
  <si>
    <t>C36240410</t>
  </si>
  <si>
    <t xml:space="preserve">Chandra Mohan Jha </t>
  </si>
  <si>
    <t>C36240446</t>
  </si>
  <si>
    <t>Shubham Arun Lad</t>
  </si>
  <si>
    <t>C36240417</t>
  </si>
  <si>
    <t xml:space="preserve">Bhavani Vijayendhran </t>
  </si>
  <si>
    <t>C36240437</t>
  </si>
  <si>
    <t>Dhanush  K</t>
  </si>
  <si>
    <t>C36240436</t>
  </si>
  <si>
    <t>Pooja Shamrao wable</t>
  </si>
  <si>
    <t>C36240432</t>
  </si>
  <si>
    <t>S Pavani</t>
  </si>
  <si>
    <t>C36240557</t>
  </si>
  <si>
    <t>Yash  Agarwal</t>
  </si>
  <si>
    <t>C36240435</t>
  </si>
  <si>
    <t xml:space="preserve">Challa Hima Bindhu </t>
  </si>
  <si>
    <t>C36240445</t>
  </si>
  <si>
    <t>Naveen Kumar A</t>
  </si>
  <si>
    <t>C36240433</t>
  </si>
  <si>
    <t>Mohammad Waaries</t>
  </si>
  <si>
    <t>C36240440</t>
  </si>
  <si>
    <t>C36240490</t>
  </si>
  <si>
    <t>Abhay Keerthan Katta</t>
  </si>
  <si>
    <t>C36240452</t>
  </si>
  <si>
    <t>Moulika S</t>
  </si>
  <si>
    <t>C36240558</t>
  </si>
  <si>
    <t>Chavala Rajkumar</t>
  </si>
  <si>
    <t>C36240427</t>
  </si>
  <si>
    <t xml:space="preserve">Asfiya Sultana </t>
  </si>
  <si>
    <t>C36240472</t>
  </si>
  <si>
    <t>Ashwaq Khan S</t>
  </si>
  <si>
    <t>C36240434</t>
  </si>
  <si>
    <t>Damayanti Nayak</t>
  </si>
  <si>
    <t>C36240463</t>
  </si>
  <si>
    <t xml:space="preserve">Pravin Mohan Deshmukh  </t>
  </si>
  <si>
    <t>C36240430</t>
  </si>
  <si>
    <t>Boston Scientific</t>
  </si>
  <si>
    <t>Rohan Shravan Kamble</t>
  </si>
  <si>
    <t>C36240465</t>
  </si>
  <si>
    <t>Kalpesh Vijay Kumar Gaikwad</t>
  </si>
  <si>
    <t>C36240470</t>
  </si>
  <si>
    <t>Vishal Gupta</t>
  </si>
  <si>
    <t>C36240471</t>
  </si>
  <si>
    <t xml:space="preserve">B Vijayakumar </t>
  </si>
  <si>
    <t>C36240449</t>
  </si>
  <si>
    <t>Nikitha M S</t>
  </si>
  <si>
    <t>C36240486</t>
  </si>
  <si>
    <t>Adhiyamaan Sekar</t>
  </si>
  <si>
    <t>C36240444</t>
  </si>
  <si>
    <t>Shruthi  N</t>
  </si>
  <si>
    <t>C36240443</t>
  </si>
  <si>
    <t>Ekta Sharma</t>
  </si>
  <si>
    <t>C36240482</t>
  </si>
  <si>
    <t xml:space="preserve">Mansoor Ali Khan </t>
  </si>
  <si>
    <t>C36240462</t>
  </si>
  <si>
    <t>Mahesh kumar.R</t>
  </si>
  <si>
    <t>C36240439</t>
  </si>
  <si>
    <t>Nagesh Kumar T K</t>
  </si>
  <si>
    <t>O36240021</t>
  </si>
  <si>
    <t>Vaishnavi Prabhakar Manjarekar</t>
  </si>
  <si>
    <t>C36240453</t>
  </si>
  <si>
    <t>Varsha HR</t>
  </si>
  <si>
    <t>C36240438</t>
  </si>
  <si>
    <t>Thammepalle Damodhar</t>
  </si>
  <si>
    <t>C36240442</t>
  </si>
  <si>
    <t>Ankita Singh Sisodia</t>
  </si>
  <si>
    <t>C36240454</t>
  </si>
  <si>
    <t>Nihal Tahariya</t>
  </si>
  <si>
    <t>O36240022</t>
  </si>
  <si>
    <t>Peddada Vijayakumari</t>
  </si>
  <si>
    <t>C36240455</t>
  </si>
  <si>
    <t>C36240441</t>
  </si>
  <si>
    <t>Reshma  S</t>
  </si>
  <si>
    <t>C36240467</t>
  </si>
  <si>
    <t>Hemashree  V</t>
  </si>
  <si>
    <t>C36240456</t>
  </si>
  <si>
    <t>C36240459</t>
  </si>
  <si>
    <t>C36240460</t>
  </si>
  <si>
    <t xml:space="preserve">Repala Shankar </t>
  </si>
  <si>
    <t>C36240461</t>
  </si>
  <si>
    <t>Pawan SL</t>
  </si>
  <si>
    <t xml:space="preserve"> Marlapati Siva Koteswara Rao</t>
  </si>
  <si>
    <t>C36240466</t>
  </si>
  <si>
    <t>M M Lochan  Prathap</t>
  </si>
  <si>
    <t>C36240500</t>
  </si>
  <si>
    <t>Ankur Dubey</t>
  </si>
  <si>
    <t>O36240020</t>
  </si>
  <si>
    <t>G Divya</t>
  </si>
  <si>
    <t>C36240457</t>
  </si>
  <si>
    <t>Yogita Ganapathy</t>
  </si>
  <si>
    <t>C36240458</t>
  </si>
  <si>
    <t>Lohit Kumar R</t>
  </si>
  <si>
    <t>Premanand</t>
  </si>
  <si>
    <t>Row Labels</t>
  </si>
  <si>
    <t>Acers</t>
  </si>
  <si>
    <t>(blank)</t>
  </si>
  <si>
    <t>Avengers</t>
  </si>
  <si>
    <t>Catalyst</t>
  </si>
  <si>
    <t>Tarun Sareen</t>
  </si>
  <si>
    <t>Shruthi</t>
  </si>
  <si>
    <t>Champions</t>
  </si>
  <si>
    <t>Karan lalchandani</t>
  </si>
  <si>
    <t>Pramod P</t>
  </si>
  <si>
    <t>Honey Badgers</t>
  </si>
  <si>
    <t>Gourav Kumar</t>
  </si>
  <si>
    <t>Voyagers</t>
  </si>
  <si>
    <t>Aranza Dubey</t>
  </si>
  <si>
    <t>Pralhad</t>
  </si>
  <si>
    <t>Athul</t>
  </si>
  <si>
    <t>Sujith AK</t>
  </si>
  <si>
    <t>Nirmit</t>
  </si>
  <si>
    <t>Manisha sh</t>
  </si>
  <si>
    <t>Dikshita Sehgal</t>
  </si>
  <si>
    <t>Rajat Tyagi</t>
  </si>
  <si>
    <t>Sonia Sabnani </t>
  </si>
  <si>
    <t>Perm-Falcons</t>
  </si>
  <si>
    <t>Internal</t>
  </si>
  <si>
    <t>Anuradha</t>
  </si>
  <si>
    <t>Account manager's</t>
  </si>
  <si>
    <t>BH email</t>
  </si>
  <si>
    <t>Account manager's Name</t>
  </si>
  <si>
    <t>Account manager's email</t>
  </si>
  <si>
    <t>DL</t>
  </si>
  <si>
    <t>Karan</t>
  </si>
  <si>
    <t>karan.lalchandani@joulestowatts.com</t>
  </si>
  <si>
    <t>gourab.s@joulestowatts.com</t>
  </si>
  <si>
    <t>karan.l@joulestowatts.com</t>
  </si>
  <si>
    <t>p.saravanan@joulestowatts.com</t>
  </si>
  <si>
    <t>Sandipta P</t>
  </si>
  <si>
    <t>Goutham Raj</t>
  </si>
  <si>
    <t>goutham@dummy.com</t>
  </si>
  <si>
    <t>nirmit.desai@joulestowatts.com</t>
  </si>
  <si>
    <t>Soniya Sabnani </t>
  </si>
  <si>
    <t>soniya.sabnani@joulestowatts.com</t>
  </si>
  <si>
    <t>Shilpa P</t>
  </si>
  <si>
    <t>Dikshita  Sehgal</t>
  </si>
  <si>
    <t>dikshita.segal@joulestowatts.com</t>
  </si>
  <si>
    <t>s.manisha@joulestowatts.com</t>
  </si>
  <si>
    <t>Naveen Goud</t>
  </si>
  <si>
    <t>Sadhana</t>
  </si>
  <si>
    <t>sadhna.s@joulestowatts.com</t>
  </si>
  <si>
    <t>shivam.p@joulestowatts.com</t>
  </si>
  <si>
    <t>Sushma H</t>
  </si>
  <si>
    <t>hashim.m@joulestowatts.com</t>
  </si>
  <si>
    <t>aranza.dubey@joulestowatts.com</t>
  </si>
  <si>
    <t>M Jagadish Kumar</t>
  </si>
  <si>
    <t>Sharique Ahmed</t>
  </si>
  <si>
    <t>sharique.ahmed@joulestowatts.com</t>
  </si>
  <si>
    <t>Tarun</t>
  </si>
  <si>
    <t>tarun.sareen@joulestowatts.com</t>
  </si>
  <si>
    <t>sheetal.dl@joulestowatts.com</t>
  </si>
  <si>
    <t>sushma.hegde@joulestowatts.com</t>
  </si>
  <si>
    <t>Harika Sai Prasanna Kammili</t>
  </si>
  <si>
    <t>Arun Jyothi M</t>
  </si>
  <si>
    <t>arun.jyothi@joulestowatts.com</t>
  </si>
  <si>
    <t>tara.vr@joulestowatts.com</t>
  </si>
  <si>
    <t>Afzal</t>
  </si>
  <si>
    <t>Aamir Ahamad Sayeed</t>
  </si>
  <si>
    <t>aamir.ahamad@joulestowatts.com</t>
  </si>
  <si>
    <t>Subhash Kumar</t>
  </si>
  <si>
    <t>Vasudha Rao IT</t>
  </si>
  <si>
    <t>vasudha.rao@joulestowatts.com</t>
  </si>
  <si>
    <t>tamil.cr@joulestowatts.com</t>
  </si>
  <si>
    <t>Vasudha Rao Non IT</t>
  </si>
  <si>
    <t>jawad.k@joulestowatts.com</t>
  </si>
  <si>
    <t>Sunitha Vinod</t>
  </si>
  <si>
    <t>monisha.r@joulestowatts.com</t>
  </si>
  <si>
    <t>Menaka P</t>
  </si>
  <si>
    <t>Chiranjeev Desai</t>
  </si>
  <si>
    <t>George Francis</t>
  </si>
  <si>
    <t>Gunupati Reddy</t>
  </si>
  <si>
    <t>Sayli Ravishankar Atkare</t>
  </si>
  <si>
    <t>Dipika Saha</t>
  </si>
  <si>
    <t>Sunora Paul</t>
  </si>
  <si>
    <t>Vasudha Rao</t>
  </si>
  <si>
    <t>Tanveer Kaur Walia</t>
  </si>
  <si>
    <t>Rajeev Narayan Shetty</t>
  </si>
  <si>
    <t>Rohini Shivaramaiah</t>
  </si>
  <si>
    <t>Tara V R</t>
  </si>
  <si>
    <t>Company Name</t>
  </si>
  <si>
    <t>New owner proposed</t>
  </si>
  <si>
    <t>Client</t>
  </si>
  <si>
    <t>WSP</t>
  </si>
  <si>
    <t>Anuj</t>
  </si>
  <si>
    <t>CenturyLink Technologies</t>
  </si>
  <si>
    <t>Harman_Payroll</t>
  </si>
  <si>
    <t>DXC-IT</t>
  </si>
  <si>
    <t>Monsanto Bayer</t>
  </si>
  <si>
    <t>Sanjana</t>
  </si>
  <si>
    <t>Fluence Energy (including payroll)</t>
  </si>
  <si>
    <t>RImini_Street</t>
  </si>
  <si>
    <t>Deloitte</t>
  </si>
  <si>
    <t>Sushma</t>
  </si>
  <si>
    <t>EY-IT</t>
  </si>
  <si>
    <t>DXC Technologies â€“ SGP</t>
  </si>
  <si>
    <t>DXC-voice</t>
  </si>
  <si>
    <t>Meolaa</t>
  </si>
  <si>
    <t>CME_C2H</t>
  </si>
  <si>
    <t>Lumen C2H</t>
  </si>
  <si>
    <t xml:space="preserve">Lumen routing </t>
  </si>
  <si>
    <t>MercedesBenz-DTICI</t>
  </si>
  <si>
    <t>DTICI</t>
  </si>
  <si>
    <t>karan lalchandani Non IT</t>
  </si>
  <si>
    <t>Infinx</t>
  </si>
  <si>
    <t>PricewaterhouseCoopers</t>
  </si>
  <si>
    <t xml:space="preserve">Mohanish </t>
  </si>
  <si>
    <t>Target</t>
  </si>
  <si>
    <t>DE Shaw &amp; Co</t>
  </si>
  <si>
    <t>UHG_Support Synergy</t>
  </si>
  <si>
    <t>Coforge</t>
  </si>
  <si>
    <t>Everest Group</t>
  </si>
  <si>
    <t>Dbs-Challengers</t>
  </si>
  <si>
    <t>Atkins</t>
  </si>
  <si>
    <t>Wipro - Infotech</t>
  </si>
  <si>
    <t>Wipro-Technologies</t>
  </si>
  <si>
    <t>Allstate</t>
  </si>
  <si>
    <t xml:space="preserve">Capgemini DSS </t>
  </si>
  <si>
    <t>Capgemini Infra</t>
  </si>
  <si>
    <t>Capgemini_TG</t>
  </si>
  <si>
    <t>Infosys Limited-BPM</t>
  </si>
  <si>
    <t>OSBI_Payroll</t>
  </si>
  <si>
    <t>Toshiba</t>
  </si>
  <si>
    <t>Cognizant</t>
  </si>
  <si>
    <t>Capgemini_FC</t>
  </si>
  <si>
    <t>UHG Falcon</t>
  </si>
  <si>
    <t>Infosys-FTE</t>
  </si>
  <si>
    <t>BOSCH_COE</t>
  </si>
  <si>
    <t>Infosys_4</t>
  </si>
  <si>
    <t>KOCH_COE</t>
  </si>
  <si>
    <t>Accenture_IDB_1</t>
  </si>
  <si>
    <t>Infosys_COE</t>
  </si>
  <si>
    <t>Amdocs</t>
  </si>
  <si>
    <t>Brillio</t>
  </si>
  <si>
    <t>Citrix</t>
  </si>
  <si>
    <t>DLT Labs Technologies</t>
  </si>
  <si>
    <t>Ellucian</t>
  </si>
  <si>
    <t>GE Global sourcing india pvt</t>
  </si>
  <si>
    <t>hashout technologies</t>
  </si>
  <si>
    <t>INMobi</t>
  </si>
  <si>
    <t>TESCO</t>
  </si>
  <si>
    <t>Verifone</t>
  </si>
  <si>
    <t>Yodlee</t>
  </si>
  <si>
    <t>Ivy Comptech</t>
  </si>
  <si>
    <t>Aspire Consulting</t>
  </si>
  <si>
    <t>Carrier technologies India limited</t>
  </si>
  <si>
    <t>Sungard AS</t>
  </si>
  <si>
    <t>JLT India</t>
  </si>
  <si>
    <t>RR Donnelley</t>
  </si>
  <si>
    <t>CH Robinson</t>
  </si>
  <si>
    <t>ACWA Power</t>
  </si>
  <si>
    <t>Dentsu</t>
  </si>
  <si>
    <t>Wartsila</t>
  </si>
  <si>
    <t>Infosys-India Pvt Ltd</t>
  </si>
  <si>
    <t>Diebold Nixdorf</t>
  </si>
  <si>
    <t>CommScope</t>
  </si>
  <si>
    <t>GE Renewable</t>
  </si>
  <si>
    <t>Globant India Private Limited</t>
  </si>
  <si>
    <t>HSBC</t>
  </si>
  <si>
    <t>Ilantus Technologies</t>
  </si>
  <si>
    <t>Intuit</t>
  </si>
  <si>
    <t>JoulestoWatts Business Solutions Pvt Ltd</t>
  </si>
  <si>
    <t>Lanxess India Private Limited</t>
  </si>
  <si>
    <t>Medtronic</t>
  </si>
  <si>
    <t>MuSigma</t>
  </si>
  <si>
    <t>Orange Business Services</t>
  </si>
  <si>
    <t>Smart world - Dubai_Support</t>
  </si>
  <si>
    <t>Diebold</t>
  </si>
  <si>
    <t>National Instruments</t>
  </si>
  <si>
    <t>Deloitte Bangalore</t>
  </si>
  <si>
    <t>Deloitte_HTD</t>
  </si>
  <si>
    <t>Deloitte_Hyderabad</t>
  </si>
  <si>
    <t>Deloitte India</t>
  </si>
  <si>
    <t>HP deepchandra</t>
  </si>
  <si>
    <t xml:space="preserve">HP- drubhajoythi </t>
  </si>
  <si>
    <t xml:space="preserve">HP srijith </t>
  </si>
  <si>
    <t>HP_Subramanya</t>
  </si>
  <si>
    <t>HP-samarjith</t>
  </si>
  <si>
    <t xml:space="preserve">HP-samerndra </t>
  </si>
  <si>
    <t>UHG-J Tigers</t>
  </si>
  <si>
    <t xml:space="preserve">HP-samarjith </t>
  </si>
  <si>
    <t>Accenture Non IT</t>
  </si>
  <si>
    <t>UHG SS&amp;BCI</t>
  </si>
  <si>
    <t>UHG AEP 2024</t>
  </si>
  <si>
    <t>Edgeverve</t>
  </si>
  <si>
    <t>Intel</t>
  </si>
  <si>
    <t>Bread Financial</t>
  </si>
  <si>
    <t>Broad Com</t>
  </si>
  <si>
    <t>11:11 Systems</t>
  </si>
  <si>
    <t>NewsCorp</t>
  </si>
  <si>
    <t>Danfoss</t>
  </si>
  <si>
    <t>JBPCO_MSA FTE</t>
  </si>
  <si>
    <t>KPMG</t>
  </si>
  <si>
    <t>Infinx_Champ</t>
  </si>
  <si>
    <t>VISA</t>
  </si>
  <si>
    <t>Pfizer</t>
  </si>
  <si>
    <t>ZebraTechnologies</t>
  </si>
  <si>
    <t>UHG_Support Champoions</t>
  </si>
  <si>
    <t>Sub Client</t>
  </si>
  <si>
    <t>Main Client</t>
  </si>
  <si>
    <t>TYPE</t>
  </si>
  <si>
    <t>Mondelez</t>
  </si>
  <si>
    <t>IT</t>
  </si>
  <si>
    <t>Accenture_IO</t>
  </si>
  <si>
    <t>Decathlon</t>
  </si>
  <si>
    <t>First American</t>
  </si>
  <si>
    <t>Grant Thornton</t>
  </si>
  <si>
    <t>Grant Thornton LLP</t>
  </si>
  <si>
    <t>Sunora</t>
  </si>
  <si>
    <t>Payroll</t>
  </si>
  <si>
    <t>HP Sales</t>
  </si>
  <si>
    <t xml:space="preserve">Iron Mountain </t>
  </si>
  <si>
    <t>BNP Mumbai -Cont</t>
  </si>
  <si>
    <t>BNP Paribas - Chennai</t>
  </si>
  <si>
    <t>Nirmit Non IT</t>
  </si>
  <si>
    <t>JLT Cont</t>
  </si>
  <si>
    <t>KMART</t>
  </si>
  <si>
    <t>NEC Corporation</t>
  </si>
  <si>
    <t>Quality Kiosk</t>
  </si>
  <si>
    <t>QualityKiosk</t>
  </si>
  <si>
    <t>UHG- IT</t>
  </si>
  <si>
    <t>Unisys IT</t>
  </si>
  <si>
    <t>Smarten spaces</t>
  </si>
  <si>
    <t>Pearsons</t>
  </si>
  <si>
    <t>OLX</t>
  </si>
  <si>
    <t>BNP Paribas</t>
  </si>
  <si>
    <t>Rohde &amp; Schwarz</t>
  </si>
  <si>
    <t>Software One</t>
  </si>
  <si>
    <t>IBM -John Dheere</t>
  </si>
  <si>
    <t>Bosch</t>
  </si>
  <si>
    <t>Non IT</t>
  </si>
  <si>
    <t>Unisys-ITES</t>
  </si>
  <si>
    <t>Hanker_US</t>
  </si>
  <si>
    <t>Ashok shastry</t>
  </si>
  <si>
    <t xml:space="preserve">US </t>
  </si>
  <si>
    <t xml:space="preserve"> Lumen C2H</t>
  </si>
  <si>
    <t>Amplify Health</t>
  </si>
  <si>
    <t>Mohit Mathur</t>
  </si>
  <si>
    <t>Koch Industries-challengers</t>
  </si>
  <si>
    <t>Naveen Kumar DK</t>
  </si>
  <si>
    <t>GE-challengers</t>
  </si>
  <si>
    <t>Flipkart-Challengers</t>
  </si>
  <si>
    <t>Infosys-Challengers</t>
  </si>
  <si>
    <t>UHG_Challengers</t>
  </si>
  <si>
    <t>Naveen Kumar DK Non IT</t>
  </si>
  <si>
    <t>ANSR- Consulting</t>
  </si>
  <si>
    <t>None</t>
  </si>
  <si>
    <t>RetailMeNot</t>
  </si>
  <si>
    <t>Quest</t>
  </si>
  <si>
    <t>SLK</t>
  </si>
  <si>
    <t>Sutherland Global Services</t>
  </si>
  <si>
    <t>Edutech</t>
  </si>
  <si>
    <t>Kofax</t>
  </si>
  <si>
    <t>NSEIT-Term Staffing</t>
  </si>
  <si>
    <t>Publicis.Sapient</t>
  </si>
  <si>
    <t>Snapdeal</t>
  </si>
  <si>
    <t>Emerson</t>
  </si>
  <si>
    <t>Spring_ML</t>
  </si>
  <si>
    <t>Edelweiss</t>
  </si>
  <si>
    <t>IBM-Strategic</t>
  </si>
  <si>
    <t>SYNITI</t>
  </si>
  <si>
    <t>H&amp;R Block</t>
  </si>
  <si>
    <t>UHG_aimers</t>
  </si>
  <si>
    <t>NoneNon IT</t>
  </si>
  <si>
    <t>Infosys ADM</t>
  </si>
  <si>
    <t>Tarun Non IT</t>
  </si>
  <si>
    <t>Mher</t>
  </si>
  <si>
    <t>UHG Phoenix</t>
  </si>
  <si>
    <t>Lavanya</t>
  </si>
  <si>
    <t xml:space="preserve"> Edgeverve</t>
  </si>
  <si>
    <t>ANZ OPS</t>
  </si>
  <si>
    <t xml:space="preserve">Manipal Edu </t>
  </si>
  <si>
    <t>Infinx Healthcare Manila</t>
  </si>
  <si>
    <t>Johnson Electric</t>
  </si>
  <si>
    <t>BDO</t>
  </si>
  <si>
    <t>Zensar</t>
  </si>
  <si>
    <t>Deloitte - MemberFirms</t>
  </si>
  <si>
    <t>DXC _FTE</t>
  </si>
  <si>
    <t>Kent Engineering India Pvt Ltd</t>
  </si>
  <si>
    <t>News Corp / NTS India</t>
  </si>
  <si>
    <t>SMARTWORLD COMPUTER TRADING LLC</t>
  </si>
  <si>
    <t>Capgemini- Permanent</t>
  </si>
  <si>
    <t>TCS</t>
  </si>
  <si>
    <t>JLL Routing</t>
  </si>
  <si>
    <t>Harman Non IT</t>
  </si>
  <si>
    <t>Medline Industries, LP</t>
  </si>
  <si>
    <t>Mercedes</t>
  </si>
  <si>
    <t>Clean Harbors Inc</t>
  </si>
  <si>
    <t>Super.Money </t>
  </si>
  <si>
    <t>Coupang</t>
  </si>
  <si>
    <t>Indegene</t>
  </si>
  <si>
    <t>Myntra</t>
  </si>
  <si>
    <t>Infinx_US</t>
  </si>
  <si>
    <t>Aashis Ranjan Non IT</t>
  </si>
  <si>
    <t>TekisHub Consulting</t>
  </si>
  <si>
    <t>Aashis Ranjan</t>
  </si>
  <si>
    <t>TekWissen</t>
  </si>
  <si>
    <t>Sasken Techologies ltd</t>
  </si>
  <si>
    <t>Akkodis</t>
  </si>
  <si>
    <t>VSV Wins</t>
  </si>
  <si>
    <t>Us_temp</t>
  </si>
  <si>
    <t>Scalable Systems</t>
  </si>
  <si>
    <t>Photon</t>
  </si>
  <si>
    <t>Clovity</t>
  </si>
  <si>
    <t>Strategic Staffing Solutions</t>
  </si>
  <si>
    <t>Aquent Global</t>
  </si>
  <si>
    <t>Power Integration</t>
  </si>
  <si>
    <t>Infosys_US</t>
  </si>
  <si>
    <t>Motherson</t>
  </si>
  <si>
    <t>DXC - Philippines</t>
  </si>
  <si>
    <t>Infosys SAP</t>
  </si>
  <si>
    <t>Infosys CIS</t>
  </si>
  <si>
    <t>Infosys IVS</t>
  </si>
  <si>
    <t>Infinx Manila</t>
  </si>
  <si>
    <t>Deloitte Falcons</t>
  </si>
  <si>
    <t>Summit Consulting</t>
  </si>
  <si>
    <t>Motherson Group</t>
  </si>
  <si>
    <t>Infosys Oracle</t>
  </si>
  <si>
    <t xml:space="preserve">Infosys </t>
  </si>
  <si>
    <t>Infosys-Microsoft</t>
  </si>
  <si>
    <t>Kimberly clark</t>
  </si>
  <si>
    <t>Infosys_DNA</t>
  </si>
  <si>
    <t>Clean Harbors_ITES</t>
  </si>
  <si>
    <t>Infosys Consulting</t>
  </si>
  <si>
    <t>Bread Financials_Support</t>
  </si>
  <si>
    <t>Grant Thornton payroll</t>
  </si>
  <si>
    <t>ABB Malaysia</t>
  </si>
  <si>
    <t>Axa Technologies Pvt Ltd</t>
  </si>
  <si>
    <t>Infosys_DX</t>
  </si>
  <si>
    <t>Harman_Bangalore</t>
  </si>
  <si>
    <t>Tata Consultancy Services</t>
  </si>
  <si>
    <t>Deloitte_COE</t>
  </si>
  <si>
    <t>EPAM Systems</t>
  </si>
  <si>
    <t>Cognizant-FTE</t>
  </si>
  <si>
    <t>Incture</t>
  </si>
  <si>
    <t>Black and Veatch</t>
  </si>
  <si>
    <t>Celestica</t>
  </si>
  <si>
    <t>Rapid7</t>
  </si>
  <si>
    <t>Lenovo</t>
  </si>
  <si>
    <t>Kyndryl</t>
  </si>
  <si>
    <t>Agility</t>
  </si>
  <si>
    <t>Lenovo 2</t>
  </si>
  <si>
    <t>Cred</t>
  </si>
  <si>
    <t>Trane Technologies</t>
  </si>
  <si>
    <t>HP-samerndra</t>
  </si>
  <si>
    <t>Lumen routing</t>
  </si>
  <si>
    <t>Business Head</t>
  </si>
  <si>
    <t>Team Name</t>
  </si>
  <si>
    <t>HRBP</t>
  </si>
  <si>
    <t>Domain</t>
  </si>
  <si>
    <t>BH Tag</t>
  </si>
  <si>
    <t>DAMAC</t>
  </si>
  <si>
    <t>Deepak Desai</t>
  </si>
  <si>
    <t>Aishwarya Kolte</t>
  </si>
  <si>
    <t>Nirmit Desai</t>
  </si>
  <si>
    <t>LITCO</t>
  </si>
  <si>
    <t>Dubai</t>
  </si>
  <si>
    <t>GEO Global Engineering</t>
  </si>
  <si>
    <t>Mashreq Bank</t>
  </si>
  <si>
    <t>Jawad Ulla Khan Non IT</t>
  </si>
  <si>
    <t>Ashik</t>
  </si>
  <si>
    <t>Anuradha Murthy</t>
  </si>
  <si>
    <t>ITES</t>
  </si>
  <si>
    <t>Chandana TP/Yashashwini</t>
  </si>
  <si>
    <t>DILMA</t>
  </si>
  <si>
    <t>Sushma K M</t>
  </si>
  <si>
    <t>Meenu Amit Kumar</t>
  </si>
  <si>
    <t>Dhaval patel</t>
  </si>
  <si>
    <t>Nandana</t>
  </si>
  <si>
    <t>Anuradha Murty</t>
  </si>
  <si>
    <t>Sandipta  P</t>
  </si>
  <si>
    <t>Samrita /Sree Swetha</t>
  </si>
  <si>
    <t>Gaurav Kumar</t>
  </si>
  <si>
    <t>tata</t>
  </si>
  <si>
    <t>Sara</t>
  </si>
  <si>
    <t>Sobha Mishra</t>
  </si>
  <si>
    <t>Sultana M</t>
  </si>
  <si>
    <t>Tannu Mishra</t>
  </si>
  <si>
    <t>Umar</t>
  </si>
  <si>
    <t>Kshama V Bhat</t>
  </si>
  <si>
    <t>Backbase</t>
  </si>
  <si>
    <t>Bijoy anaand Jha</t>
  </si>
  <si>
    <t>Dhaval Patel</t>
  </si>
  <si>
    <t>Services</t>
  </si>
  <si>
    <t>Shailesh Gangwar</t>
  </si>
  <si>
    <t>Naveen Goud/Harika</t>
  </si>
  <si>
    <t>Sarika Mukherjee</t>
  </si>
  <si>
    <t>Aamir Ahamad</t>
  </si>
  <si>
    <t xml:space="preserve">Frederick </t>
  </si>
  <si>
    <t>L&amp;T</t>
  </si>
  <si>
    <t>L&amp;T-Cont</t>
  </si>
  <si>
    <t>L&amp;T-Perm</t>
  </si>
  <si>
    <t>LTTS China</t>
  </si>
  <si>
    <t>Joyesh Banerjee</t>
  </si>
  <si>
    <t>Shruti Kumari</t>
  </si>
  <si>
    <t>Deepak Desai Non IT</t>
  </si>
  <si>
    <t>Cohesity</t>
  </si>
  <si>
    <t>Consilio</t>
  </si>
  <si>
    <t>inactive</t>
  </si>
  <si>
    <t>Not Assigned</t>
  </si>
  <si>
    <t>Unassigned</t>
  </si>
  <si>
    <t>La salle - philippines</t>
  </si>
  <si>
    <t>Philippines</t>
  </si>
  <si>
    <t>Bank of Makati - philippines</t>
  </si>
  <si>
    <t>Pioneer Insurance - philippines</t>
  </si>
  <si>
    <t>CIMB Bank - philippines</t>
  </si>
  <si>
    <t>Metrobank - philippines</t>
  </si>
  <si>
    <t>Tonik Bank - philippines</t>
  </si>
  <si>
    <t>Singlife - philippines</t>
  </si>
  <si>
    <t>Welsend Global Services</t>
  </si>
  <si>
    <t>LTTS China-FTE</t>
  </si>
  <si>
    <t>Accenture IDB2</t>
  </si>
  <si>
    <t>Ecolabs</t>
  </si>
  <si>
    <t>Archana B. K</t>
  </si>
  <si>
    <t>EverestGroup</t>
  </si>
  <si>
    <t>services</t>
  </si>
  <si>
    <t>Accenture ATCI APAC</t>
  </si>
  <si>
    <t>Deloitee Touche</t>
  </si>
  <si>
    <t>fintellix</t>
  </si>
  <si>
    <t>Deepa Shree</t>
  </si>
  <si>
    <t>FlipkartIT</t>
  </si>
  <si>
    <t>Fortinet</t>
  </si>
  <si>
    <t>Deloitte_LD</t>
  </si>
  <si>
    <t>Deloitte_Support</t>
  </si>
  <si>
    <t>Arcelor Mittal</t>
  </si>
  <si>
    <t>Deloitte Mercedes Benz</t>
  </si>
  <si>
    <t>L&amp;T Vyoma</t>
  </si>
  <si>
    <t>Kiran Gowda</t>
  </si>
  <si>
    <t>Sage IT Inc</t>
  </si>
  <si>
    <t>Priya BH</t>
  </si>
  <si>
    <t>Kimberly Clark</t>
  </si>
  <si>
    <t>London Stock Exchange Group</t>
  </si>
  <si>
    <t>Axa Business Solutions</t>
  </si>
  <si>
    <t>Lumen</t>
  </si>
  <si>
    <t>Anuradha Murthy Non IT</t>
  </si>
  <si>
    <t xml:space="preserve">Jawad Ulla Khan </t>
  </si>
  <si>
    <t>EdgeVerve</t>
  </si>
  <si>
    <t>sandhya</t>
  </si>
  <si>
    <t>NCSI Technologies</t>
  </si>
  <si>
    <t>Nexteer Automotives</t>
  </si>
  <si>
    <t>Ninja van</t>
  </si>
  <si>
    <t>NorthernTrust- Payroll</t>
  </si>
  <si>
    <t>Novartis</t>
  </si>
  <si>
    <t>ABB</t>
  </si>
  <si>
    <t>Syed Waseem</t>
  </si>
  <si>
    <t>Wipro (Broadcom Inc)</t>
  </si>
  <si>
    <t>WIpro-Engineering</t>
  </si>
  <si>
    <t>Sandoz</t>
  </si>
  <si>
    <t>captive</t>
  </si>
  <si>
    <t>Cognizant_Sales</t>
  </si>
  <si>
    <t xml:space="preserve">Jeevan Ram </t>
  </si>
  <si>
    <t>Sulzer</t>
  </si>
  <si>
    <t>Accenture_ATCI</t>
  </si>
  <si>
    <t>sadhna Shukla</t>
  </si>
  <si>
    <t>Symplr</t>
  </si>
  <si>
    <t> </t>
  </si>
  <si>
    <t>Captive</t>
  </si>
  <si>
    <t>DXC Technologies – SGP</t>
  </si>
  <si>
    <t>Thoughtworks</t>
  </si>
  <si>
    <t>SOW Captive</t>
  </si>
  <si>
    <t>Wurth IT</t>
  </si>
  <si>
    <t>Xellia Pharma</t>
  </si>
  <si>
    <t>Zebra Technologies Corporation</t>
  </si>
  <si>
    <t>L&amp;T Technology services Pvt Ltd</t>
  </si>
  <si>
    <t>Kiran SiddheGowda</t>
  </si>
  <si>
    <t>Bridgestone Mobility Solutions</t>
  </si>
  <si>
    <t>Siemens DISW </t>
  </si>
  <si>
    <t>kyndryl</t>
  </si>
  <si>
    <t>HP (SH)</t>
  </si>
  <si>
    <t>Dassault Systemes Global Services Private Limited</t>
  </si>
  <si>
    <t>Socgen_GTS</t>
  </si>
  <si>
    <t>Socgen-GBIS</t>
  </si>
  <si>
    <t>Socgen-MIBS-RBS-AVYENS</t>
  </si>
  <si>
    <t>Socgen-CFT</t>
  </si>
  <si>
    <t>Socgen-DDS</t>
  </si>
  <si>
    <t>Moder Solutions</t>
  </si>
  <si>
    <t>PWC_COE</t>
  </si>
  <si>
    <t>Saint Gobain</t>
  </si>
  <si>
    <t>Saint Gobain_perm</t>
  </si>
  <si>
    <t>Sodexo</t>
  </si>
  <si>
    <t>Deloitte-Sugandha</t>
  </si>
  <si>
    <t>Brookfield</t>
  </si>
  <si>
    <t>HP 70</t>
  </si>
  <si>
    <t>Bosch Global Software Technologies</t>
  </si>
  <si>
    <t>Deloitte-HP</t>
  </si>
  <si>
    <t>Deloitte-HSBC</t>
  </si>
  <si>
    <t>Deloitte-Shell</t>
  </si>
  <si>
    <t>Name</t>
  </si>
  <si>
    <t>Manager</t>
  </si>
  <si>
    <t>Role</t>
  </si>
  <si>
    <t>Accounts</t>
  </si>
  <si>
    <t>Team</t>
  </si>
  <si>
    <t>Emp ID</t>
  </si>
  <si>
    <t>DOJ</t>
  </si>
  <si>
    <t>Active/Inactive</t>
  </si>
  <si>
    <t>Tenure</t>
  </si>
  <si>
    <t>Chakali Mallikarjuna</t>
  </si>
  <si>
    <t>Recruiters</t>
  </si>
  <si>
    <t>E36240066</t>
  </si>
  <si>
    <t>Active</t>
  </si>
  <si>
    <t>Mohammad Rafi</t>
  </si>
  <si>
    <t>Ashish Ranjan</t>
  </si>
  <si>
    <t>US</t>
  </si>
  <si>
    <t>E36230311</t>
  </si>
  <si>
    <t>Ramprashath B</t>
  </si>
  <si>
    <t>E36240016</t>
  </si>
  <si>
    <t>Inactive</t>
  </si>
  <si>
    <t>Arun Prasad M</t>
  </si>
  <si>
    <t>E36240042</t>
  </si>
  <si>
    <t>Divanshu Kumar</t>
  </si>
  <si>
    <t>E36240321</t>
  </si>
  <si>
    <t>Arem Sujith Kumar</t>
  </si>
  <si>
    <t>E36240326</t>
  </si>
  <si>
    <t>Munaganuru Sai Kumar Reddy</t>
  </si>
  <si>
    <t>E36240355</t>
  </si>
  <si>
    <t>Abinash Jena</t>
  </si>
  <si>
    <t>E36240358</t>
  </si>
  <si>
    <t>Durgaprasanna K</t>
  </si>
  <si>
    <t>E36220476</t>
  </si>
  <si>
    <t>Veronic Kavya</t>
  </si>
  <si>
    <t>E36240073</t>
  </si>
  <si>
    <t>Tuppadha Sudhakar</t>
  </si>
  <si>
    <t>E36240329</t>
  </si>
  <si>
    <t>Tovvuru Chaithanya Deepthi</t>
  </si>
  <si>
    <t>E36250170</t>
  </si>
  <si>
    <t>Naresh R</t>
  </si>
  <si>
    <t>Bijoy Anand Jha</t>
  </si>
  <si>
    <t>E36250164</t>
  </si>
  <si>
    <t>Manyam Rohith</t>
  </si>
  <si>
    <t>Voyagers Non IT</t>
  </si>
  <si>
    <t>E36240227</t>
  </si>
  <si>
    <t>Rekha M B</t>
  </si>
  <si>
    <t>E36240359</t>
  </si>
  <si>
    <t>Ankitha Sen</t>
  </si>
  <si>
    <t>E36250131</t>
  </si>
  <si>
    <t>Shreyashi Kundu</t>
  </si>
  <si>
    <t>Gladiators</t>
  </si>
  <si>
    <t>E36240180</t>
  </si>
  <si>
    <t>Ashwini Jekinakatti</t>
  </si>
  <si>
    <t>E36240209</t>
  </si>
  <si>
    <t>Basavaraj B</t>
  </si>
  <si>
    <t>E36240347</t>
  </si>
  <si>
    <t>Mahalakshmi S</t>
  </si>
  <si>
    <t>E36240176</t>
  </si>
  <si>
    <t>Sneha Kale</t>
  </si>
  <si>
    <t>E36250157</t>
  </si>
  <si>
    <t>Pavan Singh</t>
  </si>
  <si>
    <t>E36250161</t>
  </si>
  <si>
    <t>E36210543</t>
  </si>
  <si>
    <t>E36230021</t>
  </si>
  <si>
    <t>Rakshitha BR</t>
  </si>
  <si>
    <t>E36250022</t>
  </si>
  <si>
    <t>Priyanka Sain</t>
  </si>
  <si>
    <t>E36250162</t>
  </si>
  <si>
    <t>No Lead</t>
  </si>
  <si>
    <t>No Team</t>
  </si>
  <si>
    <t>E36240077</t>
  </si>
  <si>
    <t>Shridhar L</t>
  </si>
  <si>
    <t>E36240095</t>
  </si>
  <si>
    <t>Yogesh Gowda</t>
  </si>
  <si>
    <t>E36240060</t>
  </si>
  <si>
    <t>Shaik Mastan Vali</t>
  </si>
  <si>
    <t>E36250150</t>
  </si>
  <si>
    <t>Mohammed Ajaj</t>
  </si>
  <si>
    <t>E36250172</t>
  </si>
  <si>
    <t>Archana Sunkad</t>
  </si>
  <si>
    <t>E36240133</t>
  </si>
  <si>
    <t>E36230299</t>
  </si>
  <si>
    <t>Sai Ganesh R</t>
  </si>
  <si>
    <t>E36240170</t>
  </si>
  <si>
    <t>vasudha Rao IT</t>
  </si>
  <si>
    <t>E36210379</t>
  </si>
  <si>
    <t>E36230242</t>
  </si>
  <si>
    <t>Deepika R</t>
  </si>
  <si>
    <t>Perm</t>
  </si>
  <si>
    <t>Perm-Catalyst</t>
  </si>
  <si>
    <t>E36240244</t>
  </si>
  <si>
    <t>Sandhya Celsia</t>
  </si>
  <si>
    <t>E36230160</t>
  </si>
  <si>
    <t>Thellatakula Aparna</t>
  </si>
  <si>
    <t>Nupur Tirthraj Pardhi</t>
  </si>
  <si>
    <t>E36240156</t>
  </si>
  <si>
    <t>Akula Swathi</t>
  </si>
  <si>
    <t>E36250182</t>
  </si>
  <si>
    <t>Ningappa M Donni</t>
  </si>
  <si>
    <t>E36250193</t>
  </si>
  <si>
    <t>Gagana Shree AN</t>
  </si>
  <si>
    <t> E36250197</t>
  </si>
  <si>
    <t>Attota Leela Issak</t>
  </si>
  <si>
    <t>E36250205</t>
  </si>
  <si>
    <t>Akash Jena</t>
  </si>
  <si>
    <t>E36250208</t>
  </si>
  <si>
    <t>Laxmitha  D</t>
  </si>
  <si>
    <t>E36250216</t>
  </si>
  <si>
    <t>Muskan S</t>
  </si>
  <si>
    <t>E36250214</t>
  </si>
  <si>
    <t>Hari Krishna</t>
  </si>
  <si>
    <t>E36250234</t>
  </si>
  <si>
    <t>Sireka R</t>
  </si>
  <si>
    <t> E36250245</t>
  </si>
  <si>
    <t>Vaishnavie G</t>
  </si>
  <si>
    <t>E36250257</t>
  </si>
  <si>
    <t>Asuri Tejaswi</t>
  </si>
  <si>
    <t> E36250258</t>
  </si>
  <si>
    <t>Shivani Sivakumar</t>
  </si>
  <si>
    <t>Aravind Raj</t>
  </si>
  <si>
    <t>E36250261</t>
  </si>
  <si>
    <t>Rajkumar Bhavsar</t>
  </si>
  <si>
    <t>E36250251</t>
  </si>
  <si>
    <t>Radhika Shringi</t>
  </si>
  <si>
    <t>E36250250</t>
  </si>
  <si>
    <t>Minal Makwana</t>
  </si>
  <si>
    <t>E36250227</t>
  </si>
  <si>
    <t>Aravindhan Muthukumarasamy</t>
  </si>
  <si>
    <t>E36250272</t>
  </si>
  <si>
    <t>Arun kumar</t>
  </si>
  <si>
    <t>E36250271</t>
  </si>
  <si>
    <t>Poornima Baskar</t>
  </si>
  <si>
    <t>Navaneethan GN</t>
  </si>
  <si>
    <t> E36250266</t>
  </si>
  <si>
    <t>Deval Contractor</t>
  </si>
  <si>
    <t>E36250295</t>
  </si>
  <si>
    <t>Chandana Magati</t>
  </si>
  <si>
    <t>E36250288</t>
  </si>
  <si>
    <t>Sompa Saini</t>
  </si>
  <si>
    <t>E36250294</t>
  </si>
  <si>
    <t>Sameera Suresh</t>
  </si>
  <si>
    <t>E36250302</t>
  </si>
  <si>
    <t>Nithish Kumar K</t>
  </si>
  <si>
    <t>E36250304</t>
  </si>
  <si>
    <t>Payal Mathane</t>
  </si>
  <si>
    <t>Vaibbhav Mulee</t>
  </si>
  <si>
    <t>O36240179</t>
  </si>
  <si>
    <t>Sheetal V</t>
  </si>
  <si>
    <t>E36250155</t>
  </si>
  <si>
    <t>Kayastha Shruti</t>
  </si>
  <si>
    <t>E36250298</t>
  </si>
  <si>
    <t>Achuth Yadav MS</t>
  </si>
  <si>
    <t>E36250324</t>
  </si>
  <si>
    <t>Konduru Deepa</t>
  </si>
  <si>
    <t>E36250323</t>
  </si>
  <si>
    <t>Priyambada DipakkumarGadhwal</t>
  </si>
  <si>
    <t>E36250327</t>
  </si>
  <si>
    <t>Rakshith S K</t>
  </si>
  <si>
    <t>E36250339</t>
  </si>
  <si>
    <t>Saswat Panda</t>
  </si>
  <si>
    <t>E36250341</t>
  </si>
  <si>
    <t>Ponduru Sarath kumar</t>
  </si>
  <si>
    <t xml:space="preserve">Priya BH </t>
  </si>
  <si>
    <t>E36250344</t>
  </si>
  <si>
    <t>Vadde Meghana</t>
  </si>
  <si>
    <t>E36250340</t>
  </si>
  <si>
    <t>Kollapuram Vishwakaran</t>
  </si>
  <si>
    <t>E36250376</t>
  </si>
  <si>
    <t>Naga sankeerthana</t>
  </si>
  <si>
    <t> E36250380</t>
  </si>
  <si>
    <t>Shahid Afridi</t>
  </si>
  <si>
    <t>Amrithesh Sairam</t>
  </si>
  <si>
    <t>E36250379</t>
  </si>
  <si>
    <t>Vinodhini E</t>
  </si>
  <si>
    <t>E36250386</t>
  </si>
  <si>
    <t>Sai Rakesh</t>
  </si>
  <si>
    <t>E36250390</t>
  </si>
  <si>
    <t>Vyshnavi Garimidi</t>
  </si>
  <si>
    <t>E36250384</t>
  </si>
  <si>
    <t>Nikita Patil</t>
  </si>
  <si>
    <t>E36250391</t>
  </si>
  <si>
    <t>E36250389</t>
  </si>
  <si>
    <t>LOKESH RAMESH BABU</t>
  </si>
  <si>
    <t>E36250396</t>
  </si>
  <si>
    <t>exit</t>
  </si>
  <si>
    <t>Nepuni Mekreo</t>
  </si>
  <si>
    <t>E36250405</t>
  </si>
  <si>
    <t>Sahana S</t>
  </si>
  <si>
    <t>E36250401</t>
  </si>
  <si>
    <t>Tamatam Vaishnavi</t>
  </si>
  <si>
    <t>Bijoy Ananda Jha</t>
  </si>
  <si>
    <t>E36250399</t>
  </si>
  <si>
    <t>Manoj Kumar KR</t>
  </si>
  <si>
    <t>E36250398</t>
  </si>
  <si>
    <t>Krutika Kishor Chandavarkar</t>
  </si>
  <si>
    <t>E36250400</t>
  </si>
  <si>
    <t>Devagonda Monika</t>
  </si>
  <si>
    <t>E36250410</t>
  </si>
  <si>
    <t>Geetanjali J</t>
  </si>
  <si>
    <t> E36250411</t>
  </si>
  <si>
    <t>Bikash Kumar Panda</t>
  </si>
  <si>
    <t>E36250421</t>
  </si>
  <si>
    <t>Anjana Manoj</t>
  </si>
  <si>
    <t>E36250425</t>
  </si>
  <si>
    <t>Nagalakshmi  Lakshmanan</t>
  </si>
  <si>
    <t>E36250426</t>
  </si>
  <si>
    <t>E36250412</t>
  </si>
  <si>
    <t>Harish V</t>
  </si>
  <si>
    <t>E36250429</t>
  </si>
  <si>
    <t>Kaleem Khan</t>
  </si>
  <si>
    <t>E36250434</t>
  </si>
  <si>
    <t>Daniel  Fernandes</t>
  </si>
  <si>
    <t>E36250435</t>
  </si>
  <si>
    <t>Shaik ThaimuBasha</t>
  </si>
  <si>
    <t>E36250439</t>
  </si>
  <si>
    <t>Rekha Sree G</t>
  </si>
  <si>
    <t>E36250442</t>
  </si>
  <si>
    <t>Vikaas MJ</t>
  </si>
  <si>
    <t>E36250428</t>
  </si>
  <si>
    <t>Prathima R</t>
  </si>
  <si>
    <t>E36250445</t>
  </si>
  <si>
    <t>Rahul Kambanor</t>
  </si>
  <si>
    <t>E36250453</t>
  </si>
  <si>
    <t>Jishnu Prasad MV</t>
  </si>
  <si>
    <t>E36250451</t>
  </si>
  <si>
    <t>Jishnu Sabarish</t>
  </si>
  <si>
    <t>E36250452</t>
  </si>
  <si>
    <t>Amrutha G</t>
  </si>
  <si>
    <t>E36250456</t>
  </si>
  <si>
    <t>Vyasam Lalith Pavan</t>
  </si>
  <si>
    <t>E36250457</t>
  </si>
  <si>
    <t>Penujuri Tejaswini</t>
  </si>
  <si>
    <t>E36250460</t>
  </si>
  <si>
    <t>Aishwarya Rec</t>
  </si>
  <si>
    <t>E36250462</t>
  </si>
  <si>
    <t>Shakti Priya</t>
  </si>
  <si>
    <t xml:space="preserve">E36250463 </t>
  </si>
  <si>
    <t xml:space="preserve"> E36250463 </t>
  </si>
  <si>
    <t>Vasukuri Sirisha</t>
  </si>
  <si>
    <t>E36260004</t>
  </si>
  <si>
    <t>Nayana TU</t>
  </si>
  <si>
    <t>E36260008</t>
  </si>
  <si>
    <t>Gokul K</t>
  </si>
  <si>
    <t>E36260009</t>
  </si>
  <si>
    <t>Imran S</t>
  </si>
  <si>
    <t>E36260007</t>
  </si>
  <si>
    <t>Srija R</t>
  </si>
  <si>
    <t>E36260023</t>
  </si>
  <si>
    <t>Indhumathi Raman</t>
  </si>
  <si>
    <t>E36260018</t>
  </si>
  <si>
    <t>Shraddha Tiwari</t>
  </si>
  <si>
    <t>E36260019</t>
  </si>
  <si>
    <t>Savitha B</t>
  </si>
  <si>
    <t>E36260020</t>
  </si>
  <si>
    <t>Shweta Dubey</t>
  </si>
  <si>
    <t>voyagers</t>
  </si>
  <si>
    <t>E36260021</t>
  </si>
  <si>
    <t>Reddy Kiren</t>
  </si>
  <si>
    <t>E36260016</t>
  </si>
  <si>
    <t>Nayana S</t>
  </si>
  <si>
    <t>E36260025</t>
  </si>
  <si>
    <t>Valipi Nagarjuna</t>
  </si>
  <si>
    <t>E36260032</t>
  </si>
  <si>
    <t>Ramya T G</t>
  </si>
  <si>
    <t>E36260028</t>
  </si>
  <si>
    <t>Sagarika Suman</t>
  </si>
  <si>
    <t>E36260031</t>
  </si>
  <si>
    <t>Adarsh M </t>
  </si>
  <si>
    <t>E36260030</t>
  </si>
  <si>
    <t>Nupur Gupta</t>
  </si>
  <si>
    <t>E36260037</t>
  </si>
  <si>
    <t>Anusha Ramesh Kalakannavar</t>
  </si>
  <si>
    <t>E36260038</t>
  </si>
  <si>
    <t>Nithyashree NR</t>
  </si>
  <si>
    <t>E36250447</t>
  </si>
  <si>
    <t>Pooja 1</t>
  </si>
  <si>
    <t>E36260041</t>
  </si>
  <si>
    <t>Lakshmi Patil</t>
  </si>
  <si>
    <t>E36260042</t>
  </si>
  <si>
    <t>Shravani RA</t>
  </si>
  <si>
    <t>E36260011</t>
  </si>
  <si>
    <t>Mahadevaprasad N</t>
  </si>
  <si>
    <t>E36260045</t>
  </si>
  <si>
    <t>Aakash Joyal</t>
  </si>
  <si>
    <t>E36260047</t>
  </si>
  <si>
    <t>Sristy Saha</t>
  </si>
  <si>
    <t>E36260060</t>
  </si>
  <si>
    <t xml:space="preserve">Althiya TS </t>
  </si>
  <si>
    <t>Tarun K</t>
  </si>
  <si>
    <t>Tarunjith K</t>
  </si>
  <si>
    <t>E36260053</t>
  </si>
  <si>
    <t xml:space="preserve">Chaithanya Nancy Lobo </t>
  </si>
  <si>
    <t>E36260052</t>
  </si>
  <si>
    <t>LAKSHMI NANDANA A</t>
  </si>
  <si>
    <t>E36260062</t>
  </si>
  <si>
    <t>REVATHI R</t>
  </si>
  <si>
    <t>E36260058</t>
  </si>
  <si>
    <t>Sneha Kumari</t>
  </si>
  <si>
    <t>E36260055</t>
  </si>
  <si>
    <t>Anusri s</t>
  </si>
  <si>
    <t>E36260063</t>
  </si>
  <si>
    <t>E36260071</t>
  </si>
  <si>
    <t>Tamil Bharathi K</t>
  </si>
  <si>
    <t>E36260070</t>
  </si>
  <si>
    <t>Kavali Shanmuka</t>
  </si>
  <si>
    <t>E36260078</t>
  </si>
  <si>
    <t>Subhashree Nepak</t>
  </si>
  <si>
    <t>E36260084</t>
  </si>
  <si>
    <t>Anupa Chakraborty</t>
  </si>
  <si>
    <t>E36260083</t>
  </si>
  <si>
    <t>Akshaya Keerthi S</t>
  </si>
  <si>
    <t>E36260089</t>
  </si>
  <si>
    <t>Firdose Jahan S</t>
  </si>
  <si>
    <t>I36260002</t>
  </si>
  <si>
    <t>Agnus Biju</t>
  </si>
  <si>
    <t>E36260087</t>
  </si>
  <si>
    <t>Prahallad Chandra Badatia</t>
  </si>
  <si>
    <t>E36260100</t>
  </si>
  <si>
    <t>Chenji Hareesh</t>
  </si>
  <si>
    <t>E36260101</t>
  </si>
  <si>
    <t>Karnakoti Rakesh</t>
  </si>
  <si>
    <t>E36260102</t>
  </si>
  <si>
    <t>Ankita Samal</t>
  </si>
  <si>
    <t>E36260103</t>
  </si>
  <si>
    <t>Swati Rec</t>
  </si>
  <si>
    <t>E36260104</t>
  </si>
  <si>
    <t>Indumathi H</t>
  </si>
  <si>
    <t>E36260105</t>
  </si>
  <si>
    <t>Chilla Thulasi</t>
  </si>
  <si>
    <t>E36260106</t>
  </si>
  <si>
    <t>Maheshwari A U</t>
  </si>
  <si>
    <t>E36260107</t>
  </si>
  <si>
    <t>Impana K</t>
  </si>
  <si>
    <t>E36260108</t>
  </si>
  <si>
    <t>Poornima K</t>
  </si>
  <si>
    <t>E36260109</t>
  </si>
  <si>
    <t>NIRANJAN G  </t>
  </si>
  <si>
    <t>E36260110</t>
  </si>
  <si>
    <t>Sabarni Rec</t>
  </si>
  <si>
    <t>E36260111</t>
  </si>
  <si>
    <t>Meera Behera</t>
  </si>
  <si>
    <t>E36260112</t>
  </si>
  <si>
    <t>Hari Prasad M S</t>
  </si>
  <si>
    <t>I36260004</t>
  </si>
  <si>
    <t>Haripriya R</t>
  </si>
  <si>
    <t>I36260005</t>
  </si>
  <si>
    <t>Sinchana L</t>
  </si>
  <si>
    <t>I36260006</t>
  </si>
  <si>
    <t>Hitha P S</t>
  </si>
  <si>
    <t>I36260007</t>
  </si>
  <si>
    <t>Tejaswini Nagaraj</t>
  </si>
  <si>
    <t>I36260008</t>
  </si>
  <si>
    <t>E36260050</t>
  </si>
  <si>
    <t>Pratheek sha </t>
  </si>
  <si>
    <t>E36260116</t>
  </si>
  <si>
    <t>Lakshmi Kumari</t>
  </si>
  <si>
    <t>E36260118</t>
  </si>
  <si>
    <t>E36171046</t>
  </si>
  <si>
    <t>E36240123</t>
  </si>
  <si>
    <t>E36240320</t>
  </si>
  <si>
    <t>E36220218</t>
  </si>
  <si>
    <t>E36240074</t>
  </si>
  <si>
    <t>E36240194</t>
  </si>
  <si>
    <t>Sandeep Birdi</t>
  </si>
  <si>
    <t>E36240025</t>
  </si>
  <si>
    <t>E36210417</t>
  </si>
  <si>
    <t>E36180140</t>
  </si>
  <si>
    <t>E36210388</t>
  </si>
  <si>
    <t> E36240374</t>
  </si>
  <si>
    <t>E36230009</t>
  </si>
  <si>
    <t>E36210143</t>
  </si>
  <si>
    <t>E36210503</t>
  </si>
  <si>
    <t>E36210103</t>
  </si>
  <si>
    <t>Aamir  Ahamad</t>
  </si>
  <si>
    <t> E36250013</t>
  </si>
  <si>
    <t>E36250140</t>
  </si>
  <si>
    <t>E36250329</t>
  </si>
  <si>
    <t>E36250407</t>
  </si>
  <si>
    <t>E36230014</t>
  </si>
  <si>
    <t>E36180149</t>
  </si>
  <si>
    <t>Divya Jannu</t>
  </si>
  <si>
    <t> E36250009</t>
  </si>
  <si>
    <t>E36171172</t>
  </si>
  <si>
    <t> E36250010</t>
  </si>
  <si>
    <t>E36250178</t>
  </si>
  <si>
    <t>E36220473</t>
  </si>
  <si>
    <t>Aashis Ranjan Total</t>
  </si>
  <si>
    <t>E36210479</t>
  </si>
  <si>
    <t>E36240175</t>
  </si>
  <si>
    <t>E36250174</t>
  </si>
  <si>
    <t>Pralhad Vallabh Sangam</t>
  </si>
  <si>
    <t>E36250173</t>
  </si>
  <si>
    <t>E36230307</t>
  </si>
  <si>
    <t>E36240100</t>
  </si>
  <si>
    <t>Anuradha Murthy Total</t>
  </si>
  <si>
    <t>E36210054</t>
  </si>
  <si>
    <t>E36250188</t>
  </si>
  <si>
    <t>Soniya Sabnani</t>
  </si>
  <si>
    <t>E36250225</t>
  </si>
  <si>
    <t>E36250224</t>
  </si>
  <si>
    <t>Anuradha Murthy Non IT Total</t>
  </si>
  <si>
    <t>E36250310</t>
  </si>
  <si>
    <t>Farhan Khan</t>
  </si>
  <si>
    <t>E36250378</t>
  </si>
  <si>
    <t>Ashok shastry Total</t>
  </si>
  <si>
    <t>E36250427</t>
  </si>
  <si>
    <t>Gaurav kumar</t>
  </si>
  <si>
    <t>Deepak Desai Total</t>
  </si>
  <si>
    <t>Deepak Desai Non IT Total</t>
  </si>
  <si>
    <t>Jawad Ulla Khan Non IT Total</t>
  </si>
  <si>
    <t>Kiran Gowda Total</t>
  </si>
  <si>
    <t>Mehr Hashim Total</t>
  </si>
  <si>
    <t>Mher Total</t>
  </si>
  <si>
    <t>Sadhna Shukla Total</t>
  </si>
  <si>
    <t>(blank) Total</t>
  </si>
  <si>
    <t>Program Head</t>
  </si>
  <si>
    <t>Account Manager</t>
  </si>
  <si>
    <t>Delivey Lead</t>
  </si>
  <si>
    <t>Srinivas</t>
  </si>
  <si>
    <t>Chiranjeevi Desai</t>
  </si>
  <si>
    <t>Sandeep</t>
  </si>
  <si>
    <t>Dipika</t>
  </si>
  <si>
    <t>Smithesh</t>
  </si>
  <si>
    <t>Dhaval</t>
  </si>
  <si>
    <t>Frederick L</t>
  </si>
  <si>
    <t>Dhaval P</t>
  </si>
  <si>
    <t>Sandipta  P</t>
  </si>
  <si>
    <t>Sandeep/ Srinivas</t>
  </si>
  <si>
    <t>Sharp Software Development India</t>
  </si>
  <si>
    <t>E36240337</t>
  </si>
  <si>
    <t>E36171009</t>
  </si>
  <si>
    <t>sadhna shukla</t>
  </si>
  <si>
    <t>E36171144</t>
  </si>
  <si>
    <t>Anuradha murthy</t>
  </si>
  <si>
    <t>E36250328</t>
  </si>
  <si>
    <t>E36240361</t>
  </si>
  <si>
    <t>E36260006</t>
  </si>
  <si>
    <t>SELECT  recruiter_name,concat (us.first_name , ' ' , us.last_name) as manager_name, Employee_Information.full_name,Employee_Information.employee_type,employee_id,Employee_Information.joining_date,Employee_Information.p_o_value,Employee_Information.margin,</t>
  </si>
  <si>
    <t>Employee_Information.exit_type,Employee_Information.company_name,Employee_Information.status,ec2.last_work_day,</t>
  </si>
  <si>
    <t xml:space="preserve">case </t>
  </si>
  <si>
    <t>when MONTH(ec2.last_work_day) = MONTH(CURDATE())</t>
  </si>
  <si>
    <t>AND YEAR(ec2.last_work_day) = YEAR(CURDATE())</t>
  </si>
  <si>
    <t>AND Employee_Information.status = 6 THEN 'Exited' else NULL END AS Exit_status</t>
  </si>
  <si>
    <t>FROM `Employee_Information`</t>
  </si>
  <si>
    <t>LEFT JOIN exited_candidates as ec2 on ec2.offer_letter_id = Employee_Information.offer_letter_id</t>
  </si>
  <si>
    <t>LEFT JOIN retained_employees on ec2.offer_letter_id=retained_employees.offer_letter_id</t>
  </si>
  <si>
    <t xml:space="preserve">left join users as us on Employee_Information.approved_by_id = us.id </t>
  </si>
  <si>
    <t>LEFT JOIN offer_letters on Employee_Information.offer_letter_id=offer_letters.id</t>
  </si>
  <si>
    <t>LEFT JOIN clients on offer_letters.client_id=clients.user_id</t>
  </si>
  <si>
    <t>WHERE Employee_Information.last_work_day BETWEEN '2025-10-01' AND '2025-10-31'  and Employee_Information.status = 6 and clients.id not in (1,2) and  Employee_Information.employee_type != 0</t>
  </si>
  <si>
    <t>and Employee_Information.exit_type NOT in ("No Show","Exited and Redeployed")</t>
  </si>
  <si>
    <t>GROUP by Employee_Information.offer_letter_id</t>
  </si>
  <si>
    <t>UNION ALL</t>
  </si>
  <si>
    <t>SELECT  recruiter_name,concat (us.first_name , ' ' , us.last_name) as manager_name, Employee_Information.full_name,Employee_Information.employee_type,employee_id,Employee_Information.joining_date,Employee_Information.p_o_value,Employee_Information.margin,Employee_Information.exit_type,Employee_Information.company_name,Employee_Information.status,</t>
  </si>
  <si>
    <t>ec2.tentative_exit_date AS last_work_day,</t>
  </si>
  <si>
    <t>when MONTH(ec2.tentative_exit_date) = MONTH(CURDATE())</t>
  </si>
  <si>
    <t>AND YEAR(ec2.tentative_exit_date) = YEAR(CURDATE())</t>
  </si>
  <si>
    <t xml:space="preserve">AND Employee_Information.status = 5 THEN 'Exiting this month' </t>
  </si>
  <si>
    <t>when MONTH(ec2.tentative_exit_date) != MONTH(CURDATE())</t>
  </si>
  <si>
    <t>AND Employee_Information.status = 5 THEN 'Other Month Exit' else NULL END AS Exit_status</t>
  </si>
  <si>
    <t xml:space="preserve">FROM `Employee_Information` </t>
  </si>
  <si>
    <t xml:space="preserve"> </t>
  </si>
  <si>
    <t xml:space="preserve">LEFT JOIN exited_candidates as ec2 on ec2.offer_letter_id = Employee_Information.offer_letter_id </t>
  </si>
  <si>
    <t xml:space="preserve">LEFT JOIN retained_employees on ec2.offer_letter_id=retained_employees.offer_letter_id </t>
  </si>
  <si>
    <t xml:space="preserve">left join users as us on Employee_Information.approved_by_id = us.id  </t>
  </si>
  <si>
    <t xml:space="preserve">LEFT JOIN offer_letters on Employee_Information.offer_letter_id=offer_letters.id </t>
  </si>
  <si>
    <t xml:space="preserve">LEFT JOIN clients on offer_letters.client_id=clients.user_id </t>
  </si>
  <si>
    <t xml:space="preserve"> WHERE Employee_Information.exit_status=0 and clients.id not in (1,2) and  Employee_Information.employee_type != 0  and Employee_Information.status = 5</t>
  </si>
  <si>
    <t xml:space="preserve"> and Employee_Information.exit_type NOT in ("No Show","Exited and Redeployed")</t>
  </si>
  <si>
    <t xml:space="preserve"> AND YEAR(ec2.tentative_exit_date) = YEAR(CURDATE()) AND MONTH(ec2.tentative_exit_date) &gt;= MONTH(CURDATE())</t>
  </si>
  <si>
    <t>D</t>
  </si>
  <si>
    <t>Clients</t>
  </si>
  <si>
    <t xml:space="preserve">HRBPCurrent </t>
  </si>
  <si>
    <t>Adom World School Etah-Acads</t>
  </si>
  <si>
    <t>Vishal.Kumar</t>
  </si>
  <si>
    <t>Sam</t>
  </si>
  <si>
    <t>AERO BUSINESS SOLUTIONS</t>
  </si>
  <si>
    <t>Ankit</t>
  </si>
  <si>
    <t>Ameriprise Financial</t>
  </si>
  <si>
    <t>Antuit</t>
  </si>
  <si>
    <t>Antuit-US</t>
  </si>
  <si>
    <t>Rashmi.M</t>
  </si>
  <si>
    <t>Kiranmayi</t>
  </si>
  <si>
    <t>Chandrala Ravi Teja</t>
  </si>
  <si>
    <t>ARETI FORCE_US</t>
  </si>
  <si>
    <t>ARM Energy_US</t>
  </si>
  <si>
    <t>Bajaj Finance</t>
  </si>
  <si>
    <t>Rashmi</t>
  </si>
  <si>
    <t>Tata Elexi</t>
  </si>
  <si>
    <t>BizOrionConsulting-US</t>
  </si>
  <si>
    <t>BNP Paribas- Non IT</t>
  </si>
  <si>
    <t>BNP-ITES</t>
  </si>
  <si>
    <t>Borch</t>
  </si>
  <si>
    <t>Britax_US</t>
  </si>
  <si>
    <t>Synergy</t>
  </si>
  <si>
    <t>Capritech</t>
  </si>
  <si>
    <t>Catamaran-Cont</t>
  </si>
  <si>
    <t>Catamaran-Perm</t>
  </si>
  <si>
    <t>Century Link</t>
  </si>
  <si>
    <t>Citius Tech</t>
  </si>
  <si>
    <t>CRG Staffing</t>
  </si>
  <si>
    <t>CRM next</t>
  </si>
  <si>
    <t>CSC NON IT</t>
  </si>
  <si>
    <t>Danske Bank</t>
  </si>
  <si>
    <t>Decathlon-US</t>
  </si>
  <si>
    <t>Ashok.Reddy</t>
  </si>
  <si>
    <t>DGS</t>
  </si>
  <si>
    <t>DTDC-Perm</t>
  </si>
  <si>
    <t>Edu- Perm</t>
  </si>
  <si>
    <t>Edutel Technologies Pvt.Ltd</t>
  </si>
  <si>
    <t>Emids</t>
  </si>
  <si>
    <t>emids Technologies Pvt. Ltd.</t>
  </si>
  <si>
    <t>Epicor</t>
  </si>
  <si>
    <t>Essentra India Pvt Ltd</t>
  </si>
  <si>
    <t>Estuate</t>
  </si>
  <si>
    <t>Extentia</t>
  </si>
  <si>
    <t>Fintellix</t>
  </si>
  <si>
    <t>First Gulf Company-UAE</t>
  </si>
  <si>
    <t>FIS</t>
  </si>
  <si>
    <t>Five-Star</t>
  </si>
  <si>
    <t>GE Renewable Energy</t>
  </si>
  <si>
    <t>Genpact_Hyd</t>
  </si>
  <si>
    <t>Global logic_India</t>
  </si>
  <si>
    <t>Go-Jek</t>
  </si>
  <si>
    <t>Grey Matter</t>
  </si>
  <si>
    <t>Hcentive-Cont</t>
  </si>
  <si>
    <t>hCentive-Perm</t>
  </si>
  <si>
    <t>HCL</t>
  </si>
  <si>
    <t>Helen O grady-Acads</t>
  </si>
  <si>
    <t>hitachi consulting</t>
  </si>
  <si>
    <t>Mossa Mahroof</t>
  </si>
  <si>
    <t>HP Moin</t>
  </si>
  <si>
    <t>HP Sales Payroll</t>
  </si>
  <si>
    <t>HP-CHAYA</t>
  </si>
  <si>
    <t>Hutchison</t>
  </si>
  <si>
    <t>Mapsnet Technologies</t>
  </si>
  <si>
    <t>Anuj Nath</t>
  </si>
  <si>
    <t>IB Times Media</t>
  </si>
  <si>
    <t>IBM -ANZ</t>
  </si>
  <si>
    <t>IBM -Continental AG</t>
  </si>
  <si>
    <t>IBM -Shell</t>
  </si>
  <si>
    <t>Karan lalchandani Non T</t>
  </si>
  <si>
    <t>IBM -Thrive Digital</t>
  </si>
  <si>
    <t>Maroof</t>
  </si>
  <si>
    <t>IBS perm</t>
  </si>
  <si>
    <t>IBS Software</t>
  </si>
  <si>
    <t>ICICI Lombard</t>
  </si>
  <si>
    <t>Impetus Technologies</t>
  </si>
  <si>
    <t>Infogain-Bang</t>
  </si>
  <si>
    <t>Infogain-perm</t>
  </si>
  <si>
    <t>Sree Swetha S</t>
  </si>
  <si>
    <t>ankit</t>
  </si>
  <si>
    <t>Infosys_HTD</t>
  </si>
  <si>
    <t>Infosys_LTD</t>
  </si>
  <si>
    <t xml:space="preserve">TekisHub Consulting </t>
  </si>
  <si>
    <t xml:space="preserve">TekWissen </t>
  </si>
  <si>
    <t>Infosys-Malaysia</t>
  </si>
  <si>
    <t>Infosys-Perm</t>
  </si>
  <si>
    <t>Infosys-Singapore</t>
  </si>
  <si>
    <t>Ingersoll Rand India</t>
  </si>
  <si>
    <t>Insight Plum FZE-UAE</t>
  </si>
  <si>
    <t>Vijeth Rai K</t>
  </si>
  <si>
    <t>Intertrust</t>
  </si>
  <si>
    <t>Intertrust Group</t>
  </si>
  <si>
    <t>Merittrac</t>
  </si>
  <si>
    <t xml:space="preserve">Zensar </t>
  </si>
  <si>
    <t>ISpace</t>
  </si>
  <si>
    <t>IterationLincâ€“US</t>
  </si>
  <si>
    <t>JC Penney</t>
  </si>
  <si>
    <t>Jnanasarovara International Residential School-Acads</t>
  </si>
  <si>
    <t>Jones Lang LaSalle Technology-US</t>
  </si>
  <si>
    <t>Nexteer</t>
  </si>
  <si>
    <t xml:space="preserve">JPL_PWC </t>
  </si>
  <si>
    <t>KPMG - Permanent</t>
  </si>
  <si>
    <t>Unisys</t>
  </si>
  <si>
    <t>LBrands</t>
  </si>
  <si>
    <t xml:space="preserve">Bread Financial </t>
  </si>
  <si>
    <t>Licious</t>
  </si>
  <si>
    <t>Limited Brands</t>
  </si>
  <si>
    <t>Luxoft</t>
  </si>
  <si>
    <t>M.H Alshaya</t>
  </si>
  <si>
    <t>Manipal America</t>
  </si>
  <si>
    <t xml:space="preserve">Manipal Med Ace </t>
  </si>
  <si>
    <t>Method 360_US</t>
  </si>
  <si>
    <t>Microchip Technology</t>
  </si>
  <si>
    <t>MicroLand-Bangalore</t>
  </si>
  <si>
    <t xml:space="preserve">Morgan Stanley- Non IT </t>
  </si>
  <si>
    <t>Morgan Stanley-IT</t>
  </si>
  <si>
    <r>
      <t>Indegene</t>
    </r>
    <r>
      <rPr>
        <sz val="11"/>
        <color theme="1"/>
        <rFont val="Aptos"/>
        <family val="2"/>
      </rPr>
      <t xml:space="preserve"> </t>
    </r>
  </si>
  <si>
    <t>Morgan Stanley-ITES</t>
  </si>
  <si>
    <t>Morning Star</t>
  </si>
  <si>
    <t>MPhasis</t>
  </si>
  <si>
    <t>Mu-Sigma</t>
  </si>
  <si>
    <t>Navitas - Perm</t>
  </si>
  <si>
    <t>Navitas-US</t>
  </si>
  <si>
    <t>New Horizon College of Engineering-Acads</t>
  </si>
  <si>
    <t>NextgenTechnologies_US</t>
  </si>
  <si>
    <t>Ninjacart</t>
  </si>
  <si>
    <t>NithyoInfotech _US</t>
  </si>
  <si>
    <t>NLB Services</t>
  </si>
  <si>
    <t>Oracle SSI Mumbai</t>
  </si>
  <si>
    <t>Oracle-India</t>
  </si>
  <si>
    <t>Oracle-SSI</t>
  </si>
  <si>
    <t>Aamir</t>
  </si>
  <si>
    <t>Pactap-FTE</t>
  </si>
  <si>
    <t>Pearsons_payroll</t>
  </si>
  <si>
    <t>precisiontechcorp_US</t>
  </si>
  <si>
    <t>Professional Access</t>
  </si>
  <si>
    <t>RBS</t>
  </si>
  <si>
    <t>Rimini_Street_Perm</t>
  </si>
  <si>
    <t>Rupeek</t>
  </si>
  <si>
    <t>SAP</t>
  </si>
  <si>
    <t>Sapiens</t>
  </si>
  <si>
    <t>Sapient-Nitro</t>
  </si>
  <si>
    <t>saxonglobal_US</t>
  </si>
  <si>
    <t>Sear-ITES</t>
  </si>
  <si>
    <t>Sears</t>
  </si>
  <si>
    <t>Shaw Academy</t>
  </si>
  <si>
    <t>Smarten Spaces â€“ Singapore</t>
  </si>
  <si>
    <t>RRD</t>
  </si>
  <si>
    <t>Strategic Staffing Solutions-US</t>
  </si>
  <si>
    <t>STS-Perm</t>
  </si>
  <si>
    <t>Support_AnalogDevices</t>
  </si>
  <si>
    <t>Support_capgemni</t>
  </si>
  <si>
    <t>Support_Cognizant</t>
  </si>
  <si>
    <t>Support_delloitte</t>
  </si>
  <si>
    <t>Support_Flipkart</t>
  </si>
  <si>
    <t>Support_Infosys</t>
  </si>
  <si>
    <t xml:space="preserve">Support_Koch </t>
  </si>
  <si>
    <t>Support_Luman</t>
  </si>
  <si>
    <t>Support_shell</t>
  </si>
  <si>
    <t>Support_Sony</t>
  </si>
  <si>
    <t>Support_Sunguard</t>
  </si>
  <si>
    <t>support-accelapalpha</t>
  </si>
  <si>
    <t>support-GE</t>
  </si>
  <si>
    <t>support-mercedesbenz</t>
  </si>
  <si>
    <t>support-Schneider</t>
  </si>
  <si>
    <t>Support-sony</t>
  </si>
  <si>
    <t>Support-Wipro</t>
  </si>
  <si>
    <t>Support-Wolters Kluwer</t>
  </si>
  <si>
    <t xml:space="preserve">Switch Mobility </t>
  </si>
  <si>
    <t>SWIUS</t>
  </si>
  <si>
    <t>Tangoe</t>
  </si>
  <si>
    <t>Tanisha Systems Inc - US</t>
  </si>
  <si>
    <t>Target-FTE</t>
  </si>
  <si>
    <t>TechOne_US</t>
  </si>
  <si>
    <t>TekisHub-US</t>
  </si>
  <si>
    <t>ThoughtFocus Information Technologies</t>
  </si>
  <si>
    <t>TIBCO</t>
  </si>
  <si>
    <t>UCB</t>
  </si>
  <si>
    <t xml:space="preserve">Unisys- Non IT </t>
  </si>
  <si>
    <t>UST</t>
  </si>
  <si>
    <t>WebPT India Pvt Ltd</t>
  </si>
  <si>
    <t>Wise Skulls LLC</t>
  </si>
  <si>
    <t>ZSA Service Provider-US</t>
  </si>
  <si>
    <t>Capgemini Perm</t>
  </si>
  <si>
    <t>Wissen</t>
  </si>
  <si>
    <t>L Brands</t>
  </si>
  <si>
    <t>Infy Edge Verve</t>
  </si>
  <si>
    <t>Sears Contract</t>
  </si>
  <si>
    <t>Hitachi Perm</t>
  </si>
  <si>
    <t>Inventure Academy</t>
  </si>
  <si>
    <t>Productive Edge</t>
  </si>
  <si>
    <t>Quintiles</t>
  </si>
  <si>
    <t>QSI</t>
  </si>
  <si>
    <t>Streamz</t>
  </si>
  <si>
    <t>take solutions</t>
  </si>
  <si>
    <t>SLK_Perm</t>
  </si>
  <si>
    <t>Harman ( Permanent )</t>
  </si>
  <si>
    <t>Mindtree</t>
  </si>
  <si>
    <t>Unisys (Permanent )</t>
  </si>
  <si>
    <t>OpenText</t>
  </si>
  <si>
    <t>Agriplast</t>
  </si>
  <si>
    <t xml:space="preserve">NSE IT </t>
  </si>
  <si>
    <t>National Stock Exchange</t>
  </si>
  <si>
    <t>JK Group</t>
  </si>
  <si>
    <t>Ericsson</t>
  </si>
  <si>
    <t>Extentia- Con</t>
  </si>
  <si>
    <t xml:space="preserve">Total Enviorement </t>
  </si>
  <si>
    <t>Phamax_Perm</t>
  </si>
  <si>
    <t>C2LBiz</t>
  </si>
  <si>
    <t>JLT Perm</t>
  </si>
  <si>
    <t>Sacumen</t>
  </si>
  <si>
    <t>Direct I</t>
  </si>
  <si>
    <t>DoSelect</t>
  </si>
  <si>
    <t>LGSI</t>
  </si>
  <si>
    <t>Duroflex</t>
  </si>
  <si>
    <t xml:space="preserve">phamax </t>
  </si>
  <si>
    <t>NTT_Data</t>
  </si>
  <si>
    <t>AMD</t>
  </si>
  <si>
    <t>Walmart-c2h</t>
  </si>
  <si>
    <t>Stellium_Perm</t>
  </si>
  <si>
    <t>ABInBev</t>
  </si>
  <si>
    <t>L &amp; T Technologies</t>
  </si>
  <si>
    <t>One Delta</t>
  </si>
  <si>
    <t xml:space="preserve">C2L Biz Perm </t>
  </si>
  <si>
    <t>Goldman Sachs</t>
  </si>
  <si>
    <t>Exide Life Insurance</t>
  </si>
  <si>
    <t>UA Brands-Perm</t>
  </si>
  <si>
    <t>Tieto</t>
  </si>
  <si>
    <t>Candela Labs</t>
  </si>
  <si>
    <t>Keystone</t>
  </si>
  <si>
    <t>Capgemini_C2H</t>
  </si>
  <si>
    <t>Morgan Stanley</t>
  </si>
  <si>
    <t>Sapient Perm</t>
  </si>
  <si>
    <t>Truconnect</t>
  </si>
  <si>
    <t>Danske IT</t>
  </si>
  <si>
    <t>Alten_Calsoftlabs</t>
  </si>
  <si>
    <t>NSEIT-Technology</t>
  </si>
  <si>
    <t>Wall Street</t>
  </si>
  <si>
    <t>UA Brands_C2H</t>
  </si>
  <si>
    <t>Sapient Razor Fish</t>
  </si>
  <si>
    <t>Incred</t>
  </si>
  <si>
    <t>Harman_Pune</t>
  </si>
  <si>
    <t>TeraWE</t>
  </si>
  <si>
    <t>Vodafone</t>
  </si>
  <si>
    <t>Quest_Mumbai</t>
  </si>
  <si>
    <t>Mobiliya</t>
  </si>
  <si>
    <t>Noodle.ai</t>
  </si>
  <si>
    <t>Automation Anywhere</t>
  </si>
  <si>
    <t>Tieto_Perm</t>
  </si>
  <si>
    <t>Crisil</t>
  </si>
  <si>
    <t>Rishi FIBC Solutions</t>
  </si>
  <si>
    <t>Crisil_Perm</t>
  </si>
  <si>
    <t>Dell_EMC</t>
  </si>
  <si>
    <t>Cyient</t>
  </si>
  <si>
    <t>Syntel</t>
  </si>
  <si>
    <t>Fino_Bank</t>
  </si>
  <si>
    <t>UHG_Perm</t>
  </si>
  <si>
    <t>Iron Mountain</t>
  </si>
  <si>
    <t>Swiss_Re_perm</t>
  </si>
  <si>
    <t>Udaan</t>
  </si>
  <si>
    <t>Accenture_HTD</t>
  </si>
  <si>
    <t>SpringML- Perm</t>
  </si>
  <si>
    <t>S&amp;P Global (Platts)</t>
  </si>
  <si>
    <t>Grant Thornton_Perm</t>
  </si>
  <si>
    <t>Epicor_Perm</t>
  </si>
  <si>
    <t>Emirates</t>
  </si>
  <si>
    <t>L&amp;T Infotech</t>
  </si>
  <si>
    <t>S&amp;P Global-C2H</t>
  </si>
  <si>
    <t>Exilant</t>
  </si>
  <si>
    <t>Iron_Mountain_Perm</t>
  </si>
  <si>
    <t>Sutherland Global Services_Perm</t>
  </si>
  <si>
    <t>Gilbarco</t>
  </si>
  <si>
    <t>RBL</t>
  </si>
  <si>
    <t>Synchrony</t>
  </si>
  <si>
    <t>Yamuna_Group</t>
  </si>
  <si>
    <t>Philips</t>
  </si>
  <si>
    <t xml:space="preserve">Technicolor </t>
  </si>
  <si>
    <t>Tata Elxsi_US</t>
  </si>
  <si>
    <t>Quest-Exilant_US</t>
  </si>
  <si>
    <t>Fircroft-CHEVRON_US</t>
  </si>
  <si>
    <t>Cyient_Perm</t>
  </si>
  <si>
    <t>Rolta</t>
  </si>
  <si>
    <t>Synchrony_C2H</t>
  </si>
  <si>
    <t>Rockwell</t>
  </si>
  <si>
    <t>KPIT</t>
  </si>
  <si>
    <t>Dassault Systems</t>
  </si>
  <si>
    <t>TCL Corporation</t>
  </si>
  <si>
    <t>Sacumen_Perm</t>
  </si>
  <si>
    <t>DailyNinja</t>
  </si>
  <si>
    <t>Nutanix</t>
  </si>
  <si>
    <t>ITelligence</t>
  </si>
  <si>
    <t>Persistent Systems</t>
  </si>
  <si>
    <t>ITelligance_Perm</t>
  </si>
  <si>
    <t xml:space="preserve">Infinx </t>
  </si>
  <si>
    <t>Kiranmayi Sar</t>
  </si>
  <si>
    <t>koinearth</t>
  </si>
  <si>
    <t>Glendale Academy</t>
  </si>
  <si>
    <t>Dimensiondata</t>
  </si>
  <si>
    <t>Persistent Systems_US</t>
  </si>
  <si>
    <t>Rockwile Collins</t>
  </si>
  <si>
    <t>FactSet</t>
  </si>
  <si>
    <t>FALABELLA</t>
  </si>
  <si>
    <t>Karvy Fintech Pvt. Ltd.(KFPL)-- Non IT</t>
  </si>
  <si>
    <t>Atos</t>
  </si>
  <si>
    <t>Karvy Fintech Pvt. Ltd.(KFPL)-- IT</t>
  </si>
  <si>
    <t>LTI Mumbai</t>
  </si>
  <si>
    <t>LTI Hyd 1</t>
  </si>
  <si>
    <t>LTI Hyd 2</t>
  </si>
  <si>
    <t>Redington</t>
  </si>
  <si>
    <t>Virtusa</t>
  </si>
  <si>
    <t>dummy_client</t>
  </si>
  <si>
    <t>NAVITAS LIFE SCIENCES LIMITED</t>
  </si>
  <si>
    <t>MaGE_ON_DEMAND</t>
  </si>
  <si>
    <t xml:space="preserve">one plus </t>
  </si>
  <si>
    <t>Oust Labs India Pvt Ltd _Perm</t>
  </si>
  <si>
    <t>KLOVECHEF</t>
  </si>
  <si>
    <t xml:space="preserve">Emirates NBD </t>
  </si>
  <si>
    <t>Techstars</t>
  </si>
  <si>
    <t>Ascena Retail Group</t>
  </si>
  <si>
    <t>Accenture-NonIT</t>
  </si>
  <si>
    <t>Applied Materials</t>
  </si>
  <si>
    <t>Open_US</t>
  </si>
  <si>
    <t>T Systems</t>
  </si>
  <si>
    <t>Tech Mahindra</t>
  </si>
  <si>
    <t>Maxim Integrated</t>
  </si>
  <si>
    <t>Mediatek</t>
  </si>
  <si>
    <t>Rakuten</t>
  </si>
  <si>
    <t>GEP</t>
  </si>
  <si>
    <t>PFSweb</t>
  </si>
  <si>
    <t>Bounce</t>
  </si>
  <si>
    <t>Ness Digital Engineering</t>
  </si>
  <si>
    <t>Expleo</t>
  </si>
  <si>
    <t>Epsilon</t>
  </si>
  <si>
    <t>Magna Steyr</t>
  </si>
  <si>
    <t>Einfochips</t>
  </si>
  <si>
    <t>Byjus</t>
  </si>
  <si>
    <t>Ather Energy</t>
  </si>
  <si>
    <t>Jabil</t>
  </si>
  <si>
    <t>McaFee</t>
  </si>
  <si>
    <t>IGT Solutions - US</t>
  </si>
  <si>
    <t>CGI</t>
  </si>
  <si>
    <t>Wipro-Analytics</t>
  </si>
  <si>
    <t>Wiproâ€“RPO</t>
  </si>
  <si>
    <t>Wipro-Perm</t>
  </si>
  <si>
    <t>Huawei</t>
  </si>
  <si>
    <t>ALTIMETRIK CORP-US</t>
  </si>
  <si>
    <t>Arcadis</t>
  </si>
  <si>
    <t>Moody's</t>
  </si>
  <si>
    <t>Policy Bazaar</t>
  </si>
  <si>
    <t>Dyson</t>
  </si>
  <si>
    <t>ExxonMobil</t>
  </si>
  <si>
    <t>Tektronix</t>
  </si>
  <si>
    <t>Baxter</t>
  </si>
  <si>
    <t>Avantor</t>
  </si>
  <si>
    <t>Springer Nature</t>
  </si>
  <si>
    <t>IBM- Siemens</t>
  </si>
  <si>
    <t>UHG(ASIS)</t>
  </si>
  <si>
    <t>AcadsHR</t>
  </si>
  <si>
    <t>IBM-Singapore</t>
  </si>
  <si>
    <t>PowerSchool</t>
  </si>
  <si>
    <t>Codewave Technologies Private Limited-AcadsHR</t>
  </si>
  <si>
    <t>ISM Univ-Acads</t>
  </si>
  <si>
    <t>ismart soulab llp-Acads</t>
  </si>
  <si>
    <t>INSIGNIS educational society-Acads</t>
  </si>
  <si>
    <t>sri nijagunara educational society-Acads</t>
  </si>
  <si>
    <t>sri sri ravishanakr vidhyamandir-Acads</t>
  </si>
  <si>
    <t>first step school-Acads</t>
  </si>
  <si>
    <t>great lake learning services pvt ltd -Acads</t>
  </si>
  <si>
    <t>Tatva school-Acads</t>
  </si>
  <si>
    <t>vandey consultancy private Ltd-Acads</t>
  </si>
  <si>
    <t>airaa academy-Acads</t>
  </si>
  <si>
    <t>gautami educational society-Acads</t>
  </si>
  <si>
    <t>christal house india-Acads</t>
  </si>
  <si>
    <t>KN guruswami educational and charitble trust-Acads</t>
  </si>
  <si>
    <t>divine english school-Acads</t>
  </si>
  <si>
    <t>podikunju musaliar memoriable charitable educational trust-Acads</t>
  </si>
  <si>
    <t>shrikrishna indra educational charitable trust-Acads</t>
  </si>
  <si>
    <t>INSIGNS educational society-Acads</t>
  </si>
  <si>
    <t>JSW foundation-Acads</t>
  </si>
  <si>
    <t>kadapa public school-Acads</t>
  </si>
  <si>
    <t>KIIT international school buvneshwar-Acads</t>
  </si>
  <si>
    <t>millenniam world school-Acads</t>
  </si>
  <si>
    <t>MTB janana jyoti vidhyaniketan-Acads</t>
  </si>
  <si>
    <t>prarathna educational society-Acads</t>
  </si>
  <si>
    <t>ryan international academy-Acads</t>
  </si>
  <si>
    <t>ryan international school-Acads</t>
  </si>
  <si>
    <t>ryan edunation school jaipur-Acads</t>
  </si>
  <si>
    <t>ryan international academy hinjawadi-Acads</t>
  </si>
  <si>
    <t>sarvankash sikshan trust-Acads</t>
  </si>
  <si>
    <t>chakravarthy educational trust-Acads</t>
  </si>
  <si>
    <t>sree saraswati vidhyamandir association-Acads</t>
  </si>
  <si>
    <t>sherwood high ( a unit of emmar charitable trust)-Acads</t>
  </si>
  <si>
    <t>dreammithra private ltd-Acads</t>
  </si>
  <si>
    <t>YS group of institutes-Acads</t>
  </si>
  <si>
    <t>BULDANA CAMBRIDGE SCHOOL-Arcd</t>
  </si>
  <si>
    <t>SHRADDHA  TRUST-Acads</t>
  </si>
  <si>
    <t>CRISTEL HOUSE INDIA-Acads</t>
  </si>
  <si>
    <t>Anweshana educatioal trust-Acads</t>
  </si>
  <si>
    <t>ARYABHATTA INTER NATIONAL ACADEMY-Acads</t>
  </si>
  <si>
    <t>ARJ  International -Acads</t>
  </si>
  <si>
    <t>AJIT VIDYA MANDIR SHIKSHAN SANSTHAN</t>
  </si>
  <si>
    <t>AMBASSADOR SCHOOL-Arcd</t>
  </si>
  <si>
    <t>Arka educational &amp; cultural-Arcd</t>
  </si>
  <si>
    <t>TM PATEL INTERNATIONAL SCHOOL-Acads</t>
  </si>
  <si>
    <t>Sowbhagya English High School</t>
  </si>
  <si>
    <t>AMC college-acads</t>
  </si>
  <si>
    <t>PEARSON SCHOOL-Acads</t>
  </si>
  <si>
    <t>Regis Career Institute-Acads</t>
  </si>
  <si>
    <t>DhenkanalSri Sri Ravishankar Vidya Mandir-Acads</t>
  </si>
  <si>
    <t>Sri Sri Ravishankar Vidya Mandir-Acads</t>
  </si>
  <si>
    <t>BLOOMINGDALE INTERNATIONAL SCHOOL-Acads</t>
  </si>
  <si>
    <t>VEDANTU-Acads</t>
  </si>
  <si>
    <t>BROOK FIELD HIGH SCHOOL-Acads</t>
  </si>
  <si>
    <t>PEEVEE PUBLIC SCHOOL-Acads</t>
  </si>
  <si>
    <t>RISHI PUBLIC SCHOOL-Acads</t>
  </si>
  <si>
    <t>ALAIN JUNIOR SCHOOL-Acads</t>
  </si>
  <si>
    <t>WONDERLAND HIGH SCHOOL-Acads</t>
  </si>
  <si>
    <t>ASHOK EDUCATION FOUNDATION-Acads</t>
  </si>
  <si>
    <t>BANGALURU INTERNATIONAL SCHOOL-Acads</t>
  </si>
  <si>
    <t>Ryan Inter National Academy-Acads</t>
  </si>
  <si>
    <t>AI MANAHILL PRIVATE SCHOOL-Acads</t>
  </si>
  <si>
    <t>BRIGHT HORIZONS NURSERY-Acads</t>
  </si>
  <si>
    <t>Prarthana education society-Acads</t>
  </si>
  <si>
    <t>Indira Krishna Vidyashala-Acads</t>
  </si>
  <si>
    <t>CONCEPT ICONNECT PRIVATE LIMITED-Acads</t>
  </si>
  <si>
    <t>CAREER CRAFT CONSULTANCY-Acads</t>
  </si>
  <si>
    <t>Indus International School Hyderabad-Acads</t>
  </si>
  <si>
    <t>CARING WITH COLOUR-Acads</t>
  </si>
  <si>
    <t>Chakravarthy Educational  Trust_Acads</t>
  </si>
  <si>
    <t>Klay Schools-Acads</t>
  </si>
  <si>
    <t>VidyaShilp Academy-Acads</t>
  </si>
  <si>
    <t>TRIO WORLD ACADEMY-Acads</t>
  </si>
  <si>
    <t>THE CAMBRIDGE JUNIOR SCHOOL-Acads</t>
  </si>
  <si>
    <t>Indus International-Acads</t>
  </si>
  <si>
    <t>DIVINE PUBLIC SCHOOL-Acads</t>
  </si>
  <si>
    <t>DUCK LEARNING INDIA PRIVATE  LIMITED-Acads</t>
  </si>
  <si>
    <t>International Delhi Public School-Acads</t>
  </si>
  <si>
    <t>Delhi Public school-Acads</t>
  </si>
  <si>
    <t>D Y PATIL HIGH SCHOOL-Acads</t>
  </si>
  <si>
    <t>Dreammithra private limited-Acads</t>
  </si>
  <si>
    <t>Jain Public School Davanagere-Acads</t>
  </si>
  <si>
    <t>Divine Eglish School-Acads</t>
  </si>
  <si>
    <t>EAST WEST SCHOOL-Acads</t>
  </si>
  <si>
    <t>ENABLE EDUTECH SOLUTIONS  PVT LTD-Acads</t>
  </si>
  <si>
    <t>JAIN PUBLIC SCHOOL-Acads</t>
  </si>
  <si>
    <t>EMBASSY PUBLIC SCHOOL-Acads</t>
  </si>
  <si>
    <t>Edunation Trust-Acads</t>
  </si>
  <si>
    <t>Edvantage point Technologies pvt ltd-Acads</t>
  </si>
  <si>
    <t>JINDAL PRE-UNIVERSITY COLLEGE-Acads</t>
  </si>
  <si>
    <t>ED InnovatioTrust-Acads</t>
  </si>
  <si>
    <t>First Step School-Acads</t>
  </si>
  <si>
    <t>Global Academy for learing-Acads</t>
  </si>
  <si>
    <t>GANGA NATIONAL PUBLIC SCHOOL-Acads</t>
  </si>
  <si>
    <t>Nahar International School-Acads</t>
  </si>
  <si>
    <t>Vidya Soudha Public School-Acads</t>
  </si>
  <si>
    <t>National Public School -ITPL-Acads</t>
  </si>
  <si>
    <t>New York Academy-Acads</t>
  </si>
  <si>
    <t>Mother Teresa Public School-Acads</t>
  </si>
  <si>
    <t>Diya Learning Academy-Acads</t>
  </si>
  <si>
    <t>Sristi Global School-Acads</t>
  </si>
  <si>
    <t>Vidhya Soudha Public School-Acads</t>
  </si>
  <si>
    <t>Brilliant Valley residential School-Acads</t>
  </si>
  <si>
    <t>Maharshi Public School-Acads</t>
  </si>
  <si>
    <t>Jnana Sagar Vidhya Mandira-Acads</t>
  </si>
  <si>
    <t>Vasishta School of Excellence-Acads</t>
  </si>
  <si>
    <t>The Millennium School-Acads</t>
  </si>
  <si>
    <t>Sree Saraswati Vidhya Mandir-Acads</t>
  </si>
  <si>
    <t>Rays Academy of Learning-Acads</t>
  </si>
  <si>
    <t>Euro School - Whitefield-Acads</t>
  </si>
  <si>
    <t>Tattva School-Acads</t>
  </si>
  <si>
    <t>Edunation-Acads</t>
  </si>
  <si>
    <t>Sports School-Acads</t>
  </si>
  <si>
    <t>Sports PU College-Acads</t>
  </si>
  <si>
    <t>Kara4kids-Acads</t>
  </si>
  <si>
    <t>TCIS-Acads</t>
  </si>
  <si>
    <t>University of the People-Acads</t>
  </si>
  <si>
    <t>Mohan Babu University-Acads</t>
  </si>
  <si>
    <t>Excelsoft-Acads</t>
  </si>
  <si>
    <t>Rewiser-Acads</t>
  </si>
  <si>
    <t>Embibe-Acads</t>
  </si>
  <si>
    <t>Nestlings-Acads</t>
  </si>
  <si>
    <t>Jain University-Acads</t>
  </si>
  <si>
    <t>Deccan international School-Acads</t>
  </si>
  <si>
    <t>Ashoka Universal school-Acads</t>
  </si>
  <si>
    <t>Mother Teresa Chittoor-Acads</t>
  </si>
  <si>
    <t>Narayana Schools-Acads</t>
  </si>
  <si>
    <t>Vishwa Vidyapeeth School-Acads</t>
  </si>
  <si>
    <t>Garden City British School -Acads</t>
  </si>
  <si>
    <t>Diyar International Private School -Acads</t>
  </si>
  <si>
    <t>Al Basma British School-Acads</t>
  </si>
  <si>
    <t>Ajyal International School-Acads</t>
  </si>
  <si>
    <t>Al Falah-Acads</t>
  </si>
  <si>
    <t>Al Manthana School, Sharjah-Acads</t>
  </si>
  <si>
    <t>Al Ain Juniors School British System-Acads</t>
  </si>
  <si>
    <t>House of colours Nursery-Acads</t>
  </si>
  <si>
    <t>Zakher Private School-Acads</t>
  </si>
  <si>
    <t>DIPS Dibba campus-Acads</t>
  </si>
  <si>
    <t>Baby Bears-Acads</t>
  </si>
  <si>
    <t>Sunflower Nursery-Acads</t>
  </si>
  <si>
    <t>Inventure Academy-Acads</t>
  </si>
  <si>
    <t>JSW-Acads</t>
  </si>
  <si>
    <t>NEST International School-Acads</t>
  </si>
  <si>
    <t>The BIPF School-Acads</t>
  </si>
  <si>
    <t>Aura Global School-Acads</t>
  </si>
  <si>
    <t>Five-Star Perm</t>
  </si>
  <si>
    <t>Amrutha Sree Educational Trust_Acads</t>
  </si>
  <si>
    <t>The Academic City Foundation-Acads</t>
  </si>
  <si>
    <t>USDC Private Limited-Acads</t>
  </si>
  <si>
    <t>Campus One Stop Solutions-Acads</t>
  </si>
  <si>
    <t>Aspire Education Trust-Acads</t>
  </si>
  <si>
    <t>Christel House India-Acads</t>
  </si>
  <si>
    <t>Administrative Management college-Acads</t>
  </si>
  <si>
    <t>Nalanda Estates Pvt Ltd-Acads</t>
  </si>
  <si>
    <t>Manjula Education Society-Acads</t>
  </si>
  <si>
    <t>Smt Chennamma Chowdappa Education Trust-Acads</t>
  </si>
  <si>
    <t>The GERA SCHOOL-Acads</t>
  </si>
  <si>
    <t>BME Trust-Acads</t>
  </si>
  <si>
    <t>iNurture Education Solution Private Limited-Acads</t>
  </si>
  <si>
    <t>India Learning Foundation-Acads</t>
  </si>
  <si>
    <t>Jana Sweekar Public School-Acads</t>
  </si>
  <si>
    <t>Jamboree Education Private Limited-Acads</t>
  </si>
  <si>
    <t>Pegeon Education Technology India Private Limited-Acads</t>
  </si>
  <si>
    <t>Maurya Education Society-Acads</t>
  </si>
  <si>
    <t>Mother Teresa English Medium School-Arcds</t>
  </si>
  <si>
    <t>The Cambridge International School-Arcds</t>
  </si>
  <si>
    <t>Ashoka Educational Foundation-Acads</t>
  </si>
  <si>
    <t>D.Y. Patil High School-Acads</t>
  </si>
  <si>
    <t>Edavantagepoint Technologies Pvt Ltd-Acads</t>
  </si>
  <si>
    <t>Peevee Charitable Trust-Acads</t>
  </si>
  <si>
    <t>Mount Litera Zee School-Acads</t>
  </si>
  <si>
    <t>Sri Krishna Indira Educational and Charitable Trust-Acads</t>
  </si>
  <si>
    <t>I Mark Serv</t>
  </si>
  <si>
    <t>Salesfroce</t>
  </si>
  <si>
    <t>Flowserve Technology &amp; Engineering</t>
  </si>
  <si>
    <t>Dummy</t>
  </si>
  <si>
    <t>Factset Systems</t>
  </si>
  <si>
    <t>HTC</t>
  </si>
  <si>
    <t>Scheaffler</t>
  </si>
  <si>
    <t>Innominds</t>
  </si>
  <si>
    <t>IBI</t>
  </si>
  <si>
    <t>thyssenkrupp</t>
  </si>
  <si>
    <t>Apptio</t>
  </si>
  <si>
    <t>Fastenal</t>
  </si>
  <si>
    <t>Langoor</t>
  </si>
  <si>
    <t>JPL</t>
  </si>
  <si>
    <t>JPL_Cloudview Partner</t>
  </si>
  <si>
    <t>JPL_Rimini Street</t>
  </si>
  <si>
    <t>JPL_HTC Global Services</t>
  </si>
  <si>
    <t>JPL_EY</t>
  </si>
  <si>
    <t>JPL_Yodlee</t>
  </si>
  <si>
    <t>Verisk</t>
  </si>
  <si>
    <t>Tavant Technologies_US</t>
  </si>
  <si>
    <t>Hashout Technologies_US</t>
  </si>
  <si>
    <t>LTI</t>
  </si>
  <si>
    <t>Karvy Fintech Pvt. Ltd.(KFPL)</t>
  </si>
  <si>
    <t>JPL_CME group</t>
  </si>
  <si>
    <t>JPL_KOCH</t>
  </si>
  <si>
    <t>Corezi Tech Pvt Ltd</t>
  </si>
  <si>
    <t>UiPath</t>
  </si>
  <si>
    <t>UPL</t>
  </si>
  <si>
    <t>Bravens-US</t>
  </si>
  <si>
    <t>Ralph Lauren</t>
  </si>
  <si>
    <t>Ciber</t>
  </si>
  <si>
    <t>Herman Miller</t>
  </si>
  <si>
    <t>Noon Academy</t>
  </si>
  <si>
    <t>AppEx Semiconductors</t>
  </si>
  <si>
    <t xml:space="preserve">White Hat Jr </t>
  </si>
  <si>
    <t>Toppr</t>
  </si>
  <si>
    <t>Radisys</t>
  </si>
  <si>
    <t>Verticurl</t>
  </si>
  <si>
    <t>Spring Marketing Capital</t>
  </si>
  <si>
    <t>Whitehat JR -Champ</t>
  </si>
  <si>
    <t>Optm Media Solutions Private Limited</t>
  </si>
  <si>
    <t>Citi Bank</t>
  </si>
  <si>
    <t>Midland Credit Management</t>
  </si>
  <si>
    <t>Astrazeneca</t>
  </si>
  <si>
    <t>Encore Capital</t>
  </si>
  <si>
    <t>Northern Trust-Extra</t>
  </si>
  <si>
    <t>VIBGYOR Groups</t>
  </si>
  <si>
    <t>Clearwater Analytics India</t>
  </si>
  <si>
    <t>Azuga Telematics</t>
  </si>
  <si>
    <t>HappiestMinds</t>
  </si>
  <si>
    <t>MicroLand</t>
  </si>
  <si>
    <t xml:space="preserve">Trianz </t>
  </si>
  <si>
    <t>Interactive Brokers</t>
  </si>
  <si>
    <t>William Lea</t>
  </si>
  <si>
    <t>Quantiphi inc</t>
  </si>
  <si>
    <t>Software AG</t>
  </si>
  <si>
    <t>Schneider Electric - Perm</t>
  </si>
  <si>
    <t>Skience</t>
  </si>
  <si>
    <t>Standard Chartered Bank</t>
  </si>
  <si>
    <t>Mercedes BOT</t>
  </si>
  <si>
    <t>Mercedes FTE</t>
  </si>
  <si>
    <t>Wipro Philips</t>
  </si>
  <si>
    <t>Acquity KP</t>
  </si>
  <si>
    <t>H&amp;M</t>
  </si>
  <si>
    <t>Worldlink</t>
  </si>
  <si>
    <t>Ellucian-Perm</t>
  </si>
  <si>
    <t>RealPage â€“ Perm</t>
  </si>
  <si>
    <t>Moglix</t>
  </si>
  <si>
    <t>JLL â€“ SGP</t>
  </si>
  <si>
    <t>Smarten Spaces -SGP</t>
  </si>
  <si>
    <t>Cloudview Partners</t>
  </si>
  <si>
    <t>Verifone_SGP</t>
  </si>
  <si>
    <t>Sonata Software</t>
  </si>
  <si>
    <t>ZapCom Solutions</t>
  </si>
  <si>
    <t>Enquero Global</t>
  </si>
  <si>
    <t>Ninja van-SGP</t>
  </si>
  <si>
    <t>Accenture Technology-Singapore</t>
  </si>
  <si>
    <t>Deloitte - OneTech (GDAS)</t>
  </si>
  <si>
    <t>Deloitte - OneTech (DAS)</t>
  </si>
  <si>
    <t>Accenture_Malaysia</t>
  </si>
  <si>
    <t>support-UHG-NONIT</t>
  </si>
  <si>
    <t>Accenture_Support</t>
  </si>
  <si>
    <t>Sears-Perm</t>
  </si>
  <si>
    <t>Brocade</t>
  </si>
  <si>
    <t>Persistent_perm</t>
  </si>
  <si>
    <t>Forbes_Perm</t>
  </si>
  <si>
    <t>Ankita</t>
  </si>
  <si>
    <t>Ankit.Adhikari</t>
  </si>
  <si>
    <t>Kiranmayi.Sar</t>
  </si>
  <si>
    <t>National Stock Exchange of India Limited</t>
  </si>
  <si>
    <t>Samrita.Priyadarshini</t>
  </si>
  <si>
    <t>UHG RCM AR</t>
  </si>
  <si>
    <t>Count of Client</t>
  </si>
  <si>
    <t>Mokshithraj</t>
  </si>
  <si>
    <t>sara</t>
  </si>
  <si>
    <t>Shobha Mishra</t>
  </si>
  <si>
    <t>#N/A</t>
  </si>
  <si>
    <t xml:space="preserve">Deepak Desai </t>
  </si>
  <si>
    <t>Tarun Sareen Non IT</t>
  </si>
  <si>
    <t xml:space="preserve">Accenture ATCI APAC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</si>
</sst>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Aptos"/>
      <family val="2"/>
    </font>
    <font>
      <sz val="11"/>
      <color rgb="FF333333"/>
      <name val="Open Sans"/>
      <family val="2"/>
    </font>
    <font>
      <sz val="11"/>
      <color theme="1"/>
      <name val="Aptos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rgb="FF000000"/>
      <name val="Aptos Narrow"/>
      <family val="2"/>
    </font>
    <font>
      <sz val="11"/>
      <color theme="1"/>
      <name val="Calibri"/>
      <family val="2"/>
    </font>
    <font>
      <sz val="12"/>
      <color rgb="FF000000"/>
      <name val="Aptos"/>
      <family val="2"/>
    </font>
    <font>
      <sz val="11"/>
      <color rgb="FF000000"/>
      <name val="Aptos Narrow"/>
      <family val="2"/>
      <scheme val="minor"/>
    </font>
    <font>
      <sz val="11"/>
      <color rgb="FF000000"/>
      <name val="Arial"/>
      <family val="2"/>
    </font>
    <font>
      <sz val="11"/>
      <color rgb="FF000000"/>
      <name val="Aptos"/>
      <family val="2"/>
    </font>
    <font>
      <sz val="10"/>
      <color rgb="FF444444"/>
      <name val="Arial"/>
      <family val="2"/>
    </font>
    <font>
      <sz val="11"/>
      <name val="Arial"/>
      <family val="1"/>
    </font>
    <font>
      <b/>
      <sz val="11"/>
      <color theme="1"/>
      <name val="Aptos"/>
      <family val="2"/>
    </font>
    <font>
      <sz val="12"/>
      <color theme="1"/>
      <name val="Book Antiqua"/>
      <family val="1"/>
    </font>
    <font>
      <sz val="11"/>
      <color rgb="FF333333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1"/>
      <color rgb="FF333333"/>
      <name val="Aptos Narrow"/>
      <family val="2"/>
      <scheme val="minor"/>
    </font>
    <font>
      <sz val="12"/>
      <color rgb="FF000000"/>
      <name val="Aptos Display"/>
      <family val="2"/>
    </font>
    <font>
      <b/>
      <sz val="11"/>
      <color rgb="FFFFFFFF"/>
      <name val="Calibri"/>
      <family val="2"/>
    </font>
    <font>
      <sz val="11"/>
      <color rgb="FF333333"/>
      <name val="Aptos Narrow"/>
      <family val="2"/>
    </font>
    <font>
      <b/>
      <sz val="10"/>
      <color rgb="FF235A81"/>
      <name val="Arial"/>
      <family val="2"/>
    </font>
    <font>
      <sz val="12"/>
      <color rgb="FF000000"/>
      <name val="Aptos Narrow"/>
      <family val="2"/>
      <scheme val="minor"/>
    </font>
    <font>
      <sz val="11"/>
      <color theme="1"/>
      <name val="Aptos Display"/>
      <family val="2"/>
    </font>
    <font>
      <sz val="11"/>
      <color rgb="FF000000"/>
      <name val="Aptos Display"/>
      <family val="2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theme="4" tint="0.79998168889431442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FDFDF"/>
        <bgColor rgb="FF000000"/>
      </patternFill>
    </fill>
    <fill>
      <patternFill patternType="solid">
        <fgColor rgb="FFF1F1F1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/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  <border>
      <left/>
      <right style="medium">
        <color rgb="FFABABAB"/>
      </right>
      <top/>
      <bottom style="medium">
        <color rgb="FFABABAB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2" fillId="0" borderId="0"/>
    <xf numFmtId="0" fontId="36" fillId="0" borderId="0" applyNumberFormat="0" applyFill="0" applyBorder="0" applyAlignment="0" applyProtection="0"/>
  </cellStyleXfs>
  <cellXfs count="186">
    <xf numFmtId="0" fontId="0" fillId="0" borderId="0" xfId="0"/>
    <xf numFmtId="0" fontId="16" fillId="33" borderId="0" xfId="0" applyFont="1" applyFill="1"/>
    <xf numFmtId="0" fontId="0" fillId="0" borderId="10" xfId="0" applyBorder="1"/>
    <xf numFmtId="0" fontId="19" fillId="0" borderId="12" xfId="0" applyFont="1" applyBorder="1" applyAlignment="1">
      <alignment horizontal="left"/>
    </xf>
    <xf numFmtId="0" fontId="19" fillId="0" borderId="11" xfId="0" applyFont="1" applyBorder="1" applyAlignment="1">
      <alignment horizontal="left"/>
    </xf>
    <xf numFmtId="0" fontId="18" fillId="0" borderId="12" xfId="0" applyFont="1" applyBorder="1"/>
    <xf numFmtId="0" fontId="16" fillId="33" borderId="10" xfId="0" applyFont="1" applyFill="1" applyBorder="1"/>
    <xf numFmtId="0" fontId="0" fillId="33" borderId="10" xfId="0" applyFill="1" applyBorder="1"/>
    <xf numFmtId="0" fontId="0" fillId="0" borderId="10" xfId="0" pivotButton="1" applyBorder="1"/>
    <xf numFmtId="0" fontId="0" fillId="33" borderId="13" xfId="0" applyFill="1" applyBorder="1"/>
    <xf numFmtId="14" fontId="0" fillId="0" borderId="0" xfId="0" applyNumberFormat="1"/>
    <xf numFmtId="0" fontId="20" fillId="0" borderId="0" xfId="0" applyFont="1"/>
    <xf numFmtId="0" fontId="21" fillId="0" borderId="0" xfId="0" applyFont="1"/>
    <xf numFmtId="0" fontId="0" fillId="34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4" fillId="36" borderId="10" xfId="0" applyFont="1" applyFill="1" applyBorder="1" applyAlignment="1">
      <alignment horizontal="center" vertical="center"/>
    </xf>
    <xf numFmtId="0" fontId="0" fillId="37" borderId="10" xfId="0" applyFill="1" applyBorder="1" applyAlignment="1">
      <alignment horizontal="left"/>
    </xf>
    <xf numFmtId="0" fontId="0" fillId="37" borderId="10" xfId="0" applyFill="1" applyBorder="1" applyAlignment="1">
      <alignment horizontal="center" vertical="center"/>
    </xf>
    <xf numFmtId="0" fontId="25" fillId="0" borderId="10" xfId="0" applyFont="1" applyBorder="1" applyAlignment="1">
      <alignment vertical="center"/>
    </xf>
    <xf numFmtId="0" fontId="0" fillId="38" borderId="10" xfId="0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37" borderId="10" xfId="0" applyFill="1" applyBorder="1" applyAlignment="1">
      <alignment vertical="center"/>
    </xf>
    <xf numFmtId="0" fontId="0" fillId="0" borderId="10" xfId="0" applyBorder="1" applyAlignment="1">
      <alignment horizontal="left"/>
    </xf>
    <xf numFmtId="0" fontId="0" fillId="0" borderId="0" xfId="0" applyAlignment="1">
      <alignment horizontal="center" vertical="center"/>
    </xf>
    <xf numFmtId="0" fontId="22" fillId="0" borderId="10" xfId="0" applyFont="1" applyBorder="1"/>
    <xf numFmtId="0" fontId="19" fillId="0" borderId="14" xfId="0" applyFont="1" applyBorder="1" applyAlignment="1">
      <alignment vertical="center"/>
    </xf>
    <xf numFmtId="0" fontId="19" fillId="0" borderId="15" xfId="0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0" fillId="39" borderId="10" xfId="0" applyFill="1" applyBorder="1" applyAlignment="1">
      <alignment vertical="center"/>
    </xf>
    <xf numFmtId="0" fontId="28" fillId="40" borderId="10" xfId="0" applyFont="1" applyFill="1" applyBorder="1" applyAlignment="1">
      <alignment horizontal="center"/>
    </xf>
    <xf numFmtId="0" fontId="28" fillId="0" borderId="10" xfId="0" applyFont="1" applyBorder="1" applyAlignment="1">
      <alignment horizontal="left"/>
    </xf>
    <xf numFmtId="0" fontId="28" fillId="41" borderId="10" xfId="0" applyFont="1" applyFill="1" applyBorder="1" applyAlignment="1">
      <alignment horizontal="left" vertical="top"/>
    </xf>
    <xf numFmtId="0" fontId="29" fillId="41" borderId="10" xfId="0" applyFont="1" applyFill="1" applyBorder="1" applyAlignment="1">
      <alignment horizontal="left" vertical="top"/>
    </xf>
    <xf numFmtId="0" fontId="30" fillId="0" borderId="10" xfId="0" applyFont="1" applyBorder="1" applyAlignment="1">
      <alignment horizontal="left"/>
    </xf>
    <xf numFmtId="0" fontId="29" fillId="42" borderId="10" xfId="0" applyFont="1" applyFill="1" applyBorder="1" applyAlignment="1">
      <alignment horizontal="left" vertical="top"/>
    </xf>
    <xf numFmtId="0" fontId="28" fillId="0" borderId="10" xfId="0" applyFont="1" applyBorder="1" applyAlignment="1">
      <alignment horizontal="left" vertical="center"/>
    </xf>
    <xf numFmtId="0" fontId="31" fillId="41" borderId="10" xfId="0" applyFont="1" applyFill="1" applyBorder="1" applyAlignment="1">
      <alignment horizontal="left" vertical="top" wrapText="1"/>
    </xf>
    <xf numFmtId="0" fontId="21" fillId="43" borderId="10" xfId="0" applyFont="1" applyFill="1" applyBorder="1" applyAlignment="1">
      <alignment horizontal="left" vertical="top" wrapText="1"/>
    </xf>
    <xf numFmtId="0" fontId="29" fillId="42" borderId="10" xfId="0" applyFont="1" applyFill="1" applyBorder="1" applyAlignment="1">
      <alignment horizontal="left" vertical="top" wrapText="1"/>
    </xf>
    <xf numFmtId="0" fontId="27" fillId="0" borderId="10" xfId="0" applyFont="1" applyBorder="1" applyAlignment="1">
      <alignment horizontal="left"/>
    </xf>
    <xf numFmtId="0" fontId="18" fillId="0" borderId="10" xfId="0" applyFont="1" applyBorder="1" applyAlignment="1">
      <alignment horizontal="center" vertical="center"/>
    </xf>
    <xf numFmtId="0" fontId="21" fillId="0" borderId="10" xfId="0" applyFont="1" applyBorder="1"/>
    <xf numFmtId="0" fontId="27" fillId="0" borderId="10" xfId="0" applyFont="1" applyBorder="1" applyAlignment="1">
      <alignment vertical="center"/>
    </xf>
    <xf numFmtId="0" fontId="25" fillId="44" borderId="10" xfId="0" applyFont="1" applyFill="1" applyBorder="1" applyAlignment="1">
      <alignment vertical="center"/>
    </xf>
    <xf numFmtId="0" fontId="0" fillId="45" borderId="10" xfId="0" applyFill="1" applyBorder="1"/>
    <xf numFmtId="0" fontId="20" fillId="0" borderId="10" xfId="0" applyFont="1" applyBorder="1"/>
    <xf numFmtId="0" fontId="0" fillId="44" borderId="10" xfId="0" applyFill="1" applyBorder="1"/>
    <xf numFmtId="0" fontId="26" fillId="0" borderId="10" xfId="0" applyFont="1" applyBorder="1"/>
    <xf numFmtId="0" fontId="18" fillId="0" borderId="10" xfId="0" applyFont="1" applyBorder="1"/>
    <xf numFmtId="0" fontId="25" fillId="46" borderId="10" xfId="0" applyFont="1" applyFill="1" applyBorder="1" applyAlignment="1">
      <alignment vertical="center"/>
    </xf>
    <xf numFmtId="0" fontId="23" fillId="35" borderId="10" xfId="0" applyFont="1" applyFill="1" applyBorder="1" applyAlignment="1">
      <alignment horizontal="center" vertical="center"/>
    </xf>
    <xf numFmtId="0" fontId="16" fillId="0" borderId="10" xfId="0" applyFont="1" applyBorder="1"/>
    <xf numFmtId="0" fontId="0" fillId="0" borderId="10" xfId="0" applyBorder="1" applyAlignment="1">
      <alignment horizontal="center"/>
    </xf>
    <xf numFmtId="0" fontId="34" fillId="0" borderId="0" xfId="0" applyFont="1"/>
    <xf numFmtId="0" fontId="0" fillId="0" borderId="18" xfId="0" applyBorder="1" applyAlignment="1">
      <alignment horizontal="center" vertical="center"/>
    </xf>
    <xf numFmtId="0" fontId="27" fillId="0" borderId="10" xfId="0" applyFont="1" applyBorder="1"/>
    <xf numFmtId="0" fontId="22" fillId="45" borderId="10" xfId="0" applyFont="1" applyFill="1" applyBorder="1" applyAlignment="1">
      <alignment vertical="center"/>
    </xf>
    <xf numFmtId="0" fontId="0" fillId="45" borderId="10" xfId="0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47" borderId="10" xfId="0" applyFill="1" applyBorder="1" applyAlignment="1">
      <alignment vertical="center"/>
    </xf>
    <xf numFmtId="0" fontId="33" fillId="0" borderId="10" xfId="0" applyFont="1" applyBorder="1"/>
    <xf numFmtId="0" fontId="35" fillId="0" borderId="10" xfId="0" applyFont="1" applyBorder="1"/>
    <xf numFmtId="0" fontId="0" fillId="48" borderId="10" xfId="0" applyFill="1" applyBorder="1"/>
    <xf numFmtId="0" fontId="0" fillId="46" borderId="10" xfId="0" applyFill="1" applyBorder="1" applyAlignment="1">
      <alignment vertical="center"/>
    </xf>
    <xf numFmtId="0" fontId="16" fillId="46" borderId="10" xfId="0" applyFont="1" applyFill="1" applyBorder="1"/>
    <xf numFmtId="0" fontId="0" fillId="46" borderId="10" xfId="0" applyFill="1" applyBorder="1"/>
    <xf numFmtId="0" fontId="18" fillId="0" borderId="10" xfId="0" applyFont="1" applyBorder="1" applyAlignment="1">
      <alignment horizontal="left" vertical="center"/>
    </xf>
    <xf numFmtId="0" fontId="0" fillId="0" borderId="18" xfId="0" applyBorder="1"/>
    <xf numFmtId="0" fontId="0" fillId="0" borderId="19" xfId="0" applyBorder="1" applyAlignment="1">
      <alignment horizontal="left"/>
    </xf>
    <xf numFmtId="0" fontId="28" fillId="0" borderId="20" xfId="0" applyFont="1" applyBorder="1"/>
    <xf numFmtId="0" fontId="0" fillId="0" borderId="21" xfId="0" applyBorder="1"/>
    <xf numFmtId="0" fontId="28" fillId="0" borderId="20" xfId="0" applyFont="1" applyBorder="1" applyAlignment="1">
      <alignment horizontal="left"/>
    </xf>
    <xf numFmtId="0" fontId="36" fillId="0" borderId="10" xfId="43" applyBorder="1"/>
    <xf numFmtId="0" fontId="28" fillId="0" borderId="0" xfId="0" applyFont="1"/>
    <xf numFmtId="0" fontId="28" fillId="41" borderId="10" xfId="0" applyFont="1" applyFill="1" applyBorder="1"/>
    <xf numFmtId="0" fontId="0" fillId="37" borderId="0" xfId="0" applyFill="1"/>
    <xf numFmtId="0" fontId="0" fillId="49" borderId="10" xfId="0" applyFill="1" applyBorder="1" applyAlignment="1">
      <alignment horizontal="center"/>
    </xf>
    <xf numFmtId="0" fontId="0" fillId="50" borderId="1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1" borderId="10" xfId="0" applyFill="1" applyBorder="1" applyAlignment="1">
      <alignment horizontal="center" vertical="top"/>
    </xf>
    <xf numFmtId="0" fontId="0" fillId="52" borderId="10" xfId="0" applyFill="1" applyBorder="1" applyAlignment="1">
      <alignment horizontal="center" vertical="top"/>
    </xf>
    <xf numFmtId="0" fontId="0" fillId="0" borderId="22" xfId="0" applyBorder="1" applyAlignment="1">
      <alignment horizontal="center"/>
    </xf>
    <xf numFmtId="0" fontId="37" fillId="51" borderId="10" xfId="0" applyFont="1" applyFill="1" applyBorder="1" applyAlignment="1">
      <alignment horizontal="center" vertical="top"/>
    </xf>
    <xf numFmtId="0" fontId="0" fillId="0" borderId="18" xfId="0" applyBorder="1" applyAlignment="1">
      <alignment horizontal="center"/>
    </xf>
    <xf numFmtId="0" fontId="38" fillId="0" borderId="10" xfId="0" applyFont="1" applyBorder="1"/>
    <xf numFmtId="0" fontId="37" fillId="52" borderId="10" xfId="0" applyFont="1" applyFill="1" applyBorder="1" applyAlignment="1">
      <alignment horizontal="center" vertical="top"/>
    </xf>
    <xf numFmtId="0" fontId="39" fillId="0" borderId="10" xfId="0" applyFont="1" applyBorder="1" applyAlignment="1">
      <alignment horizontal="center"/>
    </xf>
    <xf numFmtId="0" fontId="37" fillId="52" borderId="0" xfId="0" applyFont="1" applyFill="1" applyAlignment="1">
      <alignment horizontal="center" vertical="top"/>
    </xf>
    <xf numFmtId="0" fontId="37" fillId="51" borderId="0" xfId="0" applyFont="1" applyFill="1" applyAlignment="1">
      <alignment horizontal="center" vertical="top"/>
    </xf>
    <xf numFmtId="0" fontId="37" fillId="51" borderId="0" xfId="0" applyFont="1" applyFill="1" applyAlignment="1">
      <alignment horizontal="center" vertical="top" wrapText="1"/>
    </xf>
    <xf numFmtId="0" fontId="0" fillId="0" borderId="22" xfId="0" applyBorder="1" applyAlignment="1">
      <alignment horizontal="center" vertical="center"/>
    </xf>
    <xf numFmtId="0" fontId="40" fillId="0" borderId="0" xfId="0" applyFont="1"/>
    <xf numFmtId="0" fontId="0" fillId="0" borderId="0" xfId="0" applyAlignment="1">
      <alignment vertical="center" wrapText="1"/>
    </xf>
    <xf numFmtId="0" fontId="36" fillId="0" borderId="0" xfId="43"/>
    <xf numFmtId="0" fontId="31" fillId="52" borderId="10" xfId="0" applyFont="1" applyFill="1" applyBorder="1" applyAlignment="1">
      <alignment horizontal="left" vertical="top" wrapText="1"/>
    </xf>
    <xf numFmtId="0" fontId="21" fillId="53" borderId="0" xfId="0" applyFont="1" applyFill="1" applyAlignment="1">
      <alignment horizontal="center" vertical="top" wrapText="1"/>
    </xf>
    <xf numFmtId="0" fontId="25" fillId="0" borderId="0" xfId="0" applyFont="1"/>
    <xf numFmtId="0" fontId="18" fillId="0" borderId="23" xfId="0" applyFont="1" applyBorder="1" applyAlignment="1">
      <alignment vertical="center"/>
    </xf>
    <xf numFmtId="0" fontId="33" fillId="0" borderId="0" xfId="0" applyFont="1"/>
    <xf numFmtId="0" fontId="25" fillId="0" borderId="0" xfId="0" applyFont="1" applyAlignment="1">
      <alignment vertical="center"/>
    </xf>
    <xf numFmtId="0" fontId="41" fillId="54" borderId="25" xfId="0" applyFont="1" applyFill="1" applyBorder="1" applyAlignment="1">
      <alignment vertical="center"/>
    </xf>
    <xf numFmtId="0" fontId="41" fillId="54" borderId="26" xfId="0" applyFont="1" applyFill="1" applyBorder="1" applyAlignment="1">
      <alignment vertical="center"/>
    </xf>
    <xf numFmtId="0" fontId="41" fillId="54" borderId="27" xfId="0" applyFont="1" applyFill="1" applyBorder="1" applyAlignment="1">
      <alignment vertical="center"/>
    </xf>
    <xf numFmtId="0" fontId="25" fillId="0" borderId="29" xfId="0" applyFont="1" applyBorder="1" applyAlignment="1">
      <alignment vertical="center"/>
    </xf>
    <xf numFmtId="0" fontId="19" fillId="0" borderId="24" xfId="0" applyFont="1" applyBorder="1" applyAlignment="1">
      <alignment vertical="center"/>
    </xf>
    <xf numFmtId="0" fontId="25" fillId="0" borderId="23" xfId="0" applyFont="1" applyBorder="1" applyAlignment="1">
      <alignment vertical="center"/>
    </xf>
    <xf numFmtId="0" fontId="18" fillId="0" borderId="24" xfId="0" applyFont="1" applyBorder="1" applyAlignment="1">
      <alignment vertical="center"/>
    </xf>
    <xf numFmtId="0" fontId="25" fillId="0" borderId="24" xfId="0" applyFont="1" applyBorder="1" applyAlignment="1">
      <alignment vertical="center"/>
    </xf>
    <xf numFmtId="0" fontId="18" fillId="0" borderId="28" xfId="0" applyFont="1" applyBorder="1" applyAlignment="1">
      <alignment vertical="center"/>
    </xf>
    <xf numFmtId="0" fontId="28" fillId="0" borderId="10" xfId="0" applyFont="1" applyBorder="1"/>
    <xf numFmtId="0" fontId="25" fillId="0" borderId="10" xfId="0" applyFont="1" applyBorder="1"/>
    <xf numFmtId="0" fontId="28" fillId="0" borderId="10" xfId="0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37" borderId="10" xfId="0" applyFont="1" applyFill="1" applyBorder="1" applyAlignment="1">
      <alignment horizontal="left" vertical="center"/>
    </xf>
    <xf numFmtId="0" fontId="18" fillId="37" borderId="10" xfId="0" applyFont="1" applyFill="1" applyBorder="1" applyAlignment="1">
      <alignment horizontal="center" vertical="center"/>
    </xf>
    <xf numFmtId="0" fontId="0" fillId="37" borderId="10" xfId="0" applyFill="1" applyBorder="1" applyAlignment="1">
      <alignment horizontal="center"/>
    </xf>
    <xf numFmtId="0" fontId="28" fillId="37" borderId="10" xfId="0" applyFont="1" applyFill="1" applyBorder="1" applyAlignment="1">
      <alignment horizontal="center" vertical="center"/>
    </xf>
    <xf numFmtId="14" fontId="18" fillId="37" borderId="10" xfId="0" applyNumberFormat="1" applyFont="1" applyFill="1" applyBorder="1" applyAlignment="1">
      <alignment horizontal="center" vertical="center"/>
    </xf>
    <xf numFmtId="0" fontId="0" fillId="45" borderId="10" xfId="0" applyFill="1" applyBorder="1" applyAlignment="1">
      <alignment horizontal="center" vertical="center"/>
    </xf>
    <xf numFmtId="0" fontId="0" fillId="45" borderId="10" xfId="0" applyFill="1" applyBorder="1" applyAlignment="1">
      <alignment horizontal="center"/>
    </xf>
    <xf numFmtId="0" fontId="25" fillId="37" borderId="10" xfId="0" applyFont="1" applyFill="1" applyBorder="1" applyAlignment="1">
      <alignment horizontal="left"/>
    </xf>
    <xf numFmtId="0" fontId="25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/>
    </xf>
    <xf numFmtId="0" fontId="18" fillId="55" borderId="10" xfId="0" applyFont="1" applyFill="1" applyBorder="1" applyAlignment="1">
      <alignment horizontal="left" vertical="center"/>
    </xf>
    <xf numFmtId="0" fontId="25" fillId="0" borderId="10" xfId="0" applyFont="1" applyBorder="1" applyAlignment="1">
      <alignment horizontal="left"/>
    </xf>
    <xf numFmtId="0" fontId="30" fillId="37" borderId="10" xfId="0" applyFont="1" applyFill="1" applyBorder="1" applyAlignment="1">
      <alignment horizontal="left"/>
    </xf>
    <xf numFmtId="0" fontId="0" fillId="56" borderId="10" xfId="0" applyFill="1" applyBorder="1" applyAlignment="1">
      <alignment horizontal="center" vertical="center"/>
    </xf>
    <xf numFmtId="0" fontId="0" fillId="56" borderId="10" xfId="0" applyFill="1" applyBorder="1" applyAlignment="1">
      <alignment horizontal="center"/>
    </xf>
    <xf numFmtId="0" fontId="18" fillId="0" borderId="31" xfId="0" applyFont="1" applyBorder="1" applyAlignment="1">
      <alignment horizontal="center" vertical="center"/>
    </xf>
    <xf numFmtId="14" fontId="18" fillId="0" borderId="31" xfId="0" applyNumberFormat="1" applyFont="1" applyBorder="1" applyAlignment="1">
      <alignment horizontal="center" vertical="center"/>
    </xf>
    <xf numFmtId="0" fontId="42" fillId="0" borderId="0" xfId="0" applyFont="1"/>
    <xf numFmtId="0" fontId="43" fillId="52" borderId="0" xfId="0" applyFont="1" applyFill="1" applyAlignment="1">
      <alignment vertical="top" wrapText="1"/>
    </xf>
    <xf numFmtId="0" fontId="25" fillId="0" borderId="30" xfId="0" applyFont="1" applyBorder="1"/>
    <xf numFmtId="0" fontId="25" fillId="0" borderId="32" xfId="0" applyFont="1" applyBorder="1"/>
    <xf numFmtId="0" fontId="18" fillId="0" borderId="32" xfId="0" applyFont="1" applyBorder="1"/>
    <xf numFmtId="0" fontId="25" fillId="0" borderId="31" xfId="0" applyFont="1" applyBorder="1"/>
    <xf numFmtId="0" fontId="18" fillId="0" borderId="30" xfId="0" applyFont="1" applyBorder="1"/>
    <xf numFmtId="15" fontId="13" fillId="9" borderId="10" xfId="18" applyNumberFormat="1" applyFont="1" applyBorder="1" applyAlignment="1">
      <alignment horizontal="center" vertical="center"/>
    </xf>
    <xf numFmtId="0" fontId="16" fillId="45" borderId="10" xfId="0" applyFont="1" applyFill="1" applyBorder="1"/>
    <xf numFmtId="0" fontId="44" fillId="0" borderId="10" xfId="0" applyFont="1" applyBorder="1" applyAlignment="1">
      <alignment horizontal="center" vertical="center"/>
    </xf>
    <xf numFmtId="0" fontId="18" fillId="57" borderId="10" xfId="0" applyFont="1" applyFill="1" applyBorder="1" applyAlignment="1">
      <alignment horizontal="center" vertical="center"/>
    </xf>
    <xf numFmtId="0" fontId="0" fillId="57" borderId="10" xfId="0" applyFill="1" applyBorder="1" applyAlignment="1">
      <alignment horizontal="center" vertical="center"/>
    </xf>
    <xf numFmtId="14" fontId="18" fillId="57" borderId="10" xfId="0" applyNumberFormat="1" applyFont="1" applyFill="1" applyBorder="1" applyAlignment="1">
      <alignment horizontal="center" vertical="center"/>
    </xf>
    <xf numFmtId="15" fontId="0" fillId="0" borderId="0" xfId="0" applyNumberFormat="1" applyAlignment="1">
      <alignment vertical="center" wrapText="1"/>
    </xf>
    <xf numFmtId="0" fontId="18" fillId="37" borderId="13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4" fontId="18" fillId="0" borderId="13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32" xfId="0" applyBorder="1"/>
    <xf numFmtId="0" fontId="28" fillId="0" borderId="32" xfId="0" applyFont="1" applyBorder="1"/>
    <xf numFmtId="0" fontId="25" fillId="41" borderId="10" xfId="0" applyFont="1" applyFill="1" applyBorder="1"/>
    <xf numFmtId="0" fontId="25" fillId="0" borderId="22" xfId="0" applyFont="1" applyBorder="1"/>
    <xf numFmtId="0" fontId="25" fillId="37" borderId="10" xfId="0" applyFont="1" applyFill="1" applyBorder="1" applyAlignment="1">
      <alignment horizontal="left" vertical="center"/>
    </xf>
    <xf numFmtId="0" fontId="18" fillId="45" borderId="10" xfId="0" applyFont="1" applyFill="1" applyBorder="1" applyAlignment="1">
      <alignment horizontal="center" vertical="center"/>
    </xf>
    <xf numFmtId="14" fontId="18" fillId="45" borderId="10" xfId="0" applyNumberFormat="1" applyFont="1" applyFill="1" applyBorder="1" applyAlignment="1">
      <alignment horizontal="center" vertical="center"/>
    </xf>
    <xf numFmtId="0" fontId="0" fillId="37" borderId="33" xfId="0" applyFill="1" applyBorder="1"/>
    <xf numFmtId="0" fontId="0" fillId="0" borderId="34" xfId="0" applyBorder="1"/>
    <xf numFmtId="0" fontId="35" fillId="0" borderId="0" xfId="0" applyFont="1" applyAlignment="1">
      <alignment vertical="center" wrapText="1"/>
    </xf>
    <xf numFmtId="0" fontId="16" fillId="33" borderId="0" xfId="0" applyFont="1" applyFill="1" applyAlignment="1">
      <alignment horizontal="center"/>
    </xf>
    <xf numFmtId="0" fontId="16" fillId="33" borderId="32" xfId="0" applyFont="1" applyFill="1" applyBorder="1"/>
    <xf numFmtId="0" fontId="18" fillId="0" borderId="32" xfId="0" applyFont="1" applyBorder="1" applyAlignment="1">
      <alignment horizontal="left" vertical="center"/>
    </xf>
    <xf numFmtId="0" fontId="0" fillId="0" borderId="32" xfId="0" applyBorder="1" applyAlignment="1">
      <alignment horizontal="left"/>
    </xf>
    <xf numFmtId="0" fontId="0" fillId="0" borderId="30" xfId="0" applyBorder="1"/>
    <xf numFmtId="0" fontId="18" fillId="0" borderId="0" xfId="0" applyFont="1"/>
    <xf numFmtId="0" fontId="0" fillId="0" borderId="12" xfId="0" applyBorder="1"/>
    <xf numFmtId="0" fontId="0" fillId="0" borderId="22" xfId="0" applyBorder="1"/>
    <xf numFmtId="0" fontId="0" fillId="0" borderId="30" xfId="0" applyBorder="1" applyAlignment="1">
      <alignment horizontal="left"/>
    </xf>
    <xf numFmtId="0" fontId="18" fillId="0" borderId="0" xfId="0" applyFont="1" applyAlignment="1">
      <alignment horizontal="left" vertical="center"/>
    </xf>
    <xf numFmtId="0" fontId="18" fillId="0" borderId="30" xfId="0" applyFont="1" applyBorder="1" applyAlignment="1">
      <alignment horizontal="left" vertical="center"/>
    </xf>
    <xf numFmtId="0" fontId="0" fillId="49" borderId="10" xfId="0" applyFill="1" applyBorder="1" applyAlignment="1">
      <alignment vertical="center"/>
    </xf>
    <xf numFmtId="0" fontId="0" fillId="49" borderId="10" xfId="0" applyFill="1" applyBorder="1"/>
    <xf numFmtId="0" fontId="45" fillId="0" borderId="0" xfId="0" applyFont="1"/>
    <xf numFmtId="0" fontId="46" fillId="0" borderId="0" xfId="0" applyFont="1"/>
    <xf numFmtId="0" fontId="18" fillId="46" borderId="10" xfId="0" applyFont="1" applyFill="1" applyBorder="1" applyAlignment="1">
      <alignment horizontal="left" vertical="center"/>
    </xf>
    <xf numFmtId="0" fontId="0" fillId="0" borderId="34" xfId="0" applyBorder="1" applyAlignment="1">
      <alignment horizontal="left"/>
    </xf>
    <xf numFmtId="0" fontId="18" fillId="0" borderId="10" xfId="0" applyFont="1" applyBorder="1" applyAlignment="1">
      <alignment horizontal="center"/>
    </xf>
    <xf numFmtId="0" fontId="0" fillId="0" borderId="35" xfId="0" applyBorder="1"/>
    <xf numFmtId="0" fontId="0" fillId="49" borderId="32" xfId="0" applyFill="1" applyBorder="1"/>
    <xf numFmtId="0" fontId="0" fillId="37" borderId="32" xfId="0" applyFill="1" applyBorder="1" applyAlignment="1">
      <alignment horizontal="left"/>
    </xf>
    <xf numFmtId="0" fontId="0" fillId="37" borderId="10" xfId="0" applyFill="1" applyBorder="1"/>
    <xf numFmtId="0" fontId="0" fillId="0" borderId="10" xfId="0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AF5A0235-B1D9-4405-8400-5FECF00C39F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D7DF91AD-D341-4CE2-BAE3-2FE7AD25E25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4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3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2w-my.sharepoint.com/personal/misreports_joulestowatts_com/Documents/Operation%20tracker/New%20Query/Separation%20Report.xlsm" TargetMode="External"/><Relationship Id="rId1" Type="http://schemas.openxmlformats.org/officeDocument/2006/relationships/externalLinkPath" Target="Separation%20Report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j2w-my.sharepoint.com/personal/misreports_joulestowatts_com/Documents/Operation%20tracker/Operation%20tracker%20new.xlsm" TargetMode="External"/><Relationship Id="rId2" Type="http://schemas.openxmlformats.org/officeDocument/2006/relationships/externalLinkPath" Target="https://j2w-my.sharepoint.com/personal/misreports_joulestowatts_com/Documents/Operation%20tracker/Operation%20tracker%20new.xlsm" TargetMode="External"/><Relationship Id="rId1" Type="http://schemas.openxmlformats.org/officeDocument/2006/relationships/externalLinkPath" Target="/personal/misreports_joulestowatts_com/Documents/Operation%20tracker/Operation%20tracker%20new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it "/>
      <sheetName val="Consultant Level Pivot"/>
      <sheetName val="Consultant Level"/>
      <sheetName val="Sheet2"/>
      <sheetName val="Sheet4"/>
      <sheetName val="Sheet3"/>
      <sheetName val="Sheet5"/>
      <sheetName val="Exit 1"/>
      <sheetName val="Mtd Exit Summary"/>
      <sheetName val="Mtd Exit_Type Summary"/>
      <sheetName val="Summary"/>
      <sheetName val="Summary 1"/>
      <sheetName val="Exit &amp; Inprogress Bifurcation"/>
      <sheetName val="Active Bifucation"/>
      <sheetName val="Email id's"/>
      <sheetName val="Active"/>
      <sheetName val="Client wise"/>
      <sheetName val="Inprogress"/>
      <sheetName val="Exit"/>
      <sheetName val="Reatined employee"/>
      <sheetName val="HRBP Tagging"/>
      <sheetName val="Exit till 2024 dec"/>
      <sheetName val="Addition"/>
      <sheetName val="Check"/>
      <sheetName val="Exit &amp; redeployed "/>
      <sheetName val="Past 6 month retained"/>
      <sheetName val="Bench Data"/>
      <sheetName val="Bench Report"/>
      <sheetName val="Bench Summary"/>
      <sheetName val="Sheet1"/>
      <sheetName val="Client wise (2)"/>
      <sheetName val="Consultant data"/>
      <sheetName val="Sheet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1">
          <cell r="A1" t="str">
            <v>Client</v>
          </cell>
          <cell r="B1" t="str">
            <v>BH</v>
          </cell>
          <cell r="C1" t="str">
            <v>HRBP group</v>
          </cell>
          <cell r="D1" t="str">
            <v>Hrbp  Finale</v>
          </cell>
        </row>
        <row r="2">
          <cell r="A2" t="str">
            <v>EdgeVerve</v>
          </cell>
          <cell r="B2" t="str">
            <v>Deepak Desai</v>
          </cell>
          <cell r="D2" t="str">
            <v>Sara</v>
          </cell>
        </row>
        <row r="3">
          <cell r="A3" t="str">
            <v xml:space="preserve"> Lumen C2H</v>
          </cell>
          <cell r="B3" t="str">
            <v>Anuradha Murthy</v>
          </cell>
          <cell r="D3" t="str">
            <v>Sultana M</v>
          </cell>
        </row>
        <row r="4">
          <cell r="A4" t="str">
            <v xml:space="preserve"> WSP</v>
          </cell>
          <cell r="B4" t="str">
            <v>Anuradha Murthy</v>
          </cell>
          <cell r="D4" t="str">
            <v>Sultana M</v>
          </cell>
        </row>
        <row r="5">
          <cell r="A5" t="str">
            <v>Accenture_BPO</v>
          </cell>
          <cell r="B5" t="str">
            <v>Jawad Ulla Khan Non IT</v>
          </cell>
          <cell r="D5" t="str">
            <v>Samrita /Sree Swetha</v>
          </cell>
        </row>
        <row r="6">
          <cell r="A6" t="str">
            <v>Accenture_HTD</v>
          </cell>
          <cell r="B6" t="e">
            <v>#N/A</v>
          </cell>
          <cell r="D6" t="str">
            <v>Sara</v>
          </cell>
        </row>
        <row r="7">
          <cell r="A7" t="str">
            <v>Accenture_IDB</v>
          </cell>
          <cell r="B7" t="str">
            <v>Prathap Sagar</v>
          </cell>
          <cell r="D7" t="str">
            <v>Sara</v>
          </cell>
        </row>
        <row r="8">
          <cell r="A8" t="str">
            <v>Accenture_IDB_1</v>
          </cell>
          <cell r="B8" t="str">
            <v>Prathap Sagar</v>
          </cell>
          <cell r="D8" t="str">
            <v>Sara</v>
          </cell>
        </row>
        <row r="9">
          <cell r="A9" t="str">
            <v>Accenture_IO</v>
          </cell>
          <cell r="B9" t="str">
            <v>Akshata nayak</v>
          </cell>
          <cell r="D9" t="str">
            <v>Sara</v>
          </cell>
        </row>
        <row r="10">
          <cell r="A10" t="str">
            <v>Accenture-voice</v>
          </cell>
          <cell r="B10" t="str">
            <v>Jawad Ulla Khan Non IT</v>
          </cell>
          <cell r="D10" t="str">
            <v>Samrita /Sree Swetha</v>
          </cell>
        </row>
        <row r="11">
          <cell r="A11" t="str">
            <v>ACWA Power</v>
          </cell>
          <cell r="B11" t="str">
            <v>Sadhna Shukla</v>
          </cell>
          <cell r="D11" t="str">
            <v>Meenu Amit Kumar</v>
          </cell>
        </row>
        <row r="12">
          <cell r="A12" t="str">
            <v>Adobe</v>
          </cell>
          <cell r="B12" t="str">
            <v>Sadhna Shukla</v>
          </cell>
          <cell r="D12" t="str">
            <v>Meenu Amit Kumar</v>
          </cell>
        </row>
        <row r="13">
          <cell r="A13" t="str">
            <v>Airbus</v>
          </cell>
          <cell r="B13" t="str">
            <v>Mher</v>
          </cell>
          <cell r="D13" t="str">
            <v>Shobha Mishra</v>
          </cell>
        </row>
        <row r="14">
          <cell r="A14" t="str">
            <v>Alliance Data</v>
          </cell>
          <cell r="B14" t="str">
            <v>Sadhna Shukla</v>
          </cell>
          <cell r="D14" t="str">
            <v>Shobha Mishra</v>
          </cell>
        </row>
        <row r="15">
          <cell r="A15" t="str">
            <v>Allstate</v>
          </cell>
          <cell r="B15" t="str">
            <v>Deepak Desai</v>
          </cell>
          <cell r="D15" t="str">
            <v>Meenu Amit Kumar</v>
          </cell>
        </row>
        <row r="16">
          <cell r="A16" t="str">
            <v>Amadeus Software</v>
          </cell>
          <cell r="B16" t="str">
            <v>Jawad Ulla Khan Non IT</v>
          </cell>
          <cell r="D16" t="str">
            <v>Sara</v>
          </cell>
        </row>
        <row r="17">
          <cell r="A17" t="str">
            <v>Amazon</v>
          </cell>
          <cell r="B17" t="str">
            <v>Mher</v>
          </cell>
          <cell r="D17" t="str">
            <v>Shobha Mishra</v>
          </cell>
        </row>
        <row r="18">
          <cell r="A18" t="str">
            <v>Analog Devices</v>
          </cell>
          <cell r="B18" t="str">
            <v>Mher</v>
          </cell>
          <cell r="D18" t="str">
            <v>Shobha Mishra</v>
          </cell>
        </row>
        <row r="19">
          <cell r="A19" t="str">
            <v>ANZ</v>
          </cell>
          <cell r="B19" t="str">
            <v>Anuradha Murthy</v>
          </cell>
          <cell r="D19" t="str">
            <v>Sultana M</v>
          </cell>
        </row>
        <row r="20">
          <cell r="A20" t="str">
            <v>ANZ OPS</v>
          </cell>
          <cell r="B20" t="str">
            <v>Anuradha Murthy Non IT</v>
          </cell>
          <cell r="D20" t="str">
            <v>Sultana M</v>
          </cell>
        </row>
        <row r="21">
          <cell r="A21" t="str">
            <v>Aspire Consulting</v>
          </cell>
          <cell r="B21" t="str">
            <v>Sadhna Shukla</v>
          </cell>
          <cell r="D21" t="str">
            <v>Meenu Amit Kumar</v>
          </cell>
        </row>
        <row r="22">
          <cell r="A22" t="str">
            <v>Atkins</v>
          </cell>
          <cell r="B22" t="str">
            <v>Anuradha Murthy</v>
          </cell>
          <cell r="D22" t="str">
            <v>Sultana M</v>
          </cell>
        </row>
        <row r="23">
          <cell r="A23" t="str">
            <v>Axa Technologies Pvt Ltd</v>
          </cell>
          <cell r="B23" t="str">
            <v>Deepak Desai</v>
          </cell>
          <cell r="D23" t="str">
            <v>Meenu Amit Kumar</v>
          </cell>
        </row>
        <row r="24">
          <cell r="A24" t="str">
            <v>Bharat Forge</v>
          </cell>
          <cell r="B24" t="str">
            <v>Deepak Desai</v>
          </cell>
          <cell r="D24" t="str">
            <v>Sara</v>
          </cell>
        </row>
        <row r="25">
          <cell r="A25" t="str">
            <v>BOSCH_COE</v>
          </cell>
          <cell r="B25" t="str">
            <v>Deepak Desai</v>
          </cell>
          <cell r="D25" t="str">
            <v>Sultana M</v>
          </cell>
        </row>
        <row r="26">
          <cell r="A26" t="str">
            <v>Boston Scientific</v>
          </cell>
          <cell r="B26" t="str">
            <v>Sadhna Shukla</v>
          </cell>
          <cell r="D26" t="str">
            <v>Suman Singh</v>
          </cell>
        </row>
        <row r="27">
          <cell r="A27" t="str">
            <v>Bread Financials_Support</v>
          </cell>
          <cell r="B27" t="str">
            <v>Sadhna Shukla</v>
          </cell>
          <cell r="D27" t="str">
            <v>Suman Singh</v>
          </cell>
        </row>
        <row r="28">
          <cell r="A28" t="str">
            <v>Brillio</v>
          </cell>
          <cell r="B28" t="str">
            <v>Mher</v>
          </cell>
          <cell r="D28" t="str">
            <v>Meenu Amit Kumar</v>
          </cell>
        </row>
        <row r="29">
          <cell r="A29" t="str">
            <v>BSH</v>
          </cell>
          <cell r="B29" t="str">
            <v>Deepak Desai</v>
          </cell>
          <cell r="D29" t="str">
            <v>Sultana M</v>
          </cell>
        </row>
        <row r="30">
          <cell r="A30" t="str">
            <v xml:space="preserve">Capgemini DSS </v>
          </cell>
          <cell r="B30" t="str">
            <v>Deepak Desai</v>
          </cell>
          <cell r="D30" t="str">
            <v>Sara</v>
          </cell>
        </row>
        <row r="31">
          <cell r="A31" t="str">
            <v>Capgemini Infra</v>
          </cell>
          <cell r="B31" t="str">
            <v>Deepak Desai</v>
          </cell>
          <cell r="D31" t="str">
            <v>Sara</v>
          </cell>
        </row>
        <row r="32">
          <cell r="A32" t="str">
            <v>Capgemini LBS</v>
          </cell>
          <cell r="B32" t="str">
            <v>Deepak Desai</v>
          </cell>
          <cell r="D32" t="str">
            <v>Sara</v>
          </cell>
        </row>
        <row r="33">
          <cell r="A33" t="str">
            <v>Capgemini_FC</v>
          </cell>
          <cell r="B33" t="str">
            <v>Deepak Desai</v>
          </cell>
          <cell r="D33" t="str">
            <v>Sara</v>
          </cell>
        </row>
        <row r="34">
          <cell r="A34" t="str">
            <v>Capgemini_TG</v>
          </cell>
          <cell r="B34" t="str">
            <v>Deepak Desai</v>
          </cell>
          <cell r="D34" t="str">
            <v>Sara</v>
          </cell>
        </row>
        <row r="35">
          <cell r="A35" t="str">
            <v>Capgemini-Bangalore</v>
          </cell>
          <cell r="B35" t="str">
            <v>Deepak Desai</v>
          </cell>
          <cell r="D35" t="str">
            <v>Sara</v>
          </cell>
        </row>
        <row r="36">
          <cell r="A36" t="str">
            <v>Carrier technologies India limited</v>
          </cell>
          <cell r="B36" t="str">
            <v>Deepak Desai</v>
          </cell>
          <cell r="D36" t="str">
            <v>Meenu Amit Kumar</v>
          </cell>
        </row>
        <row r="37">
          <cell r="A37" t="str">
            <v>Cred</v>
          </cell>
          <cell r="B37" t="str">
            <v>Sadhna Shukla</v>
          </cell>
          <cell r="D37" t="str">
            <v>Shobha Mishra</v>
          </cell>
        </row>
        <row r="38">
          <cell r="A38" t="str">
            <v>CenturyLink Technologies India Pvt.Ltd</v>
          </cell>
          <cell r="B38" t="str">
            <v>Anuradha Murthy</v>
          </cell>
          <cell r="D38" t="str">
            <v>Sultana M</v>
          </cell>
        </row>
        <row r="39">
          <cell r="A39" t="str">
            <v>CH Robinson</v>
          </cell>
          <cell r="B39" t="str">
            <v>Anuradha Murthy</v>
          </cell>
          <cell r="D39" t="str">
            <v>Meenu Amit Kumar</v>
          </cell>
        </row>
        <row r="40">
          <cell r="A40" t="str">
            <v>Citrix</v>
          </cell>
          <cell r="B40" t="str">
            <v>Sadhna Shukla</v>
          </cell>
          <cell r="D40" t="str">
            <v>Meenu Amit Kumar</v>
          </cell>
        </row>
        <row r="41">
          <cell r="A41" t="str">
            <v>Cleartrip</v>
          </cell>
          <cell r="B41" t="str">
            <v>Mher</v>
          </cell>
          <cell r="D41" t="str">
            <v>Meenu Amit Kumar</v>
          </cell>
        </row>
        <row r="42">
          <cell r="A42" t="str">
            <v>CME</v>
          </cell>
          <cell r="B42" t="str">
            <v>Anuradha Murthy</v>
          </cell>
          <cell r="D42" t="str">
            <v>Sultana M</v>
          </cell>
        </row>
        <row r="43">
          <cell r="A43" t="str">
            <v>CME_C2H</v>
          </cell>
          <cell r="B43" t="str">
            <v>Anuradha Murthy</v>
          </cell>
          <cell r="D43" t="str">
            <v>Sultana M</v>
          </cell>
        </row>
        <row r="44">
          <cell r="A44" t="str">
            <v>Cognizant</v>
          </cell>
          <cell r="B44" t="str">
            <v>Prathap Sagar</v>
          </cell>
          <cell r="D44" t="str">
            <v>Sara</v>
          </cell>
        </row>
        <row r="45">
          <cell r="A45" t="str">
            <v>Consilio</v>
          </cell>
          <cell r="B45" t="str">
            <v>Anuradha Murthy</v>
          </cell>
          <cell r="D45" t="str">
            <v>Sultana M</v>
          </cell>
        </row>
        <row r="46">
          <cell r="A46" t="str">
            <v>Coupang</v>
          </cell>
          <cell r="B46" t="str">
            <v>Mher</v>
          </cell>
          <cell r="D46" t="str">
            <v>Shobha Mishra</v>
          </cell>
        </row>
        <row r="47">
          <cell r="A47" t="str">
            <v xml:space="preserve">Datacomp Webtech Technologies </v>
          </cell>
          <cell r="B47" t="str">
            <v>Anuradha Murthy</v>
          </cell>
          <cell r="D47" t="str">
            <v>Sultana M</v>
          </cell>
        </row>
        <row r="48">
          <cell r="A48" t="str">
            <v>DataFlow Group</v>
          </cell>
          <cell r="B48" t="str">
            <v>Others</v>
          </cell>
          <cell r="D48" t="str">
            <v>Meenu Amit Kumar</v>
          </cell>
        </row>
        <row r="49">
          <cell r="A49" t="str">
            <v>DBS bank</v>
          </cell>
          <cell r="B49" t="str">
            <v>Anuradha Murthy</v>
          </cell>
          <cell r="D49" t="str">
            <v>Sultana M</v>
          </cell>
        </row>
        <row r="50">
          <cell r="A50" t="str">
            <v>DE Shaw &amp; Co</v>
          </cell>
          <cell r="B50" t="str">
            <v>Deepak Desai</v>
          </cell>
          <cell r="D50" t="str">
            <v>Sara</v>
          </cell>
        </row>
        <row r="51">
          <cell r="A51" t="str">
            <v>Decathlon</v>
          </cell>
          <cell r="B51" t="str">
            <v>Deepak Desai</v>
          </cell>
          <cell r="D51" t="str">
            <v>Sara</v>
          </cell>
        </row>
        <row r="52">
          <cell r="A52" t="str">
            <v>Deloitte</v>
          </cell>
          <cell r="B52" t="str">
            <v>Deepak Desai</v>
          </cell>
          <cell r="D52" t="str">
            <v>sara</v>
          </cell>
        </row>
        <row r="53">
          <cell r="A53" t="str">
            <v>Deloitte - Advisory</v>
          </cell>
          <cell r="B53" t="str">
            <v>Deepak Desai</v>
          </cell>
          <cell r="D53" t="str">
            <v>Ravipalli Naresh Kumar</v>
          </cell>
        </row>
        <row r="54">
          <cell r="A54" t="str">
            <v>Deloitte Bangalore</v>
          </cell>
          <cell r="B54" t="str">
            <v>Deepak Desai</v>
          </cell>
          <cell r="D54" t="str">
            <v>sara</v>
          </cell>
        </row>
        <row r="55">
          <cell r="A55" t="str">
            <v>Deloitte Contract</v>
          </cell>
          <cell r="B55" t="str">
            <v>Deepak Desai</v>
          </cell>
          <cell r="D55" t="str">
            <v>sara</v>
          </cell>
        </row>
        <row r="56">
          <cell r="A56" t="str">
            <v>Deloitte Falcons</v>
          </cell>
          <cell r="B56" t="str">
            <v>Deepak Desai</v>
          </cell>
          <cell r="D56" t="str">
            <v>sara</v>
          </cell>
        </row>
        <row r="57">
          <cell r="A57" t="str">
            <v>Deloitte India</v>
          </cell>
          <cell r="B57" t="str">
            <v>Deepak Desai</v>
          </cell>
          <cell r="D57" t="str">
            <v>sara</v>
          </cell>
        </row>
        <row r="58">
          <cell r="A58" t="str">
            <v>Deloitte_Consulting</v>
          </cell>
          <cell r="B58" t="str">
            <v>Mher</v>
          </cell>
          <cell r="D58" t="str">
            <v>Ravipalli Naresh Kumar</v>
          </cell>
        </row>
        <row r="59">
          <cell r="A59" t="str">
            <v>Deloitte_HTD</v>
          </cell>
          <cell r="B59" t="str">
            <v>Deepak Desai</v>
          </cell>
          <cell r="D59" t="str">
            <v>Ravipalli Naresh Kumar</v>
          </cell>
        </row>
        <row r="60">
          <cell r="A60" t="str">
            <v xml:space="preserve">Deloitte_Support </v>
          </cell>
          <cell r="B60" t="str">
            <v>Deepak Desai</v>
          </cell>
          <cell r="D60" t="str">
            <v>sara</v>
          </cell>
        </row>
        <row r="61">
          <cell r="A61" t="str">
            <v>Deloitte-One Tech</v>
          </cell>
          <cell r="B61" t="str">
            <v>Deepak Desai</v>
          </cell>
          <cell r="D61" t="str">
            <v>Ravipalli Naresh Kumar</v>
          </cell>
        </row>
        <row r="62">
          <cell r="A62" t="str">
            <v>Dentsu</v>
          </cell>
          <cell r="B62" t="str">
            <v>Deepak Desai</v>
          </cell>
          <cell r="D62" t="str">
            <v>Meenu Amit Kumar</v>
          </cell>
        </row>
        <row r="63">
          <cell r="A63" t="str">
            <v>Diebold Nixdorf</v>
          </cell>
          <cell r="B63" t="str">
            <v>Deepak Desai</v>
          </cell>
          <cell r="D63" t="str">
            <v>Sara</v>
          </cell>
        </row>
        <row r="64">
          <cell r="A64" t="str">
            <v>DLT Labs Technologies</v>
          </cell>
          <cell r="B64" t="str">
            <v>Sadhna Shukla</v>
          </cell>
          <cell r="D64" t="str">
            <v>Meenu Amit Kumar</v>
          </cell>
        </row>
        <row r="65">
          <cell r="A65" t="str">
            <v>DTICI</v>
          </cell>
          <cell r="B65" t="str">
            <v>Deepak Desai</v>
          </cell>
          <cell r="D65" t="str">
            <v>Sultana M</v>
          </cell>
        </row>
        <row r="66">
          <cell r="A66" t="str">
            <v>DXC</v>
          </cell>
          <cell r="B66" t="str">
            <v>Deepak Desai</v>
          </cell>
          <cell r="D66" t="str">
            <v>sara</v>
          </cell>
        </row>
        <row r="67">
          <cell r="A67" t="str">
            <v>DXC-IT</v>
          </cell>
          <cell r="B67" t="str">
            <v>Deepak Desai</v>
          </cell>
          <cell r="D67" t="str">
            <v>sara</v>
          </cell>
        </row>
        <row r="68">
          <cell r="A68" t="str">
            <v>DXC-voice</v>
          </cell>
          <cell r="B68" t="str">
            <v>None</v>
          </cell>
          <cell r="D68" t="str">
            <v>sara</v>
          </cell>
        </row>
        <row r="69">
          <cell r="A69" t="str">
            <v>Ecolabs</v>
          </cell>
          <cell r="B69" t="str">
            <v>Sadhna Shukla</v>
          </cell>
        </row>
        <row r="70">
          <cell r="A70" t="str">
            <v>Ellucian</v>
          </cell>
          <cell r="B70" t="str">
            <v>Anuradha Murthy</v>
          </cell>
          <cell r="D70" t="str">
            <v>Meenu Amit Kumar</v>
          </cell>
        </row>
        <row r="71">
          <cell r="A71" t="str">
            <v>EY</v>
          </cell>
          <cell r="B71" t="str">
            <v>Deepak Desai</v>
          </cell>
          <cell r="D71" t="str">
            <v>Sultana M</v>
          </cell>
        </row>
        <row r="72">
          <cell r="A72" t="str">
            <v>EY payroll</v>
          </cell>
          <cell r="B72" t="str">
            <v>None</v>
          </cell>
          <cell r="D72" t="str">
            <v>Sultana M</v>
          </cell>
        </row>
        <row r="73">
          <cell r="A73" t="str">
            <v>EY_Support</v>
          </cell>
          <cell r="B73" t="e">
            <v>#N/A</v>
          </cell>
          <cell r="D73" t="str">
            <v>Sultana M</v>
          </cell>
        </row>
        <row r="74">
          <cell r="A74" t="str">
            <v>EY-GDS</v>
          </cell>
          <cell r="B74" t="str">
            <v>Deepak Desai</v>
          </cell>
          <cell r="D74" t="str">
            <v>Sultana M</v>
          </cell>
        </row>
        <row r="75">
          <cell r="A75" t="str">
            <v>EY-IT</v>
          </cell>
          <cell r="B75" t="str">
            <v>Deepak Desai</v>
          </cell>
          <cell r="D75" t="str">
            <v>Sultana M</v>
          </cell>
        </row>
        <row r="76">
          <cell r="A76" t="str">
            <v>fintellix</v>
          </cell>
          <cell r="B76" t="str">
            <v>Anuradha Murthy</v>
          </cell>
          <cell r="D76" t="str">
            <v>Sultana M</v>
          </cell>
        </row>
        <row r="77">
          <cell r="A77" t="str">
            <v>Flipkart</v>
          </cell>
          <cell r="B77" t="str">
            <v>Mher Non IT</v>
          </cell>
          <cell r="D77" t="str">
            <v>Ashik</v>
          </cell>
        </row>
        <row r="78">
          <cell r="A78" t="str">
            <v>Fluence Energy</v>
          </cell>
          <cell r="B78" t="str">
            <v>Deepak Desai</v>
          </cell>
          <cell r="D78" t="str">
            <v>Sara</v>
          </cell>
        </row>
        <row r="79">
          <cell r="A79" t="str">
            <v>FLUENCE ENERGY - PAYROLL</v>
          </cell>
          <cell r="B79" t="str">
            <v>Deepak Desai Non IT</v>
          </cell>
          <cell r="D79" t="str">
            <v>Sara</v>
          </cell>
        </row>
        <row r="80">
          <cell r="A80" t="str">
            <v>GE Global sourcing india pvt</v>
          </cell>
          <cell r="B80" t="str">
            <v>Mher</v>
          </cell>
          <cell r="D80" t="str">
            <v>Meenu Amit Kumar</v>
          </cell>
        </row>
        <row r="81">
          <cell r="A81" t="str">
            <v>GE Healthcare Global Private Limited.</v>
          </cell>
          <cell r="B81" t="str">
            <v>Mher</v>
          </cell>
          <cell r="D81" t="str">
            <v>Meenu Amit Kumar</v>
          </cell>
        </row>
        <row r="82">
          <cell r="A82" t="str">
            <v>Genpact</v>
          </cell>
          <cell r="B82" t="str">
            <v>Deepak Desai</v>
          </cell>
          <cell r="D82" t="str">
            <v>Meenu Amit Kumar</v>
          </cell>
        </row>
        <row r="83">
          <cell r="A83" t="str">
            <v>Genpact_Hyd</v>
          </cell>
          <cell r="B83" t="e">
            <v>#N/A</v>
          </cell>
          <cell r="D83" t="str">
            <v>Meenu Amit Kumar</v>
          </cell>
        </row>
        <row r="84">
          <cell r="A84" t="str">
            <v>Google</v>
          </cell>
          <cell r="B84" t="str">
            <v>Mher</v>
          </cell>
          <cell r="D84" t="str">
            <v>Shobha Mishra</v>
          </cell>
        </row>
        <row r="85">
          <cell r="A85" t="str">
            <v>Grant Thornton</v>
          </cell>
          <cell r="B85" t="str">
            <v>Deepak Desai</v>
          </cell>
          <cell r="D85" t="str">
            <v>Sultana M</v>
          </cell>
        </row>
        <row r="86">
          <cell r="A86" t="str">
            <v>Grant Thornton LLP</v>
          </cell>
          <cell r="B86" t="str">
            <v>Anuradha Murthy</v>
          </cell>
          <cell r="D86" t="str">
            <v>Meenu Amit Kumar</v>
          </cell>
        </row>
        <row r="87">
          <cell r="A87" t="str">
            <v>Grant Thornton payroll</v>
          </cell>
          <cell r="B87" t="str">
            <v>Anuradha Murthy Non IT</v>
          </cell>
          <cell r="D87" t="str">
            <v>Sultana M</v>
          </cell>
        </row>
        <row r="88">
          <cell r="A88" t="str">
            <v>Groupon Shared Services Private Limited</v>
          </cell>
          <cell r="B88" t="str">
            <v>Sadhna Shukla</v>
          </cell>
          <cell r="D88" t="str">
            <v>Meenu Amit Kumar</v>
          </cell>
        </row>
        <row r="89">
          <cell r="A89" t="str">
            <v>H&amp;R Block</v>
          </cell>
          <cell r="B89" t="str">
            <v>Anuradha Murthy</v>
          </cell>
          <cell r="D89" t="str">
            <v>Sultana M</v>
          </cell>
        </row>
        <row r="90">
          <cell r="A90" t="str">
            <v>Harman</v>
          </cell>
          <cell r="B90" t="str">
            <v>Deepak Desai</v>
          </cell>
          <cell r="D90" t="str">
            <v>Sultana M</v>
          </cell>
        </row>
        <row r="91">
          <cell r="A91" t="str">
            <v>Harman Non IT</v>
          </cell>
          <cell r="B91" t="str">
            <v>Deepak Desai Non IT</v>
          </cell>
          <cell r="D91" t="str">
            <v>Sultana M</v>
          </cell>
        </row>
        <row r="92">
          <cell r="A92" t="str">
            <v>Harman_Bangalore</v>
          </cell>
          <cell r="B92" t="str">
            <v>Deepak Desai Non IT</v>
          </cell>
          <cell r="D92" t="str">
            <v>Sultana M</v>
          </cell>
        </row>
        <row r="93">
          <cell r="A93" t="str">
            <v>Harman_Payroll</v>
          </cell>
          <cell r="B93" t="str">
            <v>Deepak Desai Non IT</v>
          </cell>
          <cell r="D93" t="str">
            <v>Sultana M</v>
          </cell>
        </row>
        <row r="94">
          <cell r="A94" t="str">
            <v>hashout technologies</v>
          </cell>
          <cell r="B94" t="str">
            <v>Sadhna Shukla</v>
          </cell>
          <cell r="D94" t="str">
            <v>Meenu Amit Kumar</v>
          </cell>
        </row>
        <row r="95">
          <cell r="A95" t="str">
            <v>Hinge Health</v>
          </cell>
          <cell r="B95" t="str">
            <v>Mher</v>
          </cell>
          <cell r="D95" t="str">
            <v>Shobha Mishra</v>
          </cell>
        </row>
        <row r="96">
          <cell r="A96" t="str">
            <v>HP</v>
          </cell>
          <cell r="B96" t="str">
            <v>Jawad Ulla Khan Non IT</v>
          </cell>
          <cell r="D96" t="str">
            <v>Lavanya</v>
          </cell>
        </row>
        <row r="97">
          <cell r="A97" t="str">
            <v>HP deepchandra</v>
          </cell>
          <cell r="B97" t="str">
            <v>Jawad Ulla Khan Non IT</v>
          </cell>
          <cell r="D97" t="str">
            <v>Lavanya</v>
          </cell>
        </row>
        <row r="98">
          <cell r="A98" t="str">
            <v xml:space="preserve">HP- drubhajoythi </v>
          </cell>
          <cell r="B98" t="str">
            <v>Jawad Ulla Khan Non IT</v>
          </cell>
          <cell r="D98" t="str">
            <v>Lavanya</v>
          </cell>
        </row>
        <row r="99">
          <cell r="A99" t="str">
            <v>HP Moin</v>
          </cell>
          <cell r="B99" t="e">
            <v>#N/A</v>
          </cell>
          <cell r="D99" t="str">
            <v>Lavanya</v>
          </cell>
        </row>
        <row r="100">
          <cell r="A100" t="str">
            <v>HP Sales</v>
          </cell>
          <cell r="B100" t="str">
            <v>Jawad Ulla Khan Non IT</v>
          </cell>
          <cell r="D100" t="str">
            <v>Lavanya</v>
          </cell>
        </row>
        <row r="101">
          <cell r="A101" t="str">
            <v>HP Sales Payroll</v>
          </cell>
          <cell r="B101" t="e">
            <v>#N/A</v>
          </cell>
          <cell r="D101" t="str">
            <v>Lavanya</v>
          </cell>
        </row>
        <row r="102">
          <cell r="A102" t="str">
            <v xml:space="preserve">HP srijith </v>
          </cell>
          <cell r="B102" t="str">
            <v>Jawad Ulla Khan Non IT</v>
          </cell>
          <cell r="D102" t="str">
            <v>Lavanya</v>
          </cell>
        </row>
        <row r="103">
          <cell r="A103" t="str">
            <v>HP_Subramanya</v>
          </cell>
          <cell r="B103" t="str">
            <v>Jawad Ulla Khan Non IT</v>
          </cell>
          <cell r="D103" t="str">
            <v>Lavanya</v>
          </cell>
        </row>
        <row r="104">
          <cell r="A104" t="str">
            <v>HP-CHAYA</v>
          </cell>
          <cell r="B104" t="e">
            <v>#N/A</v>
          </cell>
          <cell r="D104" t="str">
            <v>Lavanya</v>
          </cell>
        </row>
        <row r="105">
          <cell r="A105" t="str">
            <v xml:space="preserve">HP-samarjith </v>
          </cell>
          <cell r="B105" t="e">
            <v>#N/A</v>
          </cell>
          <cell r="D105" t="str">
            <v>Lavanya</v>
          </cell>
        </row>
        <row r="106">
          <cell r="A106" t="str">
            <v xml:space="preserve">HP-samerndra </v>
          </cell>
          <cell r="B106" t="str">
            <v>Jawad Ulla Khan Non IT</v>
          </cell>
          <cell r="D106" t="str">
            <v>Lavanya</v>
          </cell>
        </row>
        <row r="107">
          <cell r="A107" t="str">
            <v>IBM -Mercedes</v>
          </cell>
          <cell r="B107" t="str">
            <v>Deepak Desai</v>
          </cell>
          <cell r="D107" t="str">
            <v>Sultana M</v>
          </cell>
        </row>
        <row r="108">
          <cell r="A108" t="str">
            <v>IBM- PAN India</v>
          </cell>
          <cell r="B108" t="str">
            <v>Deepak Desai</v>
          </cell>
          <cell r="D108" t="str">
            <v>Sultana M</v>
          </cell>
        </row>
        <row r="109">
          <cell r="A109" t="str">
            <v>IBM-Strategic</v>
          </cell>
          <cell r="B109" t="str">
            <v>Deepak Desai</v>
          </cell>
          <cell r="D109" t="str">
            <v>Sultana M</v>
          </cell>
        </row>
        <row r="110">
          <cell r="A110" t="str">
            <v>Infinx_Champ</v>
          </cell>
          <cell r="B110" t="str">
            <v>Deepak Desai</v>
          </cell>
          <cell r="D110" t="str">
            <v>Sultana M</v>
          </cell>
        </row>
        <row r="111">
          <cell r="A111" t="str">
            <v xml:space="preserve">Infosys </v>
          </cell>
          <cell r="B111" t="str">
            <v>Prathap Sagar</v>
          </cell>
          <cell r="D111" t="str">
            <v>Sara</v>
          </cell>
        </row>
        <row r="112">
          <cell r="A112" t="str">
            <v>Infosys 3</v>
          </cell>
          <cell r="B112" t="str">
            <v>Prathap Sagar</v>
          </cell>
          <cell r="D112" t="str">
            <v>Sara</v>
          </cell>
        </row>
        <row r="113">
          <cell r="A113" t="str">
            <v>Infosys ADM</v>
          </cell>
          <cell r="B113" t="str">
            <v>Prathap Sagar</v>
          </cell>
          <cell r="D113" t="str">
            <v>Sara</v>
          </cell>
        </row>
        <row r="114">
          <cell r="A114" t="str">
            <v>Infosys ADM</v>
          </cell>
          <cell r="B114" t="str">
            <v>Prathap Sagar</v>
          </cell>
          <cell r="D114" t="str">
            <v>Sara</v>
          </cell>
        </row>
        <row r="115">
          <cell r="A115" t="str">
            <v>Infosys CIS</v>
          </cell>
          <cell r="B115" t="str">
            <v>Prathap Sagar</v>
          </cell>
          <cell r="D115" t="str">
            <v>Sara</v>
          </cell>
        </row>
        <row r="116">
          <cell r="A116" t="str">
            <v>Infosys Consulting</v>
          </cell>
          <cell r="B116" t="str">
            <v>Prathap Sagar</v>
          </cell>
          <cell r="D116" t="str">
            <v>Sara</v>
          </cell>
        </row>
        <row r="117">
          <cell r="A117" t="str">
            <v>Infosys IVS</v>
          </cell>
          <cell r="B117" t="str">
            <v>Prathap Sagar</v>
          </cell>
          <cell r="D117" t="str">
            <v>Sara</v>
          </cell>
        </row>
        <row r="118">
          <cell r="A118" t="str">
            <v>Infosys Limited-BPM</v>
          </cell>
          <cell r="B118" t="str">
            <v>Prathap Sagar</v>
          </cell>
          <cell r="D118" t="str">
            <v>Sara</v>
          </cell>
        </row>
        <row r="119">
          <cell r="A119" t="str">
            <v>Infosys Oracle</v>
          </cell>
          <cell r="B119" t="str">
            <v>Prathap Sagar</v>
          </cell>
          <cell r="D119" t="str">
            <v>Sara</v>
          </cell>
        </row>
        <row r="120">
          <cell r="A120" t="str">
            <v>Infosys SAP</v>
          </cell>
          <cell r="B120" t="str">
            <v>Prathap Sagar</v>
          </cell>
          <cell r="D120" t="str">
            <v>Sara</v>
          </cell>
        </row>
        <row r="121">
          <cell r="A121" t="str">
            <v>Infosys_4</v>
          </cell>
          <cell r="B121" t="str">
            <v>Prathap Sagar</v>
          </cell>
          <cell r="D121" t="str">
            <v>Sara</v>
          </cell>
        </row>
        <row r="122">
          <cell r="A122" t="str">
            <v>Infosys_COE</v>
          </cell>
          <cell r="B122" t="str">
            <v>Prathap Sagar</v>
          </cell>
          <cell r="D122" t="str">
            <v>Sara</v>
          </cell>
        </row>
        <row r="123">
          <cell r="A123" t="str">
            <v>Infosys_DNA</v>
          </cell>
          <cell r="B123" t="str">
            <v>Prathap Sagar</v>
          </cell>
          <cell r="D123" t="str">
            <v>Sara</v>
          </cell>
        </row>
        <row r="124">
          <cell r="A124" t="str">
            <v>Infosys_DX</v>
          </cell>
          <cell r="B124" t="str">
            <v>Prathap Sagar</v>
          </cell>
          <cell r="D124" t="str">
            <v>Sara</v>
          </cell>
        </row>
        <row r="125">
          <cell r="A125" t="str">
            <v>Infosys-FTE</v>
          </cell>
          <cell r="B125" t="str">
            <v>Prathap Sagar</v>
          </cell>
          <cell r="D125" t="str">
            <v>Sara</v>
          </cell>
        </row>
        <row r="126">
          <cell r="A126" t="str">
            <v>Infosys-FTE</v>
          </cell>
          <cell r="B126" t="str">
            <v>Prathap Sagar</v>
          </cell>
          <cell r="D126" t="str">
            <v>Sara</v>
          </cell>
        </row>
        <row r="127">
          <cell r="A127" t="str">
            <v>Infosys-India Pvt Ltd</v>
          </cell>
          <cell r="B127" t="str">
            <v>Prathap Sagar</v>
          </cell>
          <cell r="D127" t="str">
            <v>Sara</v>
          </cell>
        </row>
        <row r="128">
          <cell r="A128" t="str">
            <v>Infosys-Microsoft</v>
          </cell>
          <cell r="B128" t="str">
            <v>Prathap Sagar</v>
          </cell>
          <cell r="D128" t="str">
            <v>Sara</v>
          </cell>
        </row>
        <row r="129">
          <cell r="A129" t="str">
            <v>INMobi</v>
          </cell>
          <cell r="B129" t="str">
            <v>Mher</v>
          </cell>
          <cell r="D129" t="str">
            <v>Meenu Amit Kumar</v>
          </cell>
        </row>
        <row r="130">
          <cell r="A130" t="str">
            <v>Intel</v>
          </cell>
          <cell r="B130" t="str">
            <v>Deepak Desai</v>
          </cell>
          <cell r="D130" t="str">
            <v>Meenu Amit Kumar</v>
          </cell>
        </row>
        <row r="131">
          <cell r="A131" t="str">
            <v>Ivy Comptech</v>
          </cell>
          <cell r="B131">
            <v>0</v>
          </cell>
          <cell r="D131" t="str">
            <v>Meenu Amit Kumar</v>
          </cell>
        </row>
        <row r="132">
          <cell r="A132" t="str">
            <v>JLL</v>
          </cell>
          <cell r="B132" t="str">
            <v>Anuradha Murthy</v>
          </cell>
          <cell r="D132" t="str">
            <v>Sultana M</v>
          </cell>
        </row>
        <row r="133">
          <cell r="A133" t="str">
            <v>Johnson Electric</v>
          </cell>
          <cell r="B133" t="str">
            <v>Sadhna Shukla</v>
          </cell>
          <cell r="D133" t="str">
            <v>Shobha Mishra</v>
          </cell>
        </row>
        <row r="134">
          <cell r="A134" t="str">
            <v>JPL_Rimini Street</v>
          </cell>
          <cell r="B134" t="e">
            <v>#N/A</v>
          </cell>
          <cell r="D134" t="str">
            <v>Meenu Amit Kumar</v>
          </cell>
        </row>
        <row r="135">
          <cell r="A135" t="str">
            <v>Kennametal IT</v>
          </cell>
          <cell r="B135" t="str">
            <v>Deepak Desai</v>
          </cell>
          <cell r="D135" t="str">
            <v>Lavanya</v>
          </cell>
        </row>
        <row r="136">
          <cell r="A136" t="str">
            <v>Kennametal shared services</v>
          </cell>
          <cell r="B136" t="str">
            <v>Deepak Desai Non IT</v>
          </cell>
          <cell r="D136" t="str">
            <v>Lavanya</v>
          </cell>
        </row>
        <row r="137">
          <cell r="A137" t="str">
            <v>KMART</v>
          </cell>
          <cell r="B137" t="str">
            <v>Jawad Ulla Khan Non IT</v>
          </cell>
          <cell r="D137" t="str">
            <v>Meenu Amit Kumar</v>
          </cell>
        </row>
        <row r="138">
          <cell r="A138" t="str">
            <v>Koch Industries</v>
          </cell>
          <cell r="B138" t="str">
            <v>Anuradha Murthy</v>
          </cell>
          <cell r="D138" t="str">
            <v>Sultana M</v>
          </cell>
        </row>
        <row r="139">
          <cell r="A139" t="str">
            <v>KOCH_COE</v>
          </cell>
          <cell r="B139" t="str">
            <v>Deepak Desai</v>
          </cell>
          <cell r="D139" t="str">
            <v>Sultana M</v>
          </cell>
        </row>
        <row r="140">
          <cell r="A140" t="str">
            <v>kyndryl</v>
          </cell>
          <cell r="B140" t="str">
            <v>Deepak Desai</v>
          </cell>
          <cell r="D140" t="str">
            <v>Sara</v>
          </cell>
        </row>
        <row r="141">
          <cell r="A141" t="str">
            <v>Lam Research</v>
          </cell>
          <cell r="B141" t="str">
            <v>Sadhna Shukla</v>
          </cell>
          <cell r="D141" t="str">
            <v>Shobha Mishra</v>
          </cell>
        </row>
        <row r="142">
          <cell r="A142" t="str">
            <v>Lenovo</v>
          </cell>
          <cell r="B142" t="str">
            <v>Jawad Ulla Khan Non IT</v>
          </cell>
          <cell r="D142" t="str">
            <v>Chandana TP/Yashashwini</v>
          </cell>
        </row>
        <row r="143">
          <cell r="A143" t="str">
            <v>Lenovo 2</v>
          </cell>
          <cell r="B143" t="str">
            <v>Jawad Ulla Khan Non IT</v>
          </cell>
          <cell r="D143" t="str">
            <v>Chandana TP/Yashashwini</v>
          </cell>
        </row>
        <row r="144">
          <cell r="A144" t="str">
            <v>Lowes</v>
          </cell>
          <cell r="B144" t="str">
            <v>Mher</v>
          </cell>
          <cell r="D144" t="str">
            <v>Shobha Mishra</v>
          </cell>
        </row>
        <row r="145">
          <cell r="A145" t="str">
            <v>Lumen</v>
          </cell>
          <cell r="B145" t="str">
            <v>Anuradha Murthy</v>
          </cell>
          <cell r="D145" t="str">
            <v>Sultana M</v>
          </cell>
        </row>
        <row r="146">
          <cell r="A146" t="str">
            <v xml:space="preserve">Lumen routing </v>
          </cell>
          <cell r="B146" t="str">
            <v>Anuradha Murthy Non IT</v>
          </cell>
          <cell r="D146" t="str">
            <v>Sultana M</v>
          </cell>
        </row>
        <row r="147">
          <cell r="A147" t="str">
            <v xml:space="preserve">Manipal Global </v>
          </cell>
          <cell r="B147" t="str">
            <v>Jawad Ulla Khan Non IT</v>
          </cell>
          <cell r="D147" t="str">
            <v>Meenu Amit Kumar</v>
          </cell>
        </row>
        <row r="148">
          <cell r="A148" t="str">
            <v>Medline</v>
          </cell>
          <cell r="B148" t="str">
            <v>Jawad Ulla Khan Non IT</v>
          </cell>
          <cell r="D148" t="str">
            <v>Sultana M</v>
          </cell>
        </row>
        <row r="149">
          <cell r="A149" t="str">
            <v>Medline Industries, LP</v>
          </cell>
          <cell r="B149" t="str">
            <v>Jawad Ulla Khan Non IT</v>
          </cell>
          <cell r="D149" t="str">
            <v>Sultana M</v>
          </cell>
        </row>
        <row r="150">
          <cell r="A150" t="str">
            <v>Meolaa</v>
          </cell>
          <cell r="B150" t="str">
            <v>Jawad Ulla Khan Non IT</v>
          </cell>
          <cell r="D150" t="str">
            <v>Sultana M</v>
          </cell>
        </row>
        <row r="151">
          <cell r="A151" t="str">
            <v>Mercedes benz</v>
          </cell>
          <cell r="B151" t="str">
            <v>Deepak Desai</v>
          </cell>
          <cell r="D151" t="str">
            <v>Sultana M</v>
          </cell>
        </row>
        <row r="152">
          <cell r="A152" t="str">
            <v>MercedesBenz-DTICI</v>
          </cell>
          <cell r="B152" t="str">
            <v>Deepak Desai</v>
          </cell>
          <cell r="D152" t="str">
            <v>Sultana M</v>
          </cell>
        </row>
        <row r="153">
          <cell r="A153" t="str">
            <v>Merittrac</v>
          </cell>
          <cell r="B153" t="e">
            <v>#N/A</v>
          </cell>
          <cell r="D153" t="str">
            <v>Meenu Amit Kumar</v>
          </cell>
        </row>
        <row r="154">
          <cell r="A154" t="str">
            <v>Merittrac</v>
          </cell>
          <cell r="B154" t="e">
            <v>#N/A</v>
          </cell>
          <cell r="D154" t="str">
            <v>Meenu Amit Kumar</v>
          </cell>
        </row>
        <row r="155">
          <cell r="A155" t="str">
            <v>Merittrac</v>
          </cell>
          <cell r="B155" t="e">
            <v>#N/A</v>
          </cell>
          <cell r="D155" t="str">
            <v>Meenu Amit Kumar</v>
          </cell>
        </row>
        <row r="156">
          <cell r="A156" t="str">
            <v>Monsanto</v>
          </cell>
          <cell r="B156" t="str">
            <v>Deepak Desai</v>
          </cell>
          <cell r="D156" t="str">
            <v>Sultana M</v>
          </cell>
        </row>
        <row r="157">
          <cell r="A157" t="str">
            <v>Monsanto (Bayer) - Payroll</v>
          </cell>
          <cell r="B157" t="str">
            <v>Deepak Desai Non IT</v>
          </cell>
          <cell r="D157" t="str">
            <v>Sultana M</v>
          </cell>
        </row>
        <row r="158">
          <cell r="A158" t="str">
            <v>Motherson</v>
          </cell>
          <cell r="B158" t="str">
            <v>Deepak Desai</v>
          </cell>
          <cell r="D158" t="str">
            <v>Meenu Amit Kumar</v>
          </cell>
        </row>
        <row r="159">
          <cell r="A159" t="str">
            <v>Motherson Group</v>
          </cell>
          <cell r="B159" t="str">
            <v>Deepak Desai</v>
          </cell>
          <cell r="D159" t="str">
            <v>Meenu Amit Kumar</v>
          </cell>
        </row>
        <row r="160">
          <cell r="A160" t="str">
            <v>Myntra</v>
          </cell>
          <cell r="B160" t="str">
            <v>Mher</v>
          </cell>
          <cell r="D160" t="str">
            <v>Sara</v>
          </cell>
        </row>
        <row r="161">
          <cell r="A161" t="str">
            <v>NCSI Technologies</v>
          </cell>
          <cell r="B161">
            <v>0</v>
          </cell>
          <cell r="D161" t="str">
            <v>Not Assigned</v>
          </cell>
        </row>
        <row r="162">
          <cell r="A162" t="str">
            <v>NetApp</v>
          </cell>
          <cell r="B162" t="str">
            <v>Sadhna Shukla</v>
          </cell>
          <cell r="D162" t="str">
            <v>Shobha Mishra</v>
          </cell>
        </row>
        <row r="163">
          <cell r="A163" t="str">
            <v>Nexteer Automotives</v>
          </cell>
          <cell r="B163" t="str">
            <v>Anuradha Murthy</v>
          </cell>
          <cell r="D163" t="str">
            <v>Sultana M</v>
          </cell>
        </row>
        <row r="164">
          <cell r="A164" t="str">
            <v>Ninja van</v>
          </cell>
          <cell r="B164" t="str">
            <v>Anuradha Murthy</v>
          </cell>
          <cell r="D164" t="str">
            <v>Sultana M</v>
          </cell>
        </row>
        <row r="165">
          <cell r="A165" t="str">
            <v>Northern Trust</v>
          </cell>
          <cell r="B165" t="str">
            <v>Anuradha Murthy</v>
          </cell>
          <cell r="D165" t="str">
            <v>Sultana M</v>
          </cell>
        </row>
        <row r="166">
          <cell r="A166" t="str">
            <v>NorthernTrust- Payroll</v>
          </cell>
          <cell r="B166" t="str">
            <v>Anuradha Murthy Non IT</v>
          </cell>
          <cell r="D166" t="str">
            <v>Sultana M</v>
          </cell>
        </row>
        <row r="167">
          <cell r="A167" t="str">
            <v>OSBI</v>
          </cell>
          <cell r="B167" t="str">
            <v>Anuradha Murthy</v>
          </cell>
          <cell r="D167" t="str">
            <v>Sultana M</v>
          </cell>
        </row>
        <row r="168">
          <cell r="A168" t="str">
            <v>OSBI_Payroll</v>
          </cell>
          <cell r="B168" t="str">
            <v>Anuradha Murthy Non IT</v>
          </cell>
          <cell r="D168" t="str">
            <v>Sultana M</v>
          </cell>
        </row>
        <row r="169">
          <cell r="A169" t="str">
            <v>OTIS</v>
          </cell>
          <cell r="B169" t="str">
            <v>Sadhna Shukla</v>
          </cell>
          <cell r="D169" t="str">
            <v>Shobha Mishra</v>
          </cell>
        </row>
        <row r="170">
          <cell r="A170" t="str">
            <v>PricewaterhouseCoopers</v>
          </cell>
          <cell r="B170" t="str">
            <v>Deepak Desai</v>
          </cell>
          <cell r="D170" t="str">
            <v>Sultana M</v>
          </cell>
        </row>
        <row r="171">
          <cell r="A171" t="str">
            <v>Pure Storage</v>
          </cell>
          <cell r="B171" t="str">
            <v>Mher</v>
          </cell>
          <cell r="D171" t="str">
            <v>Shobha Mishra</v>
          </cell>
        </row>
        <row r="172">
          <cell r="A172" t="str">
            <v>RealPage</v>
          </cell>
          <cell r="B172" t="str">
            <v>Deepak Desai Non IT</v>
          </cell>
          <cell r="D172" t="str">
            <v>Sara</v>
          </cell>
        </row>
        <row r="173">
          <cell r="A173" t="str">
            <v>RImini_Street</v>
          </cell>
          <cell r="B173" t="str">
            <v>Anuradha Murthy</v>
          </cell>
          <cell r="D173" t="str">
            <v>Sultana M</v>
          </cell>
        </row>
        <row r="174">
          <cell r="A174" t="str">
            <v>Rimini_Street_Perm</v>
          </cell>
          <cell r="B174" t="e">
            <v>#N/A</v>
          </cell>
          <cell r="D174" t="str">
            <v>Meenu Amit Kumar</v>
          </cell>
        </row>
        <row r="175">
          <cell r="A175" t="str">
            <v>RR Donnelley</v>
          </cell>
          <cell r="B175" t="str">
            <v>Anuradha Murthy</v>
          </cell>
          <cell r="D175" t="str">
            <v>Sara</v>
          </cell>
        </row>
        <row r="176">
          <cell r="A176" t="str">
            <v>Schneider Electric</v>
          </cell>
          <cell r="B176" t="str">
            <v>Sadhna Shukla</v>
          </cell>
          <cell r="D176" t="str">
            <v>Shobha Mishra</v>
          </cell>
        </row>
        <row r="177">
          <cell r="A177" t="str">
            <v xml:space="preserve">Sharp Software Development India </v>
          </cell>
          <cell r="B177" t="str">
            <v>Prathap Sagar</v>
          </cell>
          <cell r="D177" t="str">
            <v>Sara</v>
          </cell>
        </row>
        <row r="178">
          <cell r="A178" t="str">
            <v>Shell</v>
          </cell>
          <cell r="B178" t="str">
            <v>Mher</v>
          </cell>
          <cell r="D178" t="str">
            <v>Shobha Mishra</v>
          </cell>
        </row>
        <row r="179">
          <cell r="A179" t="str">
            <v xml:space="preserve">Soc gen Ops </v>
          </cell>
          <cell r="B179" t="str">
            <v>Anuradha Murthy Non IT</v>
          </cell>
          <cell r="D179" t="str">
            <v>Sultana M</v>
          </cell>
        </row>
        <row r="180">
          <cell r="A180" t="str">
            <v>Socgen</v>
          </cell>
          <cell r="B180" t="str">
            <v>Anuradha Murthy</v>
          </cell>
          <cell r="D180" t="str">
            <v>Sultana M</v>
          </cell>
        </row>
        <row r="181">
          <cell r="A181" t="str">
            <v>Societe Generale</v>
          </cell>
          <cell r="B181" t="str">
            <v>Anuradha Murthy</v>
          </cell>
          <cell r="D181" t="str">
            <v>Sultana M</v>
          </cell>
        </row>
        <row r="182">
          <cell r="A182" t="str">
            <v>Software One</v>
          </cell>
          <cell r="B182" t="str">
            <v>Deepak Desai</v>
          </cell>
          <cell r="D182" t="str">
            <v>Sara</v>
          </cell>
        </row>
        <row r="183">
          <cell r="A183" t="str">
            <v>SONY Software Development Centre</v>
          </cell>
          <cell r="B183" t="str">
            <v>Mher</v>
          </cell>
          <cell r="D183" t="str">
            <v>Shobha Mishra</v>
          </cell>
        </row>
        <row r="184">
          <cell r="A184" t="str">
            <v>Sulzer</v>
          </cell>
          <cell r="B184" t="str">
            <v>Sadhna Shukla</v>
          </cell>
          <cell r="D184" t="str">
            <v>Shobha Mishra</v>
          </cell>
        </row>
        <row r="185">
          <cell r="A185" t="str">
            <v>Sungard AS</v>
          </cell>
          <cell r="B185" t="str">
            <v>Sadhna Shukla</v>
          </cell>
          <cell r="D185" t="str">
            <v>Shobha Mishra</v>
          </cell>
        </row>
        <row r="186">
          <cell r="A186" t="str">
            <v>Swiss Re</v>
          </cell>
          <cell r="B186" t="str">
            <v>Anuradha Murthy</v>
          </cell>
          <cell r="D186" t="str">
            <v>Sultana M</v>
          </cell>
        </row>
        <row r="187">
          <cell r="A187" t="str">
            <v>SYNITI</v>
          </cell>
          <cell r="B187" t="str">
            <v>Deepak Desai</v>
          </cell>
          <cell r="D187" t="str">
            <v>Sara</v>
          </cell>
        </row>
        <row r="188">
          <cell r="A188" t="str">
            <v>Target</v>
          </cell>
          <cell r="B188" t="str">
            <v>Sadhna Shukla</v>
          </cell>
          <cell r="D188" t="str">
            <v>Meenu Amit Kumar</v>
          </cell>
        </row>
        <row r="189">
          <cell r="A189" t="str">
            <v>Tata Consultancy Services</v>
          </cell>
          <cell r="B189" t="str">
            <v>Deepak Desai</v>
          </cell>
          <cell r="D189" t="str">
            <v>Meenu Amit Kumar</v>
          </cell>
        </row>
        <row r="190">
          <cell r="A190" t="str">
            <v>Tata Elxsi</v>
          </cell>
          <cell r="B190" t="str">
            <v>Anuradha Murthy</v>
          </cell>
          <cell r="D190" t="str">
            <v>Sara</v>
          </cell>
        </row>
        <row r="191">
          <cell r="A191" t="str">
            <v>TCS</v>
          </cell>
          <cell r="B191" t="str">
            <v>Deepak Desai</v>
          </cell>
          <cell r="D191" t="str">
            <v>Sultana M</v>
          </cell>
        </row>
        <row r="192">
          <cell r="A192" t="str">
            <v>TESCO</v>
          </cell>
          <cell r="B192" t="str">
            <v>Sadhna Shukla</v>
          </cell>
          <cell r="D192" t="str">
            <v>Meenu Amit Kumar</v>
          </cell>
        </row>
        <row r="193">
          <cell r="A193" t="str">
            <v>Thomson Reuters</v>
          </cell>
          <cell r="B193" t="str">
            <v>Sadhna Shukla</v>
          </cell>
          <cell r="D193" t="str">
            <v>Meenu Amit Kumar</v>
          </cell>
        </row>
        <row r="194">
          <cell r="A194" t="str">
            <v>Thoughtworks</v>
          </cell>
          <cell r="B194" t="str">
            <v>Anuradha Murthy</v>
          </cell>
          <cell r="D194" t="str">
            <v>Sultana M</v>
          </cell>
        </row>
        <row r="195">
          <cell r="A195" t="str">
            <v>Toshiba</v>
          </cell>
          <cell r="B195" t="str">
            <v>Deepak Desai</v>
          </cell>
          <cell r="D195" t="str">
            <v>Meenu Amit Kumar</v>
          </cell>
        </row>
        <row r="196">
          <cell r="A196" t="str">
            <v>Toyota</v>
          </cell>
          <cell r="B196" t="str">
            <v>Deepak Desai</v>
          </cell>
          <cell r="D196" t="str">
            <v>Sara</v>
          </cell>
        </row>
        <row r="197">
          <cell r="A197" t="str">
            <v>UHG</v>
          </cell>
          <cell r="B197" t="str">
            <v>Jawad Ulla Khan Non IT</v>
          </cell>
          <cell r="D197" t="str">
            <v>Sree Swetha</v>
          </cell>
        </row>
        <row r="198">
          <cell r="A198" t="str">
            <v>UHG AEP 2024</v>
          </cell>
          <cell r="B198" t="str">
            <v>Jawad Ulla Khan Non IT</v>
          </cell>
          <cell r="D198" t="str">
            <v>Sree Swetha</v>
          </cell>
        </row>
        <row r="199">
          <cell r="A199" t="str">
            <v>UHG Falcon</v>
          </cell>
          <cell r="B199" t="str">
            <v>Deepak Desai</v>
          </cell>
          <cell r="D199" t="str">
            <v>Sree Swetha</v>
          </cell>
        </row>
        <row r="200">
          <cell r="A200" t="str">
            <v>UHG- IT</v>
          </cell>
          <cell r="B200" t="str">
            <v>Deepak Desai</v>
          </cell>
          <cell r="D200" t="str">
            <v>Sree Swetha</v>
          </cell>
        </row>
        <row r="201">
          <cell r="A201" t="str">
            <v>UHG SS&amp;BCI</v>
          </cell>
          <cell r="B201" t="str">
            <v>Jawad Ulla Khan Non IT</v>
          </cell>
          <cell r="D201" t="str">
            <v>Sree Swetha</v>
          </cell>
        </row>
        <row r="202">
          <cell r="A202" t="str">
            <v>UHG UNET</v>
          </cell>
          <cell r="B202" t="str">
            <v>Jawad Ulla Khan Non IT</v>
          </cell>
          <cell r="D202" t="str">
            <v>Sree Swetha</v>
          </cell>
        </row>
        <row r="203">
          <cell r="A203" t="str">
            <v>UHG(BCI &amp; SS)</v>
          </cell>
          <cell r="B203" t="str">
            <v>Jawad Ulla Khan Non IT</v>
          </cell>
          <cell r="D203" t="str">
            <v>Sree Swetha</v>
          </cell>
        </row>
        <row r="204">
          <cell r="A204" t="str">
            <v>UHG_Support Champoions</v>
          </cell>
          <cell r="B204" t="str">
            <v>Jawad Ulla Khan Non IT</v>
          </cell>
          <cell r="D204" t="str">
            <v>Sree Swetha</v>
          </cell>
        </row>
        <row r="205">
          <cell r="A205" t="str">
            <v>UHG_Support Synergy</v>
          </cell>
          <cell r="B205" t="e">
            <v>#N/A</v>
          </cell>
          <cell r="D205" t="str">
            <v>Sree Swetha</v>
          </cell>
        </row>
        <row r="206">
          <cell r="A206" t="str">
            <v>UHG-Non IT</v>
          </cell>
          <cell r="B206" t="str">
            <v>Jawad Ulla Khan Non IT</v>
          </cell>
          <cell r="D206" t="str">
            <v>Suman Singh</v>
          </cell>
        </row>
        <row r="207">
          <cell r="A207" t="str">
            <v>Verifone</v>
          </cell>
          <cell r="B207" t="str">
            <v>Anuradha Murthy</v>
          </cell>
          <cell r="D207" t="str">
            <v>Sultana M</v>
          </cell>
        </row>
        <row r="208">
          <cell r="A208" t="str">
            <v>Veritas</v>
          </cell>
          <cell r="B208" t="str">
            <v>Sadhna Shukla</v>
          </cell>
          <cell r="D208" t="str">
            <v>Shobha Mishra</v>
          </cell>
        </row>
        <row r="209">
          <cell r="A209" t="str">
            <v>VMware</v>
          </cell>
          <cell r="B209" t="str">
            <v>Sadhna Shukla</v>
          </cell>
          <cell r="D209" t="str">
            <v>Shobha Mishra</v>
          </cell>
        </row>
        <row r="210">
          <cell r="A210" t="str">
            <v>Wipro</v>
          </cell>
          <cell r="B210" t="str">
            <v>Deepak Desai</v>
          </cell>
          <cell r="D210" t="str">
            <v>Sara</v>
          </cell>
        </row>
        <row r="211">
          <cell r="A211" t="str">
            <v>Wipro - Infotech</v>
          </cell>
          <cell r="B211" t="str">
            <v>Prathap Sagar</v>
          </cell>
          <cell r="D211" t="str">
            <v>Sara</v>
          </cell>
        </row>
        <row r="212">
          <cell r="A212" t="str">
            <v>Wipro (Broadcom Inc)</v>
          </cell>
          <cell r="B212" t="str">
            <v>Deepak Desai</v>
          </cell>
          <cell r="D212" t="str">
            <v>Sara</v>
          </cell>
        </row>
        <row r="213">
          <cell r="A213" t="str">
            <v>WIpro-Engineering</v>
          </cell>
          <cell r="B213" t="str">
            <v>Deepak Desai</v>
          </cell>
          <cell r="D213" t="str">
            <v>Sara</v>
          </cell>
        </row>
        <row r="214">
          <cell r="A214" t="str">
            <v>Wipro-Technologies</v>
          </cell>
          <cell r="B214" t="str">
            <v>Deepak Desai</v>
          </cell>
          <cell r="D214" t="str">
            <v>Sara</v>
          </cell>
        </row>
        <row r="215">
          <cell r="A215" t="str">
            <v>Wolters Kluwer</v>
          </cell>
          <cell r="B215" t="str">
            <v>Deepak Desai</v>
          </cell>
          <cell r="D215" t="str">
            <v>Meenu Amit Kumar</v>
          </cell>
        </row>
        <row r="216">
          <cell r="A216" t="str">
            <v>Wolters Kluwer-India</v>
          </cell>
          <cell r="B216" t="str">
            <v>Deepak Desai</v>
          </cell>
          <cell r="D216" t="str">
            <v>Sultana M</v>
          </cell>
        </row>
        <row r="217">
          <cell r="A217" t="str">
            <v>Xylem INC</v>
          </cell>
          <cell r="B217" t="str">
            <v>Sadhna Shukla</v>
          </cell>
          <cell r="D217" t="str">
            <v>Shobha Mishra</v>
          </cell>
        </row>
        <row r="218">
          <cell r="A218" t="str">
            <v>Yodlee</v>
          </cell>
          <cell r="B218" t="str">
            <v>Mher</v>
          </cell>
          <cell r="D218" t="str">
            <v>Meenu Amit Kumar</v>
          </cell>
        </row>
        <row r="219">
          <cell r="A219" t="str">
            <v>Yokogawa</v>
          </cell>
          <cell r="B219" t="str">
            <v>Deepak Desai</v>
          </cell>
          <cell r="D219" t="str">
            <v>Sara</v>
          </cell>
        </row>
        <row r="220">
          <cell r="A220" t="str">
            <v>Zensar</v>
          </cell>
          <cell r="B220" t="str">
            <v>Prathap Sagar</v>
          </cell>
          <cell r="D220" t="str">
            <v>Umar</v>
          </cell>
        </row>
        <row r="221">
          <cell r="A221" t="str">
            <v xml:space="preserve">Zensar Technologies </v>
          </cell>
          <cell r="B221" t="str">
            <v>Prathap Sagar</v>
          </cell>
          <cell r="D221" t="str">
            <v>Umar</v>
          </cell>
        </row>
        <row r="222">
          <cell r="A222" t="str">
            <v>ZTE_payroll</v>
          </cell>
          <cell r="B222" t="str">
            <v>Deepak Desai Non IT</v>
          </cell>
          <cell r="D222" t="str">
            <v>Sara</v>
          </cell>
        </row>
        <row r="223">
          <cell r="A223" t="str">
            <v>Xellia Pharma</v>
          </cell>
          <cell r="B223" t="str">
            <v>Sadhna Shukla</v>
          </cell>
          <cell r="D223" t="str">
            <v>Meenu Amit Kumar</v>
          </cell>
        </row>
        <row r="224">
          <cell r="A224" t="str">
            <v>DXC Technologies â€“ SGP</v>
          </cell>
          <cell r="B224" t="str">
            <v>Deepak Desai</v>
          </cell>
          <cell r="D224" t="str">
            <v>sara</v>
          </cell>
        </row>
        <row r="225">
          <cell r="A225" t="str">
            <v>VISA</v>
          </cell>
          <cell r="B225" t="str">
            <v>Deepak Desai</v>
          </cell>
          <cell r="D225" t="str">
            <v>Sultana M</v>
          </cell>
        </row>
        <row r="226">
          <cell r="A226" t="str">
            <v>Fortinet</v>
          </cell>
          <cell r="B226" t="str">
            <v>Sadhna Shukla</v>
          </cell>
          <cell r="D226" t="str">
            <v>Shobha Mishra</v>
          </cell>
        </row>
        <row r="227">
          <cell r="A227" t="str">
            <v>DXC Technologies – SGP</v>
          </cell>
          <cell r="B227" t="str">
            <v>Deepak Desai</v>
          </cell>
          <cell r="D227" t="str">
            <v>sara</v>
          </cell>
        </row>
        <row r="228">
          <cell r="A228" t="str">
            <v>Accenture IDB2</v>
          </cell>
          <cell r="B228" t="str">
            <v>Prathap Sagar</v>
          </cell>
          <cell r="D228" t="str">
            <v>Sara</v>
          </cell>
        </row>
        <row r="229">
          <cell r="A229" t="str">
            <v>Accenture_ATCI</v>
          </cell>
          <cell r="B229" t="str">
            <v>deepak Desai</v>
          </cell>
          <cell r="D229" t="str">
            <v>Sara</v>
          </cell>
        </row>
        <row r="230">
          <cell r="A230" t="str">
            <v>Axa Business Solutions</v>
          </cell>
          <cell r="B230" t="str">
            <v>Deepak Desai</v>
          </cell>
          <cell r="D230" t="str">
            <v>Sara</v>
          </cell>
        </row>
        <row r="231">
          <cell r="A231" t="str">
            <v>Celestica</v>
          </cell>
          <cell r="B231" t="str">
            <v>Sadhna Shukla</v>
          </cell>
          <cell r="D231" t="str">
            <v>Shobha Mishra</v>
          </cell>
        </row>
        <row r="232">
          <cell r="A232" t="str">
            <v>Clean Harbors_ITES</v>
          </cell>
          <cell r="B232" t="str">
            <v>Jawad Ulla Khan Non IT</v>
          </cell>
          <cell r="D232" t="str">
            <v>Sara</v>
          </cell>
        </row>
        <row r="233">
          <cell r="A233" t="str">
            <v>Clovity</v>
          </cell>
          <cell r="B233" t="str">
            <v>Aashis Ranjan</v>
          </cell>
          <cell r="D233" t="str">
            <v>sara</v>
          </cell>
        </row>
        <row r="234">
          <cell r="A234" t="str">
            <v>Cohesity</v>
          </cell>
          <cell r="B234" t="str">
            <v>Sadhna Shukla</v>
          </cell>
          <cell r="D234" t="str">
            <v>Shobha Mishra</v>
          </cell>
        </row>
        <row r="235">
          <cell r="A235" t="str">
            <v>Deloitee Touche</v>
          </cell>
          <cell r="B235" t="str">
            <v>Deepak Desai</v>
          </cell>
          <cell r="D235" t="str">
            <v>sara</v>
          </cell>
        </row>
        <row r="236">
          <cell r="A236" t="str">
            <v>Deloitte - MemberFirms</v>
          </cell>
          <cell r="B236" t="str">
            <v>Deepak Desai</v>
          </cell>
          <cell r="D236" t="str">
            <v>sara</v>
          </cell>
        </row>
        <row r="237">
          <cell r="A237" t="str">
            <v>Deloitte_COE</v>
          </cell>
          <cell r="B237" t="str">
            <v>Deepak Desai</v>
          </cell>
          <cell r="D237" t="str">
            <v>sara</v>
          </cell>
        </row>
        <row r="238">
          <cell r="A238" t="str">
            <v>Deloitte_LD</v>
          </cell>
          <cell r="B238" t="str">
            <v>Deepak Desai</v>
          </cell>
          <cell r="D238" t="str">
            <v>sara</v>
          </cell>
        </row>
        <row r="239">
          <cell r="A239" t="str">
            <v>Deloitte_Support</v>
          </cell>
          <cell r="B239" t="str">
            <v>Deepak Desai</v>
          </cell>
          <cell r="D239" t="str">
            <v>sara</v>
          </cell>
        </row>
        <row r="240">
          <cell r="A240" t="str">
            <v>DXC - Philippines</v>
          </cell>
          <cell r="B240" t="str">
            <v>Deepak Desai</v>
          </cell>
          <cell r="D240" t="str">
            <v>sara</v>
          </cell>
        </row>
        <row r="241">
          <cell r="A241" t="str">
            <v>DXC _FTE</v>
          </cell>
          <cell r="B241" t="str">
            <v>Deepak Desai</v>
          </cell>
          <cell r="D241" t="str">
            <v>sara</v>
          </cell>
        </row>
        <row r="242">
          <cell r="A242" t="str">
            <v>EPAM Systems</v>
          </cell>
          <cell r="B242" t="str">
            <v>Deepak Desai</v>
          </cell>
          <cell r="D242" t="str">
            <v>sara</v>
          </cell>
        </row>
        <row r="243">
          <cell r="A243" t="str">
            <v>EverestGroup</v>
          </cell>
          <cell r="B243" t="str">
            <v>Anuradha Murthy</v>
          </cell>
          <cell r="D243" t="str">
            <v>Sultana M</v>
          </cell>
        </row>
        <row r="244">
          <cell r="A244" t="str">
            <v>fintellix</v>
          </cell>
          <cell r="B244" t="str">
            <v>Anuradha Murthy</v>
          </cell>
          <cell r="D244" t="str">
            <v>Sultana M</v>
          </cell>
        </row>
        <row r="245">
          <cell r="A245" t="str">
            <v>FlipkartIT</v>
          </cell>
          <cell r="B245" t="str">
            <v>Mher</v>
          </cell>
          <cell r="D245" t="str">
            <v>Ashik</v>
          </cell>
        </row>
        <row r="246">
          <cell r="A246" t="str">
            <v>H&amp;R Block</v>
          </cell>
          <cell r="B246" t="str">
            <v>Anuradha Murthy</v>
          </cell>
          <cell r="D246" t="str">
            <v>Sultana M</v>
          </cell>
        </row>
        <row r="247">
          <cell r="A247" t="str">
            <v>Hanker_US</v>
          </cell>
          <cell r="B247" t="str">
            <v>Ashok shastry</v>
          </cell>
          <cell r="D247" t="str">
            <v>Not Assigned</v>
          </cell>
        </row>
        <row r="248">
          <cell r="A248" t="str">
            <v>HP-samerndra</v>
          </cell>
          <cell r="B248" t="str">
            <v>Jawad Ulla Khan Non IT</v>
          </cell>
          <cell r="D248" t="str">
            <v>Lavanya</v>
          </cell>
        </row>
        <row r="249">
          <cell r="A249" t="str">
            <v>Incture</v>
          </cell>
          <cell r="B249" t="str">
            <v>Sadhna Shukla</v>
          </cell>
          <cell r="D249" t="str">
            <v>Shobha Mishra</v>
          </cell>
        </row>
        <row r="250">
          <cell r="A250" t="str">
            <v>Infinx Manila</v>
          </cell>
          <cell r="B250" t="str">
            <v>Deepak Desai</v>
          </cell>
          <cell r="D250" t="str">
            <v>sara</v>
          </cell>
        </row>
        <row r="251">
          <cell r="A251" t="str">
            <v>Infinx_US</v>
          </cell>
          <cell r="B251" t="str">
            <v>Deepak Desai</v>
          </cell>
          <cell r="D251" t="str">
            <v>sara</v>
          </cell>
        </row>
        <row r="252">
          <cell r="A252" t="str">
            <v>Infosys_US</v>
          </cell>
          <cell r="B252" t="str">
            <v>Prathap Sagar</v>
          </cell>
          <cell r="D252" t="str">
            <v>Sara</v>
          </cell>
        </row>
        <row r="253">
          <cell r="A253" t="str">
            <v>JLL Routing</v>
          </cell>
          <cell r="B253" t="str">
            <v>Anuradha Murthy</v>
          </cell>
          <cell r="D253" t="str">
            <v>Sultana M</v>
          </cell>
        </row>
        <row r="254">
          <cell r="A254" t="str">
            <v>Kent Engineering India Pvt Ltd</v>
          </cell>
          <cell r="B254" t="str">
            <v>Deepak Desai</v>
          </cell>
          <cell r="D254" t="str">
            <v>sara</v>
          </cell>
        </row>
        <row r="255">
          <cell r="A255" t="str">
            <v>Kimberly Clark</v>
          </cell>
          <cell r="B255" t="str">
            <v>Deepak Desai</v>
          </cell>
          <cell r="D255" t="str">
            <v>sara</v>
          </cell>
        </row>
        <row r="256">
          <cell r="A256" t="str">
            <v>L&amp;T</v>
          </cell>
          <cell r="B256" t="str">
            <v>Deepak Desai</v>
          </cell>
          <cell r="D256" t="str">
            <v>sara</v>
          </cell>
        </row>
        <row r="257">
          <cell r="A257" t="str">
            <v>L&amp;T-Cont</v>
          </cell>
          <cell r="B257" t="str">
            <v>Deepak Desai</v>
          </cell>
          <cell r="D257" t="str">
            <v>sara</v>
          </cell>
        </row>
        <row r="258">
          <cell r="A258" t="str">
            <v>L&amp;T-Perm</v>
          </cell>
          <cell r="B258" t="str">
            <v>Deepak Desai</v>
          </cell>
          <cell r="D258" t="str">
            <v>sara</v>
          </cell>
        </row>
        <row r="259">
          <cell r="A259" t="str">
            <v>London Stock Exchange Group</v>
          </cell>
          <cell r="B259" t="str">
            <v>Anuradha Murthy</v>
          </cell>
          <cell r="D259" t="str">
            <v>Sultana M</v>
          </cell>
        </row>
        <row r="260">
          <cell r="A260" t="str">
            <v>LTTS China</v>
          </cell>
          <cell r="B260" t="str">
            <v>Deepak Desai</v>
          </cell>
          <cell r="D260" t="str">
            <v>sara</v>
          </cell>
        </row>
        <row r="261">
          <cell r="A261" t="str">
            <v>LTTS China-FTE</v>
          </cell>
          <cell r="B261" t="str">
            <v>Deepak Desai</v>
          </cell>
          <cell r="D261" t="str">
            <v>sara</v>
          </cell>
        </row>
        <row r="262">
          <cell r="A262" t="str">
            <v>Moder Solutions</v>
          </cell>
          <cell r="B262" t="str">
            <v>Deepak Desai</v>
          </cell>
          <cell r="D262" t="str">
            <v>Sara</v>
          </cell>
        </row>
        <row r="263">
          <cell r="A263" t="str">
            <v>News Corp / NTS India</v>
          </cell>
          <cell r="B263" t="str">
            <v>Anuradha Murthy</v>
          </cell>
          <cell r="D263" t="str">
            <v>sara</v>
          </cell>
        </row>
        <row r="264">
          <cell r="A264" t="str">
            <v>Nexteer Automotives</v>
          </cell>
          <cell r="B264" t="str">
            <v>Anuradha Murthy</v>
          </cell>
          <cell r="D264" t="str">
            <v>Sultana M</v>
          </cell>
        </row>
        <row r="265">
          <cell r="A265" t="str">
            <v>Ninja van</v>
          </cell>
          <cell r="B265" t="str">
            <v>Anuradha Murthy</v>
          </cell>
          <cell r="D265" t="str">
            <v>Sultana M</v>
          </cell>
        </row>
        <row r="266">
          <cell r="A266" t="str">
            <v>Novartis</v>
          </cell>
          <cell r="B266" t="str">
            <v>Anuradha Murthy</v>
          </cell>
          <cell r="D266" t="str">
            <v>Sultana M</v>
          </cell>
        </row>
        <row r="267">
          <cell r="A267" t="str">
            <v>Pfizer</v>
          </cell>
          <cell r="B267" t="str">
            <v>Mher</v>
          </cell>
          <cell r="D267" t="str">
            <v>Shobha Mishra</v>
          </cell>
        </row>
        <row r="268">
          <cell r="A268" t="str">
            <v>Photon</v>
          </cell>
          <cell r="B268" t="str">
            <v>Aashis Ranjan</v>
          </cell>
          <cell r="D268" t="str">
            <v>sara</v>
          </cell>
        </row>
        <row r="269">
          <cell r="A269" t="str">
            <v>Power Integration</v>
          </cell>
          <cell r="B269" t="str">
            <v>Aashis Ranjan</v>
          </cell>
          <cell r="D269" t="str">
            <v>sara</v>
          </cell>
        </row>
        <row r="270">
          <cell r="A270" t="str">
            <v>PWC_COE</v>
          </cell>
          <cell r="B270" t="str">
            <v>Deepak Desai</v>
          </cell>
          <cell r="D270" t="str">
            <v>sara</v>
          </cell>
        </row>
        <row r="271">
          <cell r="A271" t="str">
            <v>Rapid7</v>
          </cell>
          <cell r="B271" t="str">
            <v>Sadhna Shukla</v>
          </cell>
          <cell r="D271" t="str">
            <v>Shobha Mishra</v>
          </cell>
        </row>
        <row r="272">
          <cell r="A272" t="str">
            <v>Sage IT Inc</v>
          </cell>
          <cell r="B272" t="str">
            <v>Deepak Desai</v>
          </cell>
          <cell r="D272" t="str">
            <v>sara</v>
          </cell>
        </row>
        <row r="273">
          <cell r="A273" t="str">
            <v>Saint Gobain</v>
          </cell>
          <cell r="B273" t="str">
            <v>Deepak Desai</v>
          </cell>
          <cell r="D273" t="str">
            <v>Sara</v>
          </cell>
        </row>
        <row r="274">
          <cell r="A274" t="str">
            <v>Saint Gobain_perm</v>
          </cell>
          <cell r="B274" t="str">
            <v>Deepak Desai</v>
          </cell>
          <cell r="D274" t="str">
            <v>Sara</v>
          </cell>
        </row>
        <row r="275">
          <cell r="A275" t="str">
            <v>Sandoz</v>
          </cell>
          <cell r="B275" t="str">
            <v>Anuradha Murthy</v>
          </cell>
          <cell r="D275" t="str">
            <v>Sultana M</v>
          </cell>
        </row>
        <row r="276">
          <cell r="A276" t="str">
            <v>Sasken Techologies ltd</v>
          </cell>
          <cell r="B276" t="str">
            <v>Aashis Ranjan</v>
          </cell>
          <cell r="D276" t="str">
            <v>sara</v>
          </cell>
        </row>
        <row r="277">
          <cell r="A277" t="str">
            <v>Scalable Systems</v>
          </cell>
          <cell r="B277" t="str">
            <v>Aashis Ranjan</v>
          </cell>
          <cell r="D277" t="str">
            <v>sara</v>
          </cell>
        </row>
        <row r="278">
          <cell r="A278" t="str">
            <v>Software One</v>
          </cell>
          <cell r="B278" t="str">
            <v>Deepak Desai</v>
          </cell>
          <cell r="D278" t="str">
            <v>Sara</v>
          </cell>
        </row>
        <row r="279">
          <cell r="A279" t="str">
            <v>Strategic Staffing Solutions</v>
          </cell>
          <cell r="B279" t="str">
            <v>Aashis Ranjan</v>
          </cell>
          <cell r="D279" t="str">
            <v>sara</v>
          </cell>
        </row>
        <row r="280">
          <cell r="A280" t="str">
            <v>Symplr</v>
          </cell>
          <cell r="B280" t="str">
            <v>Anuradha Murthy</v>
          </cell>
          <cell r="D280" t="str">
            <v>Sultana M</v>
          </cell>
        </row>
        <row r="281">
          <cell r="A281" t="str">
            <v>Tata Consultancy Services</v>
          </cell>
          <cell r="B281" t="str">
            <v>Deepak Desai</v>
          </cell>
          <cell r="D281" t="str">
            <v>sara</v>
          </cell>
        </row>
        <row r="282">
          <cell r="A282" t="str">
            <v>TekisHub Consulting</v>
          </cell>
          <cell r="B282" t="str">
            <v>Aashis Ranjan</v>
          </cell>
          <cell r="D282" t="str">
            <v>sara</v>
          </cell>
        </row>
        <row r="283">
          <cell r="A283" t="str">
            <v>TekWissen</v>
          </cell>
          <cell r="B283" t="str">
            <v>Aashis Ranjan</v>
          </cell>
          <cell r="D283" t="str">
            <v>sara</v>
          </cell>
        </row>
        <row r="284">
          <cell r="A284" t="str">
            <v>Thoughtworks</v>
          </cell>
          <cell r="B284" t="str">
            <v>Anuradha Murthy</v>
          </cell>
          <cell r="D284" t="str">
            <v>Sultana M</v>
          </cell>
        </row>
        <row r="285">
          <cell r="A285" t="str">
            <v>Us_temp</v>
          </cell>
          <cell r="B285" t="str">
            <v>Aashis Ranjan</v>
          </cell>
          <cell r="D285" t="str">
            <v>sara</v>
          </cell>
        </row>
        <row r="286">
          <cell r="A286" t="str">
            <v>VSV Wins</v>
          </cell>
          <cell r="B286" t="str">
            <v>Aashis Ranjan</v>
          </cell>
          <cell r="D286" t="str">
            <v>sara</v>
          </cell>
        </row>
        <row r="287">
          <cell r="A287" t="str">
            <v>Wartsila</v>
          </cell>
          <cell r="B287" t="str">
            <v>Sadhna Shukla</v>
          </cell>
          <cell r="D287" t="str">
            <v>Shobha Mishra</v>
          </cell>
        </row>
        <row r="288">
          <cell r="A288" t="str">
            <v>Wurth IT</v>
          </cell>
          <cell r="B288" t="str">
            <v>Anuradha Murthy</v>
          </cell>
          <cell r="D288" t="str">
            <v>Sultana M</v>
          </cell>
        </row>
        <row r="289">
          <cell r="A289" t="str">
            <v>Zebra Technologies Corporation</v>
          </cell>
          <cell r="B289" t="str">
            <v>Sadhna Shukla</v>
          </cell>
          <cell r="D289" t="str">
            <v>Shobha Mishra</v>
          </cell>
        </row>
        <row r="290">
          <cell r="A290" t="str">
            <v>ZebraTechnologies</v>
          </cell>
          <cell r="B290" t="str">
            <v>Sadhna Shukla</v>
          </cell>
          <cell r="D290" t="str">
            <v>Shobha Mishra</v>
          </cell>
        </row>
        <row r="291">
          <cell r="A291" t="str">
            <v>Deloitte Mercedes Benz</v>
          </cell>
          <cell r="B291" t="str">
            <v>Deepak Desai</v>
          </cell>
          <cell r="D291" t="str">
            <v>Sultana M</v>
          </cell>
        </row>
        <row r="292">
          <cell r="A292" t="str">
            <v>Deloitte-Sugandha</v>
          </cell>
          <cell r="B292" t="str">
            <v>Deepak Desai</v>
          </cell>
          <cell r="D292" t="str">
            <v>sara</v>
          </cell>
        </row>
        <row r="293">
          <cell r="A293" t="str">
            <v>Accenture ATCI APAC</v>
          </cell>
          <cell r="B293" t="str">
            <v>Prathap Sagar</v>
          </cell>
          <cell r="D293" t="str">
            <v>Sara</v>
          </cell>
        </row>
        <row r="294">
          <cell r="A294" t="str">
            <v>ABB</v>
          </cell>
          <cell r="B294" t="str">
            <v>Deepak Desai</v>
          </cell>
          <cell r="D294" t="str">
            <v>Sara</v>
          </cell>
        </row>
        <row r="295">
          <cell r="A295" t="str">
            <v>Backbase</v>
          </cell>
          <cell r="B295" t="str">
            <v>Deepak Desai</v>
          </cell>
          <cell r="D295" t="str">
            <v>Shobha Mishra</v>
          </cell>
        </row>
        <row r="296">
          <cell r="A296" t="str">
            <v>Black and Veatch</v>
          </cell>
          <cell r="B296" t="str">
            <v>Sadhna Shukla</v>
          </cell>
          <cell r="D296" t="str">
            <v>Shobha Mishra</v>
          </cell>
        </row>
        <row r="297">
          <cell r="A297" t="str">
            <v>Capgemini- Permanent</v>
          </cell>
          <cell r="B297" t="str">
            <v>Deepak Desai</v>
          </cell>
          <cell r="D297" t="str">
            <v>Sara</v>
          </cell>
        </row>
        <row r="298">
          <cell r="A298" t="str">
            <v>Cognizant-FTE</v>
          </cell>
          <cell r="B298" t="str">
            <v>Prathap Sagar</v>
          </cell>
          <cell r="D298" t="str">
            <v>Sara</v>
          </cell>
        </row>
        <row r="299">
          <cell r="A299" t="str">
            <v>Cyient</v>
          </cell>
          <cell r="B299">
            <v>0</v>
          </cell>
          <cell r="D299" t="str">
            <v>Not Assigned</v>
          </cell>
        </row>
        <row r="300">
          <cell r="A300" t="str">
            <v>DAMAC</v>
          </cell>
          <cell r="B300" t="str">
            <v>Deepak Desai</v>
          </cell>
          <cell r="D300" t="str">
            <v>sara</v>
          </cell>
        </row>
        <row r="301">
          <cell r="A301" t="str">
            <v>Danfoss</v>
          </cell>
          <cell r="B301" t="str">
            <v>Sadhna Shukla</v>
          </cell>
          <cell r="D301" t="str">
            <v>Shobha Mishra</v>
          </cell>
        </row>
        <row r="302">
          <cell r="A302" t="str">
            <v>Strategic Staffing Solutions</v>
          </cell>
          <cell r="B302" t="str">
            <v>Aashis Ranjan</v>
          </cell>
          <cell r="D302" t="str">
            <v>sara</v>
          </cell>
        </row>
        <row r="303">
          <cell r="A303" t="str">
            <v>Tata Consultancy Services</v>
          </cell>
          <cell r="B303" t="str">
            <v>Deepak Desai</v>
          </cell>
          <cell r="D303" t="str">
            <v>sara</v>
          </cell>
        </row>
        <row r="304">
          <cell r="A304" t="str">
            <v>TekisHub Consulting</v>
          </cell>
          <cell r="B304" t="str">
            <v>Aashis Ranjan</v>
          </cell>
          <cell r="D304" t="str">
            <v>sara</v>
          </cell>
        </row>
        <row r="305">
          <cell r="A305" t="str">
            <v>TekWissen</v>
          </cell>
          <cell r="B305" t="str">
            <v>Aashis Ranjan</v>
          </cell>
          <cell r="D305" t="str">
            <v>sara</v>
          </cell>
        </row>
        <row r="306">
          <cell r="A306" t="str">
            <v>ABB Malaysia</v>
          </cell>
          <cell r="B306" t="str">
            <v>Deepak Desai</v>
          </cell>
          <cell r="D306" t="str">
            <v>Sara</v>
          </cell>
        </row>
        <row r="307">
          <cell r="A307" t="str">
            <v>Agility</v>
          </cell>
          <cell r="B307" t="str">
            <v>Deepak Desai</v>
          </cell>
          <cell r="D307" t="str">
            <v>Sara</v>
          </cell>
        </row>
        <row r="308">
          <cell r="A308" t="str">
            <v>Akkodis</v>
          </cell>
          <cell r="B308" t="str">
            <v>Aashis Ranjan</v>
          </cell>
          <cell r="D308" t="str">
            <v>sara</v>
          </cell>
        </row>
        <row r="309">
          <cell r="A309" t="str">
            <v>Aquent Global</v>
          </cell>
          <cell r="B309" t="str">
            <v>Aashis Ranjan</v>
          </cell>
          <cell r="D309" t="str">
            <v>sara</v>
          </cell>
        </row>
        <row r="310">
          <cell r="A310" t="str">
            <v>Summit Consulting</v>
          </cell>
          <cell r="B310" t="str">
            <v>Deepak Desai</v>
          </cell>
          <cell r="D310" t="str">
            <v>sara</v>
          </cell>
        </row>
        <row r="311">
          <cell r="A311" t="str">
            <v>Tata Elxsi</v>
          </cell>
          <cell r="B311" t="str">
            <v>Anuradha Murthy</v>
          </cell>
          <cell r="D311" t="str">
            <v>Sara</v>
          </cell>
        </row>
        <row r="312">
          <cell r="A312" t="str">
            <v>Trane Technologies</v>
          </cell>
          <cell r="B312" t="str">
            <v>Sadhna Shukla</v>
          </cell>
          <cell r="D312" t="str">
            <v>Shobha Mishra</v>
          </cell>
        </row>
        <row r="313">
          <cell r="A313" t="str">
            <v>HP (SH)</v>
          </cell>
          <cell r="B313" t="str">
            <v>Jawad Ulla Khan Non IT</v>
          </cell>
          <cell r="D313" t="str">
            <v>Lavanya</v>
          </cell>
        </row>
        <row r="314">
          <cell r="A314" t="str">
            <v>Arcelor Mittal</v>
          </cell>
          <cell r="B314" t="str">
            <v>Deepak Desai</v>
          </cell>
          <cell r="D314" t="str">
            <v>sara</v>
          </cell>
        </row>
        <row r="315">
          <cell r="A315" t="str">
            <v>HP 70</v>
          </cell>
          <cell r="B315" t="str">
            <v>Jawad Ulla Khan Non IT</v>
          </cell>
          <cell r="D315" t="str">
            <v>Lavanya</v>
          </cell>
        </row>
        <row r="316">
          <cell r="A316" t="str">
            <v xml:space="preserve">HP PPS Services India Private Limited </v>
          </cell>
          <cell r="B316" t="str">
            <v>Jawad Ulla Khan Non IT</v>
          </cell>
          <cell r="D316" t="str">
            <v>Lavanya</v>
          </cell>
        </row>
        <row r="317">
          <cell r="A317" t="str">
            <v>Deloitte-HP</v>
          </cell>
          <cell r="B317" t="str">
            <v>Deepak Desai</v>
          </cell>
        </row>
        <row r="318">
          <cell r="A318" t="str">
            <v>Deloitte-HSBC</v>
          </cell>
          <cell r="B318" t="str">
            <v>Deepak Desai</v>
          </cell>
        </row>
        <row r="319">
          <cell r="A319" t="str">
            <v>Deloitte-Shell</v>
          </cell>
          <cell r="B319" t="str">
            <v>Deepak Desai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ULMDmHB2h0qDfg0_NJz0Y4lYR3fFl3NFqO4QdBh_ZQCSWPjUA0RhTZPYnvz04GOI" itemId="01ZMHVHVJ2BNRNOLIVCFC3ADMBHKWGE5LT">
      <xxl21:absoluteUrl r:id="rId2"/>
      <xxl21:relativeUrl r:id="rId3"/>
    </xxl21:alternateUrls>
    <sheetNames>
      <sheetName val="MTD"/>
      <sheetName val="Today"/>
      <sheetName val="Over all Summary"/>
      <sheetName val="Performance Summary"/>
      <sheetName val="Account_level_MTD Smithesh"/>
      <sheetName val="Account_level_MTD"/>
      <sheetName val="AM Client"/>
      <sheetName val="Domain_wise_Report"/>
      <sheetName val="Weekly &amp; Lead wise"/>
      <sheetName val="lead am &amp; BH REPORT"/>
      <sheetName val="Voyager_project"/>
      <sheetName val="Recruiter wise productivity"/>
      <sheetName val="Special Project"/>
      <sheetName val="Report"/>
      <sheetName val="Sheet2"/>
      <sheetName val="Job Posting Tracker"/>
      <sheetName val="BH Label summary"/>
      <sheetName val="Req"/>
      <sheetName val="Sub"/>
      <sheetName val="Int"/>
      <sheetName val="Sel"/>
      <sheetName val="Onb"/>
      <sheetName val="Exit"/>
      <sheetName val="Pipeline"/>
      <sheetName val="Interview feedback pending"/>
      <sheetName val="Onboarding Demand created on"/>
      <sheetName val="Summary "/>
      <sheetName val="Sheet5"/>
      <sheetName val="Lead hc"/>
      <sheetName val="Pivot for lead_report(srinivas)"/>
      <sheetName val="Pivot for lead report"/>
      <sheetName val="Sheet4"/>
      <sheetName val="Sheet3"/>
      <sheetName val="Sheet1"/>
      <sheetName val="AM summary"/>
      <sheetName val="Recruiter"/>
      <sheetName val="Client 1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Sub Client</v>
          </cell>
          <cell r="B1" t="str">
            <v>Main Client</v>
          </cell>
          <cell r="C1" t="str">
            <v>BH</v>
          </cell>
          <cell r="D1" t="str">
            <v>TYPE</v>
          </cell>
          <cell r="E1" t="str">
            <v>BH Name</v>
          </cell>
          <cell r="F1" t="str">
            <v>Domain</v>
          </cell>
        </row>
        <row r="2">
          <cell r="A2" t="str">
            <v xml:space="preserve"> Edgeverve</v>
          </cell>
          <cell r="B2" t="str">
            <v>EdgeVerve</v>
          </cell>
          <cell r="C2" t="str">
            <v>Deepak Desai</v>
          </cell>
          <cell r="D2" t="str">
            <v>IT</v>
          </cell>
          <cell r="E2" t="str">
            <v>Deepak Desai</v>
          </cell>
          <cell r="F2" t="str">
            <v>Services</v>
          </cell>
        </row>
        <row r="3">
          <cell r="A3" t="str">
            <v xml:space="preserve"> Lumen C2H</v>
          </cell>
          <cell r="B3" t="str">
            <v xml:space="preserve"> Lumen C2H</v>
          </cell>
          <cell r="C3" t="str">
            <v>Anuradha Murthy</v>
          </cell>
          <cell r="D3" t="str">
            <v>IT</v>
          </cell>
          <cell r="E3" t="str">
            <v>Anuradha Murthy</v>
          </cell>
          <cell r="F3" t="str">
            <v>Captive</v>
          </cell>
        </row>
        <row r="4">
          <cell r="A4" t="str">
            <v xml:space="preserve"> WSP</v>
          </cell>
          <cell r="B4" t="str">
            <v xml:space="preserve"> WSP</v>
          </cell>
          <cell r="C4" t="str">
            <v>Anuradha Murthy</v>
          </cell>
          <cell r="D4" t="str">
            <v>IT</v>
          </cell>
          <cell r="E4" t="str">
            <v>Anuradha Murthy</v>
          </cell>
          <cell r="F4" t="str">
            <v>Captive</v>
          </cell>
        </row>
        <row r="5">
          <cell r="A5" t="str">
            <v>11:11 Systems</v>
          </cell>
          <cell r="B5" t="str">
            <v>11:11 Systems</v>
          </cell>
          <cell r="C5" t="str">
            <v>Sadhna Shukla</v>
          </cell>
          <cell r="D5" t="str">
            <v>IT</v>
          </cell>
          <cell r="E5" t="str">
            <v>Sadhna Shukla</v>
          </cell>
          <cell r="F5" t="str">
            <v>Captive</v>
          </cell>
        </row>
        <row r="6">
          <cell r="A6" t="str">
            <v>ABB</v>
          </cell>
          <cell r="B6" t="str">
            <v>ABB</v>
          </cell>
          <cell r="C6" t="str">
            <v>Deepak Desai</v>
          </cell>
          <cell r="D6" t="str">
            <v>IT</v>
          </cell>
          <cell r="E6" t="str">
            <v>Deepak Desai</v>
          </cell>
          <cell r="F6" t="str">
            <v>Services</v>
          </cell>
        </row>
        <row r="7">
          <cell r="A7" t="str">
            <v>ABB Malaysia</v>
          </cell>
          <cell r="B7" t="str">
            <v>ABB Malaysia</v>
          </cell>
          <cell r="C7" t="str">
            <v>Deepak Desai</v>
          </cell>
          <cell r="D7" t="str">
            <v>IT</v>
          </cell>
          <cell r="E7" t="str">
            <v>Deepak Desai</v>
          </cell>
          <cell r="F7" t="str">
            <v>Services</v>
          </cell>
        </row>
        <row r="8">
          <cell r="A8" t="str">
            <v xml:space="preserve">Accenture ATCI APAC </v>
          </cell>
          <cell r="B8" t="str">
            <v xml:space="preserve">Accenture ATCI APAC </v>
          </cell>
          <cell r="C8" t="str">
            <v>Prathap Sagar</v>
          </cell>
          <cell r="D8" t="str">
            <v>IT</v>
          </cell>
          <cell r="E8" t="str">
            <v>Prathap Sagar</v>
          </cell>
          <cell r="F8" t="str">
            <v>Services</v>
          </cell>
        </row>
        <row r="9">
          <cell r="A9" t="str">
            <v>Accenture IDB2</v>
          </cell>
          <cell r="B9" t="str">
            <v>Accenture IDB2</v>
          </cell>
          <cell r="C9" t="str">
            <v>Prathap Sagar</v>
          </cell>
          <cell r="D9" t="str">
            <v>IT</v>
          </cell>
          <cell r="E9" t="str">
            <v>Prathap Sagar</v>
          </cell>
          <cell r="F9" t="str">
            <v>Services</v>
          </cell>
        </row>
        <row r="10">
          <cell r="A10" t="str">
            <v>Accenture Non IT</v>
          </cell>
          <cell r="B10" t="str">
            <v>Accenture Non IT</v>
          </cell>
          <cell r="C10" t="str">
            <v>Jawad Ulla Khan Non IT</v>
          </cell>
          <cell r="D10" t="str">
            <v>Non IT</v>
          </cell>
          <cell r="E10" t="str">
            <v>Jawad Ulla Khan Non IT</v>
          </cell>
          <cell r="F10" t="str">
            <v>ITES</v>
          </cell>
        </row>
        <row r="11">
          <cell r="A11" t="str">
            <v>Accenture_ATCI</v>
          </cell>
          <cell r="B11" t="str">
            <v>Accenture_ATCI</v>
          </cell>
          <cell r="C11" t="str">
            <v>deepak Desai</v>
          </cell>
          <cell r="D11" t="str">
            <v>IT</v>
          </cell>
          <cell r="E11" t="str">
            <v>deepak Desai</v>
          </cell>
          <cell r="F11" t="str">
            <v>Services</v>
          </cell>
        </row>
        <row r="12">
          <cell r="A12" t="str">
            <v>Accenture_BPO</v>
          </cell>
          <cell r="B12" t="str">
            <v>Accenture_BPO</v>
          </cell>
          <cell r="C12" t="str">
            <v>Jawad Ulla Khan Non IT</v>
          </cell>
          <cell r="D12" t="str">
            <v>Non IT</v>
          </cell>
          <cell r="E12" t="str">
            <v>Jawad Ulla Khan Non IT</v>
          </cell>
          <cell r="F12" t="str">
            <v>ITES</v>
          </cell>
        </row>
        <row r="13">
          <cell r="A13" t="str">
            <v>Accenture_IDB</v>
          </cell>
          <cell r="B13" t="str">
            <v>Accenture_IDB</v>
          </cell>
          <cell r="C13" t="str">
            <v>Prathap Sagar</v>
          </cell>
          <cell r="D13" t="str">
            <v>IT</v>
          </cell>
          <cell r="E13" t="str">
            <v>Prathap Sagar</v>
          </cell>
          <cell r="F13" t="str">
            <v>Services</v>
          </cell>
        </row>
        <row r="14">
          <cell r="A14" t="str">
            <v>Accenture_IDB_1</v>
          </cell>
          <cell r="B14" t="str">
            <v>Accenture_IDB_1</v>
          </cell>
          <cell r="C14" t="str">
            <v>Prathap Sagar</v>
          </cell>
          <cell r="D14" t="str">
            <v>IT</v>
          </cell>
          <cell r="E14" t="str">
            <v>Prathap Sagar</v>
          </cell>
          <cell r="F14" t="str">
            <v>Services</v>
          </cell>
        </row>
        <row r="15">
          <cell r="A15" t="str">
            <v>Accenture_IO</v>
          </cell>
          <cell r="B15" t="str">
            <v>Accenture_IO</v>
          </cell>
          <cell r="C15" t="str">
            <v>Akshata nayak</v>
          </cell>
          <cell r="D15" t="str">
            <v>IT</v>
          </cell>
          <cell r="E15" t="str">
            <v>Akshata nayak</v>
          </cell>
          <cell r="F15" t="str">
            <v>Services</v>
          </cell>
        </row>
        <row r="16">
          <cell r="A16" t="str">
            <v>Accenture-voice</v>
          </cell>
          <cell r="B16" t="str">
            <v>Accenture-voice</v>
          </cell>
          <cell r="C16" t="str">
            <v>Jawad Ulla Khan Non IT</v>
          </cell>
          <cell r="D16" t="str">
            <v>Non IT</v>
          </cell>
          <cell r="E16" t="str">
            <v>Jawad Ulla Khan Non IT</v>
          </cell>
          <cell r="F16" t="str">
            <v>ITES</v>
          </cell>
        </row>
        <row r="17">
          <cell r="A17" t="str">
            <v>ACWA Power</v>
          </cell>
          <cell r="B17" t="str">
            <v>ACWA Power</v>
          </cell>
          <cell r="C17" t="str">
            <v>Sadhna Shukla</v>
          </cell>
          <cell r="D17" t="str">
            <v>IT</v>
          </cell>
          <cell r="E17" t="str">
            <v>Sadhna Shukla</v>
          </cell>
          <cell r="F17" t="str">
            <v>Captive</v>
          </cell>
        </row>
        <row r="18">
          <cell r="A18" t="str">
            <v>Adobe</v>
          </cell>
          <cell r="B18" t="str">
            <v>Adobe</v>
          </cell>
          <cell r="C18" t="str">
            <v>Sadhna Shukla</v>
          </cell>
          <cell r="D18" t="str">
            <v>IT</v>
          </cell>
          <cell r="E18" t="str">
            <v>Sadhna Shukla</v>
          </cell>
          <cell r="F18" t="str">
            <v>Captive</v>
          </cell>
        </row>
        <row r="19">
          <cell r="A19" t="str">
            <v>Agility</v>
          </cell>
          <cell r="B19" t="str">
            <v>Agility</v>
          </cell>
          <cell r="C19" t="str">
            <v>Deepak Desai</v>
          </cell>
          <cell r="D19" t="str">
            <v>IT</v>
          </cell>
          <cell r="E19" t="str">
            <v>Deepak Desai</v>
          </cell>
          <cell r="F19" t="str">
            <v>Services</v>
          </cell>
        </row>
        <row r="20">
          <cell r="A20" t="str">
            <v>Airbus</v>
          </cell>
          <cell r="B20" t="str">
            <v>Airbus</v>
          </cell>
          <cell r="C20" t="str">
            <v>Mher</v>
          </cell>
          <cell r="D20" t="str">
            <v>IT</v>
          </cell>
          <cell r="E20" t="str">
            <v>Mher</v>
          </cell>
          <cell r="F20" t="str">
            <v>Captive</v>
          </cell>
        </row>
        <row r="21">
          <cell r="A21" t="str">
            <v>Akkodis</v>
          </cell>
          <cell r="B21" t="str">
            <v>Akkodis</v>
          </cell>
          <cell r="C21" t="str">
            <v>Aashis Ranjan</v>
          </cell>
          <cell r="D21"/>
          <cell r="E21" t="str">
            <v>Aashis Ranjan</v>
          </cell>
          <cell r="F21" t="str">
            <v>Services</v>
          </cell>
        </row>
        <row r="22">
          <cell r="A22" t="str">
            <v>Allstate</v>
          </cell>
          <cell r="B22" t="str">
            <v>Allstate</v>
          </cell>
          <cell r="C22" t="str">
            <v>Deepak Desai</v>
          </cell>
          <cell r="D22" t="str">
            <v>IT</v>
          </cell>
          <cell r="E22" t="str">
            <v>Deepak Desai</v>
          </cell>
          <cell r="F22" t="str">
            <v>Captive</v>
          </cell>
        </row>
        <row r="23">
          <cell r="A23" t="str">
            <v>Amadeus Software</v>
          </cell>
          <cell r="B23" t="str">
            <v>Amadeus Software</v>
          </cell>
          <cell r="C23" t="str">
            <v>Jawad Ulla Khan Non IT</v>
          </cell>
          <cell r="D23" t="str">
            <v>IT</v>
          </cell>
          <cell r="E23" t="str">
            <v>Jawad Ulla Khan Non IT</v>
          </cell>
          <cell r="F23" t="str">
            <v>ITES</v>
          </cell>
        </row>
        <row r="24">
          <cell r="A24" t="str">
            <v>Amadeus Software Labs</v>
          </cell>
          <cell r="B24" t="str">
            <v>Amadeus Software Labs</v>
          </cell>
          <cell r="C24" t="str">
            <v>Jawad Ulla Khan Non IT</v>
          </cell>
          <cell r="D24" t="str">
            <v>IT</v>
          </cell>
          <cell r="E24" t="str">
            <v>Jawad Ulla Khan Non IT</v>
          </cell>
          <cell r="F24" t="str">
            <v>ITES</v>
          </cell>
        </row>
        <row r="25">
          <cell r="A25" t="str">
            <v>Amazon</v>
          </cell>
          <cell r="B25" t="str">
            <v>Amazon</v>
          </cell>
          <cell r="C25" t="str">
            <v>Mher</v>
          </cell>
          <cell r="D25" t="str">
            <v>IT</v>
          </cell>
          <cell r="E25" t="str">
            <v>Mher</v>
          </cell>
          <cell r="F25" t="str">
            <v>Captive</v>
          </cell>
        </row>
        <row r="26">
          <cell r="A26" t="str">
            <v>Amdocs</v>
          </cell>
          <cell r="B26" t="str">
            <v>Amdocs</v>
          </cell>
          <cell r="C26" t="str">
            <v>Mher</v>
          </cell>
          <cell r="D26" t="str">
            <v>IT</v>
          </cell>
          <cell r="E26" t="str">
            <v>Mher</v>
          </cell>
          <cell r="F26" t="str">
            <v/>
          </cell>
        </row>
        <row r="27">
          <cell r="A27" t="str">
            <v>Amplify Health</v>
          </cell>
          <cell r="B27" t="str">
            <v>Amplify Health</v>
          </cell>
          <cell r="C27" t="str">
            <v>Mohit Mathur</v>
          </cell>
          <cell r="D27" t="str">
            <v>IT</v>
          </cell>
          <cell r="E27" t="str">
            <v>Mohit Mathur</v>
          </cell>
          <cell r="F27" t="str">
            <v/>
          </cell>
        </row>
        <row r="28">
          <cell r="A28" t="str">
            <v>Analog Devices</v>
          </cell>
          <cell r="B28" t="str">
            <v>Analog Devices</v>
          </cell>
          <cell r="C28" t="str">
            <v>Mher</v>
          </cell>
          <cell r="D28" t="str">
            <v>IT</v>
          </cell>
          <cell r="E28" t="str">
            <v>Mher</v>
          </cell>
          <cell r="F28" t="str">
            <v>Captive</v>
          </cell>
        </row>
        <row r="29">
          <cell r="A29" t="str">
            <v>ANSR- Consulting</v>
          </cell>
          <cell r="B29" t="str">
            <v>ANSR- Consulting</v>
          </cell>
          <cell r="C29" t="str">
            <v>None</v>
          </cell>
          <cell r="D29" t="str">
            <v>IT</v>
          </cell>
          <cell r="E29" t="str">
            <v>None</v>
          </cell>
          <cell r="F29" t="str">
            <v/>
          </cell>
        </row>
        <row r="30">
          <cell r="A30" t="str">
            <v>ANZ</v>
          </cell>
          <cell r="B30" t="str">
            <v>ANZ</v>
          </cell>
          <cell r="C30" t="str">
            <v>Anuradha Murthy</v>
          </cell>
          <cell r="D30" t="str">
            <v>IT</v>
          </cell>
          <cell r="E30" t="str">
            <v>Anuradha Murthy</v>
          </cell>
          <cell r="F30" t="str">
            <v>Captive</v>
          </cell>
        </row>
        <row r="31">
          <cell r="A31" t="str">
            <v>ANZ OPS</v>
          </cell>
          <cell r="B31" t="str">
            <v>ANZ OPS</v>
          </cell>
          <cell r="C31" t="str">
            <v>Anuradha Murthy Non IT</v>
          </cell>
          <cell r="D31" t="str">
            <v>Non IT</v>
          </cell>
          <cell r="E31" t="str">
            <v>Anuradha Murthy Non IT</v>
          </cell>
          <cell r="F31" t="str">
            <v>ITES</v>
          </cell>
        </row>
        <row r="32">
          <cell r="A32" t="str">
            <v>Aquent Global</v>
          </cell>
          <cell r="B32" t="str">
            <v>Aquent Global</v>
          </cell>
          <cell r="C32" t="str">
            <v>Aashis Ranjan</v>
          </cell>
          <cell r="D32"/>
          <cell r="E32" t="str">
            <v>Aashis Ranjan</v>
          </cell>
          <cell r="F32" t="str">
            <v>Services</v>
          </cell>
        </row>
        <row r="33">
          <cell r="A33" t="str">
            <v>Arcelor Mittal</v>
          </cell>
          <cell r="B33" t="str">
            <v>Arcelor Mittal</v>
          </cell>
          <cell r="C33" t="str">
            <v>Deepak Desai</v>
          </cell>
          <cell r="D33" t="str">
            <v>IT</v>
          </cell>
          <cell r="E33" t="str">
            <v>Deepak Desai</v>
          </cell>
          <cell r="F33" t="str">
            <v>Captive</v>
          </cell>
        </row>
        <row r="34">
          <cell r="A34" t="str">
            <v>Aspire Consulting</v>
          </cell>
          <cell r="B34" t="str">
            <v>Aspire Consulting</v>
          </cell>
          <cell r="C34" t="str">
            <v>Sadhna Shukla</v>
          </cell>
          <cell r="D34" t="str">
            <v>IT</v>
          </cell>
          <cell r="E34" t="str">
            <v>Sadhna Shukla</v>
          </cell>
          <cell r="F34" t="str">
            <v>Services</v>
          </cell>
        </row>
        <row r="35">
          <cell r="A35" t="str">
            <v>Astound Digital</v>
          </cell>
          <cell r="B35" t="str">
            <v>Astound Digital</v>
          </cell>
          <cell r="C35" t="str">
            <v>Aashis Ranjan</v>
          </cell>
          <cell r="D35" t="str">
            <v>IT</v>
          </cell>
          <cell r="E35" t="str">
            <v>Aashis Ranjan</v>
          </cell>
          <cell r="F35" t="str">
            <v>Services</v>
          </cell>
        </row>
        <row r="36">
          <cell r="A36" t="str">
            <v>Atkins</v>
          </cell>
          <cell r="B36" t="str">
            <v>Atkins</v>
          </cell>
          <cell r="C36" t="str">
            <v>Anuradha Murthy</v>
          </cell>
          <cell r="D36" t="str">
            <v>IT</v>
          </cell>
          <cell r="E36" t="str">
            <v>Anuradha Murthy</v>
          </cell>
          <cell r="F36" t="str">
            <v>Captive</v>
          </cell>
        </row>
        <row r="37">
          <cell r="A37" t="str">
            <v>Atkins Realis</v>
          </cell>
          <cell r="B37" t="str">
            <v>Atkins Realis</v>
          </cell>
          <cell r="C37" t="str">
            <v>Anuradha Murthy</v>
          </cell>
          <cell r="D37"/>
          <cell r="E37" t="str">
            <v>Anuradha Murthy</v>
          </cell>
          <cell r="F37" t="str">
            <v>Services</v>
          </cell>
        </row>
        <row r="38">
          <cell r="A38" t="str">
            <v>Axa Business Solutions</v>
          </cell>
          <cell r="B38" t="str">
            <v>Axa Business Solutions</v>
          </cell>
          <cell r="C38" t="str">
            <v>Deepak Desai</v>
          </cell>
          <cell r="D38"/>
          <cell r="E38" t="str">
            <v>Deepak Desai</v>
          </cell>
          <cell r="F38" t="str">
            <v>Services</v>
          </cell>
        </row>
        <row r="39">
          <cell r="A39" t="str">
            <v>Axa Technologies Pvt Ltd</v>
          </cell>
          <cell r="B39" t="str">
            <v>Axa Technologies Pvt Ltd</v>
          </cell>
          <cell r="C39" t="str">
            <v>Deepak Desai</v>
          </cell>
          <cell r="D39" t="str">
            <v>IT</v>
          </cell>
          <cell r="E39" t="str">
            <v>Deepak Desai</v>
          </cell>
          <cell r="F39" t="str">
            <v>Captive</v>
          </cell>
        </row>
        <row r="40">
          <cell r="A40" t="str">
            <v>Backbase</v>
          </cell>
          <cell r="B40" t="str">
            <v>Backbase</v>
          </cell>
          <cell r="C40" t="str">
            <v>Deepak Desai</v>
          </cell>
          <cell r="D40" t="str">
            <v>IT</v>
          </cell>
          <cell r="E40" t="str">
            <v>Deepak Desai</v>
          </cell>
          <cell r="F40" t="str">
            <v>Captive</v>
          </cell>
        </row>
        <row r="41">
          <cell r="A41" t="str">
            <v>BDO</v>
          </cell>
          <cell r="B41" t="str">
            <v>BDO</v>
          </cell>
          <cell r="C41" t="str">
            <v>Sadhna Shukla</v>
          </cell>
          <cell r="D41" t="str">
            <v>IT</v>
          </cell>
          <cell r="E41" t="str">
            <v>Sadhna Shukla</v>
          </cell>
          <cell r="F41" t="str">
            <v>Captive</v>
          </cell>
        </row>
        <row r="42">
          <cell r="A42" t="str">
            <v>Bharat Forge</v>
          </cell>
          <cell r="B42" t="str">
            <v>Bharat Forge</v>
          </cell>
          <cell r="C42" t="str">
            <v>Deepak Desai</v>
          </cell>
          <cell r="D42" t="str">
            <v>IT</v>
          </cell>
          <cell r="E42" t="str">
            <v>Deepak Desai</v>
          </cell>
          <cell r="F42" t="str">
            <v>Services</v>
          </cell>
        </row>
        <row r="43">
          <cell r="A43" t="str">
            <v>Black and Veatch</v>
          </cell>
          <cell r="B43" t="str">
            <v>Black and Veatch</v>
          </cell>
          <cell r="C43" t="str">
            <v>Sadhna Shukla</v>
          </cell>
          <cell r="D43" t="str">
            <v>IT</v>
          </cell>
          <cell r="E43" t="str">
            <v>Sadhna Shukla</v>
          </cell>
          <cell r="F43" t="str">
            <v>Captive</v>
          </cell>
        </row>
        <row r="44">
          <cell r="A44" t="str">
            <v>BNP Mumbai -Cont</v>
          </cell>
          <cell r="B44" t="str">
            <v>BNP Mumbai -Cont</v>
          </cell>
          <cell r="C44" t="str">
            <v>Akshata nayak</v>
          </cell>
          <cell r="D44" t="str">
            <v>IT</v>
          </cell>
          <cell r="E44" t="str">
            <v>Akshata nayak</v>
          </cell>
          <cell r="F44" t="str">
            <v/>
          </cell>
        </row>
        <row r="45">
          <cell r="A45" t="str">
            <v>BNP Paribas</v>
          </cell>
          <cell r="B45" t="str">
            <v>BNP Paribas</v>
          </cell>
          <cell r="C45" t="str">
            <v>Akshata nayak</v>
          </cell>
          <cell r="D45" t="str">
            <v>IT</v>
          </cell>
          <cell r="E45" t="str">
            <v>Akshata nayak</v>
          </cell>
          <cell r="F45" t="str">
            <v/>
          </cell>
        </row>
        <row r="46">
          <cell r="A46" t="str">
            <v>BNP Paribas - Chennai</v>
          </cell>
          <cell r="B46" t="str">
            <v>BNP Paribas - Chennai</v>
          </cell>
          <cell r="C46" t="str">
            <v>Akshata nayak</v>
          </cell>
          <cell r="D46" t="str">
            <v>IT</v>
          </cell>
          <cell r="E46" t="str">
            <v>Akshata nayak</v>
          </cell>
          <cell r="F46" t="str">
            <v/>
          </cell>
        </row>
        <row r="47">
          <cell r="A47" t="str">
            <v>Bosch</v>
          </cell>
          <cell r="B47" t="str">
            <v>Bosch</v>
          </cell>
          <cell r="C47" t="str">
            <v>Akshata nayak</v>
          </cell>
          <cell r="D47" t="str">
            <v>IT</v>
          </cell>
          <cell r="E47" t="str">
            <v>Akshata nayak</v>
          </cell>
          <cell r="F47" t="str">
            <v/>
          </cell>
        </row>
        <row r="48">
          <cell r="A48" t="str">
            <v>BOSCH_COE</v>
          </cell>
          <cell r="B48" t="str">
            <v>BOSCH_COE</v>
          </cell>
          <cell r="C48" t="str">
            <v>Deepak Desai</v>
          </cell>
          <cell r="D48" t="str">
            <v>IT</v>
          </cell>
          <cell r="E48" t="str">
            <v>Deepak Desai</v>
          </cell>
          <cell r="F48" t="str">
            <v>Captive</v>
          </cell>
        </row>
        <row r="49">
          <cell r="A49" t="str">
            <v>Boston Scientific</v>
          </cell>
          <cell r="B49" t="str">
            <v>Boston Scientific</v>
          </cell>
          <cell r="C49" t="str">
            <v>Sadhna Shukla</v>
          </cell>
          <cell r="D49" t="str">
            <v>IT</v>
          </cell>
          <cell r="E49" t="str">
            <v>Sadhna Shukla</v>
          </cell>
          <cell r="F49" t="str">
            <v>SOW Captive</v>
          </cell>
        </row>
        <row r="50">
          <cell r="A50" t="str">
            <v>Bread Financial</v>
          </cell>
          <cell r="B50" t="str">
            <v>Bread Financial</v>
          </cell>
          <cell r="C50" t="str">
            <v>Sadhna Shukla</v>
          </cell>
          <cell r="D50" t="str">
            <v>IT</v>
          </cell>
          <cell r="E50" t="str">
            <v>Sadhna Shukla</v>
          </cell>
          <cell r="F50" t="str">
            <v>SOW Captive</v>
          </cell>
        </row>
        <row r="51">
          <cell r="A51" t="str">
            <v>Bread Financials_Support</v>
          </cell>
          <cell r="B51" t="str">
            <v>Bread Financials_Support</v>
          </cell>
          <cell r="C51" t="str">
            <v>Sadhna Shukla</v>
          </cell>
          <cell r="D51" t="str">
            <v>IT</v>
          </cell>
          <cell r="E51" t="str">
            <v>Sadhna Shukla</v>
          </cell>
          <cell r="F51" t="str">
            <v>SOW Captive</v>
          </cell>
        </row>
        <row r="52">
          <cell r="A52" t="str">
            <v>Bridgestone Mobility Solutions</v>
          </cell>
          <cell r="B52" t="str">
            <v>Bridgestone Mobility Solutions</v>
          </cell>
          <cell r="C52" t="str">
            <v>Kiran Gowda</v>
          </cell>
          <cell r="D52"/>
          <cell r="E52" t="str">
            <v>Kiran Gowda</v>
          </cell>
          <cell r="F52" t="str">
            <v>Services</v>
          </cell>
        </row>
        <row r="53">
          <cell r="A53" t="str">
            <v>Brillio</v>
          </cell>
          <cell r="B53" t="str">
            <v>Brillio</v>
          </cell>
          <cell r="C53" t="str">
            <v>Mher</v>
          </cell>
          <cell r="D53" t="str">
            <v>IT</v>
          </cell>
          <cell r="E53" t="str">
            <v>Mher</v>
          </cell>
          <cell r="F53" t="str">
            <v>Services</v>
          </cell>
        </row>
        <row r="54">
          <cell r="A54" t="str">
            <v>Broad Com</v>
          </cell>
          <cell r="B54" t="str">
            <v>Broad Com</v>
          </cell>
          <cell r="C54" t="str">
            <v>Sadhna Shukla</v>
          </cell>
          <cell r="D54" t="str">
            <v>IT</v>
          </cell>
          <cell r="E54" t="str">
            <v>Sadhna Shukla</v>
          </cell>
          <cell r="F54" t="str">
            <v>Captive</v>
          </cell>
        </row>
        <row r="55">
          <cell r="A55" t="str">
            <v>BSH</v>
          </cell>
          <cell r="B55" t="str">
            <v>BSH</v>
          </cell>
          <cell r="C55" t="str">
            <v>Deepak Desai</v>
          </cell>
          <cell r="D55" t="str">
            <v>IT</v>
          </cell>
          <cell r="E55" t="str">
            <v>Deepak Desai</v>
          </cell>
          <cell r="F55" t="str">
            <v>Captive</v>
          </cell>
        </row>
        <row r="56">
          <cell r="A56" t="str">
            <v xml:space="preserve">Capgemini DSS </v>
          </cell>
          <cell r="B56" t="str">
            <v xml:space="preserve">Capgemini DSS </v>
          </cell>
          <cell r="C56" t="str">
            <v>Deepak Desai</v>
          </cell>
          <cell r="D56" t="str">
            <v>IT</v>
          </cell>
          <cell r="E56" t="str">
            <v>Deepak Desai</v>
          </cell>
          <cell r="F56" t="str">
            <v>Services</v>
          </cell>
        </row>
        <row r="57">
          <cell r="A57" t="str">
            <v>Capgemini Infra</v>
          </cell>
          <cell r="B57" t="str">
            <v>Capgemini Infra</v>
          </cell>
          <cell r="C57" t="str">
            <v>Deepak Desai</v>
          </cell>
          <cell r="D57" t="str">
            <v>IT</v>
          </cell>
          <cell r="E57" t="str">
            <v>Deepak Desai</v>
          </cell>
          <cell r="F57" t="str">
            <v>Services</v>
          </cell>
        </row>
        <row r="58">
          <cell r="A58" t="str">
            <v>Capgemini LBS</v>
          </cell>
          <cell r="B58" t="str">
            <v>Capgemini LBS</v>
          </cell>
          <cell r="C58" t="str">
            <v>Deepak Desai</v>
          </cell>
          <cell r="D58" t="str">
            <v>IT</v>
          </cell>
          <cell r="E58" t="str">
            <v>Deepak Desai</v>
          </cell>
          <cell r="F58" t="str">
            <v>Services</v>
          </cell>
        </row>
        <row r="59">
          <cell r="A59" t="str">
            <v>Capgemini- Permanent</v>
          </cell>
          <cell r="B59" t="str">
            <v>Capgemini- Permanent</v>
          </cell>
          <cell r="C59" t="str">
            <v>Deepak Desai</v>
          </cell>
          <cell r="D59" t="str">
            <v>IT</v>
          </cell>
          <cell r="E59" t="str">
            <v>Deepak Desai</v>
          </cell>
          <cell r="F59" t="str">
            <v>Services</v>
          </cell>
        </row>
        <row r="60">
          <cell r="A60" t="str">
            <v>Capgemini_FC</v>
          </cell>
          <cell r="B60" t="str">
            <v>Capgemini_FC</v>
          </cell>
          <cell r="C60" t="str">
            <v>Deepak Desai</v>
          </cell>
          <cell r="D60" t="str">
            <v>IT</v>
          </cell>
          <cell r="E60" t="str">
            <v>Deepak Desai</v>
          </cell>
          <cell r="F60" t="str">
            <v>Services</v>
          </cell>
        </row>
        <row r="61">
          <cell r="A61" t="str">
            <v>Capgemini_TG</v>
          </cell>
          <cell r="B61" t="str">
            <v>Capgemini_TG</v>
          </cell>
          <cell r="C61" t="str">
            <v>Deepak Desai</v>
          </cell>
          <cell r="D61" t="str">
            <v>IT</v>
          </cell>
          <cell r="E61" t="str">
            <v>Deepak Desai</v>
          </cell>
          <cell r="F61" t="str">
            <v>Services</v>
          </cell>
        </row>
        <row r="62">
          <cell r="A62" t="str">
            <v>Capgemini-Bangalore</v>
          </cell>
          <cell r="B62" t="str">
            <v>Capgemini-Bangalore</v>
          </cell>
          <cell r="C62" t="str">
            <v>Deepak Desai</v>
          </cell>
          <cell r="D62" t="str">
            <v>IT</v>
          </cell>
          <cell r="E62" t="str">
            <v>Deepak Desai</v>
          </cell>
          <cell r="F62" t="str">
            <v>Services</v>
          </cell>
        </row>
        <row r="63">
          <cell r="A63" t="str">
            <v>Carrier technologies India limited</v>
          </cell>
          <cell r="B63" t="str">
            <v>Carrier technologies India limited</v>
          </cell>
          <cell r="C63" t="str">
            <v>Deepak Desai</v>
          </cell>
          <cell r="D63" t="str">
            <v>IT</v>
          </cell>
          <cell r="E63" t="str">
            <v>Deepak Desai</v>
          </cell>
          <cell r="F63" t="str">
            <v>Captive</v>
          </cell>
        </row>
        <row r="64">
          <cell r="A64" t="str">
            <v>Celestica</v>
          </cell>
          <cell r="B64" t="str">
            <v>Celestica</v>
          </cell>
          <cell r="C64" t="str">
            <v>Sadhna Shukla</v>
          </cell>
          <cell r="D64" t="str">
            <v>IT</v>
          </cell>
          <cell r="E64" t="str">
            <v>Sadhna Shukla</v>
          </cell>
          <cell r="F64" t="str">
            <v>Captive</v>
          </cell>
        </row>
        <row r="65">
          <cell r="A65" t="str">
            <v>CenturyLink Technologies India Pvt.Ltd</v>
          </cell>
          <cell r="B65" t="str">
            <v>CenturyLink Technologies India Pvt.Ltd</v>
          </cell>
          <cell r="C65" t="str">
            <v>Anuradha Murthy</v>
          </cell>
          <cell r="D65" t="str">
            <v>IT</v>
          </cell>
          <cell r="E65" t="str">
            <v>Anuradha Murthy</v>
          </cell>
          <cell r="F65" t="str">
            <v>Captive</v>
          </cell>
        </row>
        <row r="66">
          <cell r="A66" t="str">
            <v>CH Robinson</v>
          </cell>
          <cell r="B66" t="str">
            <v>CH Robinson</v>
          </cell>
          <cell r="C66" t="str">
            <v>Anuradha Murthy</v>
          </cell>
          <cell r="D66" t="str">
            <v>IT</v>
          </cell>
          <cell r="E66" t="str">
            <v>Anuradha Murthy</v>
          </cell>
          <cell r="F66" t="str">
            <v>Captive</v>
          </cell>
        </row>
        <row r="67">
          <cell r="A67" t="str">
            <v>Citrix</v>
          </cell>
          <cell r="B67" t="str">
            <v>Citrix</v>
          </cell>
          <cell r="C67" t="str">
            <v>Sadhna Shukla</v>
          </cell>
          <cell r="D67" t="str">
            <v>IT</v>
          </cell>
          <cell r="E67" t="str">
            <v>Sadhna Shukla</v>
          </cell>
          <cell r="F67" t="str">
            <v>Captive</v>
          </cell>
        </row>
        <row r="68">
          <cell r="A68" t="str">
            <v>Clean Harbors Inc</v>
          </cell>
          <cell r="B68" t="str">
            <v>Clean Harbors Inc</v>
          </cell>
          <cell r="C68" t="str">
            <v>Jawad Ulla Khan Non IT</v>
          </cell>
          <cell r="D68" t="str">
            <v>Non IT</v>
          </cell>
          <cell r="E68" t="str">
            <v>Jawad Ulla Khan Non IT</v>
          </cell>
          <cell r="F68" t="str">
            <v>ITES</v>
          </cell>
        </row>
        <row r="69">
          <cell r="A69" t="str">
            <v>Clean Harbors_ITES</v>
          </cell>
          <cell r="B69" t="str">
            <v>Clean Harbors_ITES</v>
          </cell>
          <cell r="C69" t="str">
            <v>Jawad Ulla Khan Non IT</v>
          </cell>
          <cell r="D69" t="str">
            <v>Non IT</v>
          </cell>
          <cell r="E69" t="str">
            <v>Jawad Ulla Khan Non IT</v>
          </cell>
          <cell r="F69" t="str">
            <v>ITES</v>
          </cell>
        </row>
        <row r="70">
          <cell r="A70" t="str">
            <v>Cleartrip</v>
          </cell>
          <cell r="B70" t="str">
            <v>Cleartrip</v>
          </cell>
          <cell r="C70" t="str">
            <v>Mher</v>
          </cell>
          <cell r="D70" t="str">
            <v>IT</v>
          </cell>
          <cell r="E70" t="str">
            <v>Mher</v>
          </cell>
          <cell r="F70" t="str">
            <v>Captive</v>
          </cell>
        </row>
        <row r="71">
          <cell r="A71" t="str">
            <v>Clovity</v>
          </cell>
          <cell r="B71" t="str">
            <v>Clovity</v>
          </cell>
          <cell r="C71" t="str">
            <v>Aashis Ranjan</v>
          </cell>
          <cell r="D71"/>
          <cell r="E71" t="str">
            <v>Aashis Ranjan</v>
          </cell>
          <cell r="F71" t="str">
            <v>Services</v>
          </cell>
        </row>
        <row r="72">
          <cell r="A72" t="str">
            <v>CME</v>
          </cell>
          <cell r="B72" t="str">
            <v>CME</v>
          </cell>
          <cell r="C72" t="str">
            <v>Anuradha Murthy</v>
          </cell>
          <cell r="D72" t="str">
            <v>IT</v>
          </cell>
          <cell r="E72" t="str">
            <v>Anuradha Murthy</v>
          </cell>
          <cell r="F72" t="str">
            <v>Captive</v>
          </cell>
        </row>
        <row r="73">
          <cell r="A73" t="str">
            <v>CME_C2H</v>
          </cell>
          <cell r="B73" t="str">
            <v>CME_C2H</v>
          </cell>
          <cell r="C73" t="str">
            <v>Anuradha Murthy</v>
          </cell>
          <cell r="D73" t="str">
            <v>IT</v>
          </cell>
          <cell r="E73" t="str">
            <v>Anuradha Murthy</v>
          </cell>
          <cell r="F73" t="str">
            <v>Captive</v>
          </cell>
        </row>
        <row r="74">
          <cell r="A74" t="str">
            <v>Coforge</v>
          </cell>
          <cell r="B74" t="str">
            <v>Coforge</v>
          </cell>
          <cell r="C74" t="str">
            <v>Jawad Ulla Khan Non IT</v>
          </cell>
          <cell r="D74" t="str">
            <v>IT</v>
          </cell>
          <cell r="E74" t="str">
            <v>Jawad Ulla Khan Non IT</v>
          </cell>
          <cell r="F74" t="str">
            <v/>
          </cell>
        </row>
        <row r="75">
          <cell r="A75" t="str">
            <v>Cognizant</v>
          </cell>
          <cell r="B75" t="str">
            <v>Cognizant</v>
          </cell>
          <cell r="C75" t="str">
            <v>Prathap Sagar</v>
          </cell>
          <cell r="D75" t="str">
            <v>IT</v>
          </cell>
          <cell r="E75" t="str">
            <v>Prathap Sagar</v>
          </cell>
          <cell r="F75" t="str">
            <v>Services</v>
          </cell>
        </row>
        <row r="76">
          <cell r="A76" t="str">
            <v>Cognizant_Sales</v>
          </cell>
          <cell r="B76" t="str">
            <v>Cognizant_Sales</v>
          </cell>
          <cell r="C76" t="str">
            <v>Prathap Sagar</v>
          </cell>
          <cell r="D76" t="str">
            <v>IT</v>
          </cell>
          <cell r="E76" t="str">
            <v>Prathap Sagar</v>
          </cell>
          <cell r="F76" t="str">
            <v>Services</v>
          </cell>
        </row>
        <row r="77">
          <cell r="A77" t="str">
            <v>Cognizant-FTE</v>
          </cell>
          <cell r="B77" t="str">
            <v>cognizant- FTE</v>
          </cell>
          <cell r="C77" t="str">
            <v>Prathap Sagar</v>
          </cell>
          <cell r="D77"/>
          <cell r="E77" t="str">
            <v>Prathap Sagar</v>
          </cell>
          <cell r="F77" t="str">
            <v>Services</v>
          </cell>
        </row>
        <row r="78">
          <cell r="A78" t="str">
            <v>Cohesity</v>
          </cell>
          <cell r="B78" t="str">
            <v>Sadhna Shukla</v>
          </cell>
          <cell r="C78" t="str">
            <v>Sadhna Shukla</v>
          </cell>
          <cell r="D78" t="str">
            <v>IT</v>
          </cell>
          <cell r="E78" t="str">
            <v>Sadhna Shukla</v>
          </cell>
          <cell r="F78" t="str">
            <v>Captive</v>
          </cell>
        </row>
        <row r="79">
          <cell r="A79" t="str">
            <v>CommScope</v>
          </cell>
          <cell r="B79" t="str">
            <v>CommScope</v>
          </cell>
          <cell r="C79" t="str">
            <v>Mher</v>
          </cell>
          <cell r="D79" t="str">
            <v>IT</v>
          </cell>
          <cell r="E79" t="str">
            <v>Mher</v>
          </cell>
          <cell r="F79" t="str">
            <v/>
          </cell>
        </row>
        <row r="80">
          <cell r="A80" t="str">
            <v>Consilio</v>
          </cell>
          <cell r="B80" t="str">
            <v>Consilio</v>
          </cell>
          <cell r="C80" t="str">
            <v>Anuradha Murthy</v>
          </cell>
          <cell r="D80" t="str">
            <v>IT</v>
          </cell>
          <cell r="E80" t="str">
            <v>Anuradha Murthy</v>
          </cell>
          <cell r="F80" t="str">
            <v>Services</v>
          </cell>
        </row>
        <row r="81">
          <cell r="A81" t="str">
            <v>Coupang</v>
          </cell>
          <cell r="B81" t="str">
            <v>Coupang</v>
          </cell>
          <cell r="C81" t="str">
            <v>Mher</v>
          </cell>
          <cell r="D81" t="str">
            <v>IT</v>
          </cell>
          <cell r="E81" t="str">
            <v>Mher</v>
          </cell>
          <cell r="F81" t="str">
            <v>SOW Captive</v>
          </cell>
        </row>
        <row r="82">
          <cell r="A82" t="str">
            <v>Cred</v>
          </cell>
          <cell r="B82" t="str">
            <v>Cred</v>
          </cell>
          <cell r="C82" t="str">
            <v>Sadhna Shukla</v>
          </cell>
          <cell r="D82" t="str">
            <v>IT</v>
          </cell>
          <cell r="E82" t="str">
            <v>Sadhna Shukla</v>
          </cell>
          <cell r="F82" t="str">
            <v>Captive</v>
          </cell>
        </row>
        <row r="83">
          <cell r="A83" t="str">
            <v>Cyient</v>
          </cell>
          <cell r="B83" t="str">
            <v>Cyient</v>
          </cell>
          <cell r="C83">
            <v>0</v>
          </cell>
          <cell r="D83"/>
          <cell r="E83"/>
          <cell r="F83" t="str">
            <v>Services</v>
          </cell>
        </row>
        <row r="84">
          <cell r="A84" t="str">
            <v>DAMAC</v>
          </cell>
          <cell r="B84" t="str">
            <v>DAMAC</v>
          </cell>
          <cell r="C84" t="str">
            <v>Deepak Desai</v>
          </cell>
          <cell r="D84" t="str">
            <v>IT</v>
          </cell>
          <cell r="E84" t="str">
            <v>Deepak Desai</v>
          </cell>
          <cell r="F84" t="str">
            <v>Services</v>
          </cell>
        </row>
        <row r="85">
          <cell r="A85" t="str">
            <v>Danfoss</v>
          </cell>
          <cell r="B85" t="str">
            <v>Danfoss</v>
          </cell>
          <cell r="C85" t="str">
            <v>Sadhna Shukla</v>
          </cell>
          <cell r="D85" t="str">
            <v>IT</v>
          </cell>
          <cell r="E85" t="str">
            <v>Sadhna Shukla</v>
          </cell>
          <cell r="F85" t="str">
            <v>Captive</v>
          </cell>
        </row>
        <row r="86">
          <cell r="A86" t="str">
            <v xml:space="preserve">Datacomp Webtech Technologies </v>
          </cell>
          <cell r="B86" t="str">
            <v xml:space="preserve">Datacomp Webtech Technologies </v>
          </cell>
          <cell r="C86" t="str">
            <v>Anuradha Murthy</v>
          </cell>
          <cell r="D86" t="str">
            <v>IT</v>
          </cell>
          <cell r="E86" t="str">
            <v>Anuradha Murthy</v>
          </cell>
          <cell r="F86" t="str">
            <v>Captive</v>
          </cell>
        </row>
        <row r="87">
          <cell r="A87" t="str">
            <v>DataFlow Group</v>
          </cell>
          <cell r="B87" t="str">
            <v>DataFlow Group</v>
          </cell>
          <cell r="C87" t="str">
            <v>Others</v>
          </cell>
          <cell r="D87"/>
          <cell r="E87" t="str">
            <v>Others</v>
          </cell>
          <cell r="F87" t="str">
            <v>Services</v>
          </cell>
        </row>
        <row r="88">
          <cell r="A88" t="str">
            <v>DBS bank</v>
          </cell>
          <cell r="B88" t="str">
            <v>DBS bank</v>
          </cell>
          <cell r="C88" t="str">
            <v>Anuradha Murthy</v>
          </cell>
          <cell r="D88" t="str">
            <v>IT</v>
          </cell>
          <cell r="E88" t="str">
            <v>Anuradha Murthy</v>
          </cell>
          <cell r="F88" t="str">
            <v>Captive</v>
          </cell>
        </row>
        <row r="89">
          <cell r="A89" t="str">
            <v>Dbs-Challengers</v>
          </cell>
          <cell r="B89" t="str">
            <v>Dbs-Challengers</v>
          </cell>
          <cell r="C89" t="str">
            <v>Deepak Desai</v>
          </cell>
          <cell r="D89" t="str">
            <v>IT</v>
          </cell>
          <cell r="E89" t="str">
            <v>Deepak Desai</v>
          </cell>
          <cell r="F89" t="str">
            <v/>
          </cell>
        </row>
        <row r="90">
          <cell r="A90" t="str">
            <v>DE Shaw &amp; Co</v>
          </cell>
          <cell r="B90" t="str">
            <v>DE Shaw &amp; Co</v>
          </cell>
          <cell r="C90" t="str">
            <v>Deepak Desai</v>
          </cell>
          <cell r="D90" t="str">
            <v>IT</v>
          </cell>
          <cell r="E90" t="str">
            <v>Deepak Desai</v>
          </cell>
          <cell r="F90" t="str">
            <v>Services</v>
          </cell>
        </row>
        <row r="91">
          <cell r="A91" t="str">
            <v>Decathlon</v>
          </cell>
          <cell r="B91" t="str">
            <v>Decathlon</v>
          </cell>
          <cell r="C91" t="str">
            <v>Deepak Desai</v>
          </cell>
          <cell r="D91" t="str">
            <v>IT</v>
          </cell>
          <cell r="E91" t="str">
            <v>Deepak Desai</v>
          </cell>
          <cell r="F91" t="str">
            <v>Captive</v>
          </cell>
        </row>
        <row r="92">
          <cell r="A92" t="str">
            <v>Deloitee Touche</v>
          </cell>
          <cell r="B92" t="str">
            <v>Deloitee Touche</v>
          </cell>
          <cell r="C92" t="str">
            <v>Deepak Desai</v>
          </cell>
          <cell r="D92" t="str">
            <v>IT</v>
          </cell>
          <cell r="E92" t="str">
            <v>Deepak Desai</v>
          </cell>
          <cell r="F92" t="str">
            <v>SOW Captive</v>
          </cell>
        </row>
        <row r="93">
          <cell r="A93" t="str">
            <v>Deloitte</v>
          </cell>
          <cell r="B93" t="str">
            <v>Deloitte</v>
          </cell>
          <cell r="C93" t="str">
            <v>Deepak Desai</v>
          </cell>
          <cell r="D93" t="str">
            <v>IT</v>
          </cell>
          <cell r="E93" t="str">
            <v>Deepak Desai</v>
          </cell>
          <cell r="F93" t="str">
            <v>SOW Captive</v>
          </cell>
        </row>
        <row r="94">
          <cell r="A94" t="str">
            <v>Deloitte - Advisory</v>
          </cell>
          <cell r="B94" t="str">
            <v>Deloitte - Advisory</v>
          </cell>
          <cell r="C94" t="str">
            <v>Deepak Desai</v>
          </cell>
          <cell r="D94" t="str">
            <v>IT</v>
          </cell>
          <cell r="E94" t="str">
            <v>Deepak Desai</v>
          </cell>
          <cell r="F94" t="str">
            <v>SOW Captive</v>
          </cell>
        </row>
        <row r="95">
          <cell r="A95" t="str">
            <v>Deloitte - MemberFirms</v>
          </cell>
          <cell r="B95" t="str">
            <v>Deloitte - MemberFirms</v>
          </cell>
          <cell r="C95" t="str">
            <v>Deepak Desai</v>
          </cell>
          <cell r="D95" t="str">
            <v>Non IT</v>
          </cell>
          <cell r="E95" t="str">
            <v>Deepak Desai</v>
          </cell>
          <cell r="F95" t="str">
            <v>SOW Captive</v>
          </cell>
        </row>
        <row r="96">
          <cell r="A96" t="str">
            <v>Deloitte Bangalore</v>
          </cell>
          <cell r="B96" t="str">
            <v>Deloitte Bangalore</v>
          </cell>
          <cell r="C96" t="str">
            <v>Deepak Desai</v>
          </cell>
          <cell r="D96" t="str">
            <v>IT</v>
          </cell>
          <cell r="E96" t="str">
            <v>Deepak Desai</v>
          </cell>
          <cell r="F96" t="str">
            <v>SOW Captive</v>
          </cell>
        </row>
        <row r="97">
          <cell r="A97" t="str">
            <v>Deloitte Contract</v>
          </cell>
          <cell r="B97" t="str">
            <v>Deloitte Contract</v>
          </cell>
          <cell r="C97" t="str">
            <v>Deepak Desai</v>
          </cell>
          <cell r="D97" t="str">
            <v>IT</v>
          </cell>
          <cell r="E97" t="str">
            <v>Deepak Desai</v>
          </cell>
          <cell r="F97" t="str">
            <v>SOW Captive</v>
          </cell>
        </row>
        <row r="98">
          <cell r="A98" t="str">
            <v>Deloitte Falcons</v>
          </cell>
          <cell r="B98" t="str">
            <v>Deloitte Falcons</v>
          </cell>
          <cell r="C98" t="str">
            <v>Deepak Desai</v>
          </cell>
          <cell r="D98"/>
          <cell r="E98" t="str">
            <v>Deepak Desai</v>
          </cell>
          <cell r="F98" t="str">
            <v>SOW Captive</v>
          </cell>
        </row>
        <row r="99">
          <cell r="A99" t="str">
            <v>Deloitte India</v>
          </cell>
          <cell r="B99" t="str">
            <v>Deloitte India</v>
          </cell>
          <cell r="C99" t="str">
            <v>Deepak Desai</v>
          </cell>
          <cell r="D99" t="str">
            <v>IT</v>
          </cell>
          <cell r="E99" t="str">
            <v>Deepak Desai</v>
          </cell>
          <cell r="F99" t="str">
            <v>SOW Captive</v>
          </cell>
        </row>
        <row r="100">
          <cell r="A100" t="str">
            <v>Deloitte Mercedes Benz</v>
          </cell>
          <cell r="B100" t="str">
            <v>Deloitte Mercedes Benz</v>
          </cell>
          <cell r="C100" t="str">
            <v>Deepak Desai</v>
          </cell>
          <cell r="D100" t="str">
            <v>IT</v>
          </cell>
          <cell r="E100" t="str">
            <v>Deepak Desai</v>
          </cell>
          <cell r="F100" t="str">
            <v>Captive</v>
          </cell>
        </row>
        <row r="101">
          <cell r="A101" t="str">
            <v>Deloitte_COE</v>
          </cell>
          <cell r="B101" t="str">
            <v>Deloitte_COE</v>
          </cell>
          <cell r="C101" t="str">
            <v>Deepak Desai</v>
          </cell>
          <cell r="D101" t="str">
            <v>IT</v>
          </cell>
          <cell r="E101" t="str">
            <v>Deepak Desai</v>
          </cell>
          <cell r="F101" t="str">
            <v>SOW Captive</v>
          </cell>
        </row>
        <row r="102">
          <cell r="A102" t="str">
            <v>Deloitte_Consulting</v>
          </cell>
          <cell r="B102" t="str">
            <v>Deloitte_Consulting</v>
          </cell>
          <cell r="C102" t="str">
            <v>Mher</v>
          </cell>
          <cell r="D102" t="str">
            <v>IT</v>
          </cell>
          <cell r="E102" t="str">
            <v>Mher</v>
          </cell>
          <cell r="F102" t="str">
            <v>SOW Captive</v>
          </cell>
        </row>
        <row r="103">
          <cell r="A103" t="str">
            <v>Deloitte_HTD</v>
          </cell>
          <cell r="B103" t="str">
            <v>Deloitte_HTD</v>
          </cell>
          <cell r="C103" t="str">
            <v>Deepak Desai</v>
          </cell>
          <cell r="D103" t="str">
            <v>IT</v>
          </cell>
          <cell r="E103" t="str">
            <v>Deepak Desai</v>
          </cell>
          <cell r="F103" t="str">
            <v>SOW Captive</v>
          </cell>
        </row>
        <row r="104">
          <cell r="A104" t="str">
            <v>Deloitte_Hyderabad</v>
          </cell>
          <cell r="B104" t="str">
            <v>Deloitte_Hyderabad</v>
          </cell>
          <cell r="C104" t="str">
            <v>Deepak Desai</v>
          </cell>
          <cell r="D104" t="str">
            <v>IT</v>
          </cell>
          <cell r="E104" t="str">
            <v>Deepak Desai</v>
          </cell>
          <cell r="F104" t="str">
            <v>SOW Captive</v>
          </cell>
        </row>
        <row r="105">
          <cell r="A105" t="str">
            <v>Deloitte_LD</v>
          </cell>
          <cell r="B105" t="str">
            <v>Deloitte_LD</v>
          </cell>
          <cell r="C105" t="str">
            <v>Deepak Desai</v>
          </cell>
          <cell r="D105" t="str">
            <v>IT</v>
          </cell>
          <cell r="E105" t="str">
            <v>Deepak Desai</v>
          </cell>
          <cell r="F105" t="str">
            <v>SOW Captive</v>
          </cell>
        </row>
        <row r="106">
          <cell r="A106" t="str">
            <v>Deloitte_Support</v>
          </cell>
          <cell r="B106" t="str">
            <v>Deloitte_Support</v>
          </cell>
          <cell r="C106" t="str">
            <v>Deepak Desai</v>
          </cell>
          <cell r="D106" t="str">
            <v>IT</v>
          </cell>
          <cell r="E106" t="str">
            <v>Deepak Desai</v>
          </cell>
          <cell r="F106" t="str">
            <v>SOW Captive</v>
          </cell>
        </row>
        <row r="107">
          <cell r="A107" t="str">
            <v xml:space="preserve">Deloitte_Support </v>
          </cell>
          <cell r="B107" t="str">
            <v xml:space="preserve">Deloitte_Support </v>
          </cell>
          <cell r="C107" t="str">
            <v>Deepak Desai</v>
          </cell>
          <cell r="D107" t="str">
            <v>IT</v>
          </cell>
          <cell r="E107" t="str">
            <v>Deepak Desai</v>
          </cell>
          <cell r="F107" t="str">
            <v>SOW Captive</v>
          </cell>
        </row>
        <row r="108">
          <cell r="A108" t="str">
            <v>Deloitte-One Tech</v>
          </cell>
          <cell r="B108" t="str">
            <v>Deloitte-One Tech</v>
          </cell>
          <cell r="C108" t="str">
            <v>Deepak Desai</v>
          </cell>
          <cell r="D108" t="str">
            <v>IT</v>
          </cell>
          <cell r="E108" t="str">
            <v>Deepak Desai</v>
          </cell>
          <cell r="F108" t="str">
            <v>SOW Captive</v>
          </cell>
        </row>
        <row r="109">
          <cell r="A109" t="str">
            <v>Deloitte-Sugandha</v>
          </cell>
          <cell r="B109" t="str">
            <v>Deloitte-Sugandha</v>
          </cell>
          <cell r="C109" t="str">
            <v>Deepak Desai</v>
          </cell>
          <cell r="D109" t="str">
            <v>IT</v>
          </cell>
          <cell r="E109" t="str">
            <v>Deepak Desai</v>
          </cell>
          <cell r="F109" t="str">
            <v>SOW Captive</v>
          </cell>
        </row>
        <row r="110">
          <cell r="A110" t="str">
            <v>Dentsu</v>
          </cell>
          <cell r="B110" t="str">
            <v>Dentsu</v>
          </cell>
          <cell r="C110" t="str">
            <v>Deepak Desai</v>
          </cell>
          <cell r="D110" t="str">
            <v>IT</v>
          </cell>
          <cell r="E110" t="str">
            <v>Deepak Desai</v>
          </cell>
          <cell r="F110" t="str">
            <v>Captive</v>
          </cell>
        </row>
        <row r="111">
          <cell r="A111" t="str">
            <v>Diebold</v>
          </cell>
          <cell r="B111" t="str">
            <v>Diebold</v>
          </cell>
          <cell r="C111" t="str">
            <v>Deepak Desai</v>
          </cell>
          <cell r="D111" t="str">
            <v>IT</v>
          </cell>
          <cell r="E111" t="str">
            <v>Deepak Desai</v>
          </cell>
          <cell r="F111" t="str">
            <v>Captive</v>
          </cell>
        </row>
        <row r="112">
          <cell r="A112" t="str">
            <v>Diebold Nixdorf</v>
          </cell>
          <cell r="B112" t="str">
            <v>Diebold Nixdorf</v>
          </cell>
          <cell r="C112" t="str">
            <v>Deepak Desai</v>
          </cell>
          <cell r="D112" t="str">
            <v>IT</v>
          </cell>
          <cell r="E112" t="str">
            <v>Deepak Desai</v>
          </cell>
          <cell r="F112" t="str">
            <v>Captive</v>
          </cell>
        </row>
        <row r="113">
          <cell r="A113" t="str">
            <v>DLT Labs Technologies</v>
          </cell>
          <cell r="B113" t="str">
            <v>DLT Labs Technologies</v>
          </cell>
          <cell r="C113" t="str">
            <v>Sadhna Shukla</v>
          </cell>
          <cell r="D113" t="str">
            <v>IT</v>
          </cell>
          <cell r="E113" t="str">
            <v>Sadhna Shukla</v>
          </cell>
          <cell r="F113" t="str">
            <v>Captive</v>
          </cell>
        </row>
        <row r="114">
          <cell r="A114" t="str">
            <v>DTICI</v>
          </cell>
          <cell r="B114" t="str">
            <v>DTICI</v>
          </cell>
          <cell r="C114" t="str">
            <v>Deepak Desai</v>
          </cell>
          <cell r="D114" t="str">
            <v>IT</v>
          </cell>
          <cell r="E114" t="str">
            <v>Deepak Desai</v>
          </cell>
          <cell r="F114" t="str">
            <v>SOW Captive</v>
          </cell>
        </row>
        <row r="115">
          <cell r="A115" t="str">
            <v>DXC</v>
          </cell>
          <cell r="B115" t="str">
            <v>DXC</v>
          </cell>
          <cell r="C115" t="str">
            <v>Deepak Desai</v>
          </cell>
          <cell r="D115" t="str">
            <v>IT</v>
          </cell>
          <cell r="E115" t="str">
            <v>Deepak Desai</v>
          </cell>
          <cell r="F115" t="str">
            <v>Services</v>
          </cell>
        </row>
        <row r="116">
          <cell r="A116" t="str">
            <v>DXC - Philippines</v>
          </cell>
          <cell r="B116" t="str">
            <v>DXC - Philippines</v>
          </cell>
          <cell r="C116" t="str">
            <v>Deepak Desai</v>
          </cell>
          <cell r="D116" t="str">
            <v>IT</v>
          </cell>
          <cell r="E116" t="str">
            <v>Deepak Desai</v>
          </cell>
          <cell r="F116" t="str">
            <v>Services</v>
          </cell>
        </row>
        <row r="117">
          <cell r="A117" t="str">
            <v>DXC _FTE</v>
          </cell>
          <cell r="B117" t="str">
            <v>DXC _FTE</v>
          </cell>
          <cell r="C117" t="str">
            <v>Deepak Desai</v>
          </cell>
          <cell r="D117" t="str">
            <v>IT</v>
          </cell>
          <cell r="E117" t="str">
            <v>Deepak Desai</v>
          </cell>
          <cell r="F117" t="str">
            <v>Services</v>
          </cell>
        </row>
        <row r="118">
          <cell r="A118" t="str">
            <v>DXC Technologies – SGP</v>
          </cell>
          <cell r="B118" t="str">
            <v>DXC Technologies – SGP</v>
          </cell>
          <cell r="C118" t="str">
            <v>Deepak Desai</v>
          </cell>
          <cell r="D118" t="str">
            <v>IT</v>
          </cell>
          <cell r="E118" t="str">
            <v>Deepak Desai</v>
          </cell>
          <cell r="F118" t="str">
            <v>Services</v>
          </cell>
        </row>
        <row r="119">
          <cell r="A119" t="str">
            <v>DXC Technologies â€“ SGP</v>
          </cell>
          <cell r="B119" t="str">
            <v>DXC Technologies â€“ SGP</v>
          </cell>
          <cell r="C119" t="str">
            <v>Deepak Desai</v>
          </cell>
          <cell r="D119" t="str">
            <v>IT</v>
          </cell>
          <cell r="E119" t="str">
            <v>Deepak Desai</v>
          </cell>
          <cell r="F119" t="str">
            <v>Services</v>
          </cell>
        </row>
        <row r="120">
          <cell r="A120" t="str">
            <v>DXC-IT</v>
          </cell>
          <cell r="B120" t="str">
            <v>DXC-IT</v>
          </cell>
          <cell r="C120" t="str">
            <v>Deepak Desai</v>
          </cell>
          <cell r="D120" t="str">
            <v>IT</v>
          </cell>
          <cell r="E120" t="str">
            <v>Deepak Desai</v>
          </cell>
          <cell r="F120" t="str">
            <v>Services</v>
          </cell>
        </row>
        <row r="121">
          <cell r="A121" t="str">
            <v>DXC-voice</v>
          </cell>
          <cell r="B121" t="str">
            <v>DXC-voice</v>
          </cell>
          <cell r="C121" t="str">
            <v>None</v>
          </cell>
          <cell r="D121" t="str">
            <v>Non IT</v>
          </cell>
          <cell r="E121" t="str">
            <v>None</v>
          </cell>
          <cell r="F121" t="str">
            <v>ITES</v>
          </cell>
        </row>
        <row r="122">
          <cell r="A122" t="str">
            <v>Ecolabs</v>
          </cell>
          <cell r="B122" t="str">
            <v>Ecolabs</v>
          </cell>
          <cell r="C122" t="str">
            <v>Sadhna Shukla</v>
          </cell>
          <cell r="D122" t="str">
            <v>IT/Non IT</v>
          </cell>
          <cell r="E122" t="str">
            <v>Sadhna Shukla</v>
          </cell>
          <cell r="F122" t="str">
            <v>Captive</v>
          </cell>
        </row>
        <row r="123">
          <cell r="A123" t="str">
            <v>Edelweiss</v>
          </cell>
          <cell r="B123" t="str">
            <v>Edelweiss</v>
          </cell>
          <cell r="C123" t="str">
            <v>None</v>
          </cell>
          <cell r="D123" t="str">
            <v>IT</v>
          </cell>
          <cell r="E123" t="str">
            <v>None</v>
          </cell>
          <cell r="F123" t="str">
            <v/>
          </cell>
        </row>
        <row r="124">
          <cell r="A124" t="str">
            <v>Edgeverve</v>
          </cell>
          <cell r="B124" t="str">
            <v>Edgeverve</v>
          </cell>
          <cell r="C124" t="str">
            <v>Deepak Desai</v>
          </cell>
          <cell r="D124" t="str">
            <v>IT</v>
          </cell>
          <cell r="E124" t="str">
            <v>Deepak Desai</v>
          </cell>
          <cell r="F124" t="str">
            <v>Services</v>
          </cell>
        </row>
        <row r="125">
          <cell r="A125" t="str">
            <v>Edutech</v>
          </cell>
          <cell r="B125" t="str">
            <v>Edutech</v>
          </cell>
          <cell r="C125" t="str">
            <v>None</v>
          </cell>
          <cell r="D125" t="str">
            <v>Non IT</v>
          </cell>
          <cell r="E125" t="str">
            <v>None</v>
          </cell>
          <cell r="F125" t="str">
            <v/>
          </cell>
        </row>
        <row r="126">
          <cell r="A126" t="str">
            <v>Ellucian</v>
          </cell>
          <cell r="B126" t="str">
            <v>Ellucian</v>
          </cell>
          <cell r="C126" t="str">
            <v>Anuradha Murthy</v>
          </cell>
          <cell r="D126" t="str">
            <v>IT</v>
          </cell>
          <cell r="E126" t="str">
            <v>Anuradha Murthy</v>
          </cell>
          <cell r="F126" t="str">
            <v>Captive</v>
          </cell>
        </row>
        <row r="127">
          <cell r="A127" t="str">
            <v>Emerson</v>
          </cell>
          <cell r="B127" t="str">
            <v>Emerson</v>
          </cell>
          <cell r="C127" t="str">
            <v>None</v>
          </cell>
          <cell r="D127" t="str">
            <v>IT</v>
          </cell>
          <cell r="E127" t="str">
            <v>None</v>
          </cell>
          <cell r="F127" t="str">
            <v/>
          </cell>
        </row>
        <row r="128">
          <cell r="A128" t="str">
            <v>EPAM Systems</v>
          </cell>
          <cell r="B128" t="str">
            <v>EPAM Systems</v>
          </cell>
          <cell r="C128" t="str">
            <v>Deepak Desai</v>
          </cell>
          <cell r="D128" t="str">
            <v>IT</v>
          </cell>
          <cell r="E128" t="str">
            <v>Deepak Desai</v>
          </cell>
          <cell r="F128" t="str">
            <v>Services</v>
          </cell>
        </row>
        <row r="129">
          <cell r="A129" t="str">
            <v>EverestGroup</v>
          </cell>
          <cell r="B129" t="str">
            <v>EverestGroup</v>
          </cell>
          <cell r="C129" t="str">
            <v>Anuradha Murthy</v>
          </cell>
          <cell r="D129" t="str">
            <v>IT</v>
          </cell>
          <cell r="E129" t="str">
            <v>Anuradha Murthy</v>
          </cell>
          <cell r="F129" t="str">
            <v>Services</v>
          </cell>
        </row>
        <row r="130">
          <cell r="A130" t="str">
            <v>EY</v>
          </cell>
          <cell r="B130" t="str">
            <v>EY</v>
          </cell>
          <cell r="C130" t="str">
            <v>Deepak Desai</v>
          </cell>
          <cell r="D130" t="str">
            <v>IT</v>
          </cell>
          <cell r="E130" t="str">
            <v>Deepak Desai</v>
          </cell>
          <cell r="F130" t="str">
            <v>Services</v>
          </cell>
        </row>
        <row r="131">
          <cell r="A131" t="str">
            <v>EY payroll</v>
          </cell>
          <cell r="B131" t="str">
            <v>EY payroll</v>
          </cell>
          <cell r="C131" t="str">
            <v>None</v>
          </cell>
          <cell r="D131" t="str">
            <v>Non IT</v>
          </cell>
          <cell r="E131" t="str">
            <v>None</v>
          </cell>
          <cell r="F131" t="str">
            <v>Services</v>
          </cell>
        </row>
        <row r="132">
          <cell r="A132" t="str">
            <v>EY-GDS</v>
          </cell>
          <cell r="B132" t="str">
            <v>EY-GDS</v>
          </cell>
          <cell r="C132" t="str">
            <v>Deepak Desai</v>
          </cell>
          <cell r="D132" t="str">
            <v>IT</v>
          </cell>
          <cell r="E132" t="str">
            <v>Deepak Desai</v>
          </cell>
          <cell r="F132" t="str">
            <v>Services</v>
          </cell>
        </row>
        <row r="133">
          <cell r="A133" t="str">
            <v>EY-IT</v>
          </cell>
          <cell r="B133" t="str">
            <v>EY-IT</v>
          </cell>
          <cell r="C133" t="str">
            <v>Deepak Desai</v>
          </cell>
          <cell r="D133" t="str">
            <v>IT</v>
          </cell>
          <cell r="E133" t="str">
            <v>Deepak Desai</v>
          </cell>
          <cell r="F133" t="str">
            <v>Services</v>
          </cell>
        </row>
        <row r="134">
          <cell r="A134" t="str">
            <v>fintellix</v>
          </cell>
          <cell r="B134" t="str">
            <v>fintellix</v>
          </cell>
          <cell r="C134" t="str">
            <v>Anuradha Murthy</v>
          </cell>
          <cell r="D134" t="str">
            <v>IT</v>
          </cell>
          <cell r="E134" t="str">
            <v>Anuradha Murthy</v>
          </cell>
          <cell r="F134" t="str">
            <v>Services</v>
          </cell>
        </row>
        <row r="135">
          <cell r="A135" t="str">
            <v>First American</v>
          </cell>
          <cell r="B135" t="str">
            <v>First American</v>
          </cell>
          <cell r="C135" t="str">
            <v>Akshata nayak</v>
          </cell>
          <cell r="D135" t="str">
            <v>IT</v>
          </cell>
          <cell r="E135" t="str">
            <v>Akshata nayak</v>
          </cell>
          <cell r="F135" t="str">
            <v/>
          </cell>
        </row>
        <row r="136">
          <cell r="A136" t="str">
            <v>Flipkart</v>
          </cell>
          <cell r="B136" t="str">
            <v>Flipkart</v>
          </cell>
          <cell r="C136" t="str">
            <v>Mher Non IT</v>
          </cell>
          <cell r="D136" t="str">
            <v>Non IT</v>
          </cell>
          <cell r="E136" t="str">
            <v>Mher Non IT</v>
          </cell>
          <cell r="F136" t="str">
            <v>ITES</v>
          </cell>
        </row>
        <row r="137">
          <cell r="A137" t="str">
            <v>FlipkartIT</v>
          </cell>
          <cell r="B137" t="str">
            <v>FlipkartIT</v>
          </cell>
          <cell r="C137" t="str">
            <v>Mher</v>
          </cell>
          <cell r="D137" t="str">
            <v>IT</v>
          </cell>
          <cell r="E137" t="str">
            <v>Mher</v>
          </cell>
          <cell r="F137" t="str">
            <v>Captive</v>
          </cell>
        </row>
        <row r="138">
          <cell r="A138" t="str">
            <v>Fluence Energy</v>
          </cell>
          <cell r="B138" t="str">
            <v>Fluence Energy</v>
          </cell>
          <cell r="C138" t="str">
            <v>Deepak Desai</v>
          </cell>
          <cell r="D138" t="str">
            <v>IT</v>
          </cell>
          <cell r="E138" t="str">
            <v>Deepak Desai</v>
          </cell>
          <cell r="F138" t="str">
            <v>Services</v>
          </cell>
        </row>
        <row r="139">
          <cell r="A139" t="str">
            <v>FLUENCE ENERGY - PAYROLL</v>
          </cell>
          <cell r="B139" t="str">
            <v>FLUENCE ENERGY - PAYROLL</v>
          </cell>
          <cell r="C139" t="str">
            <v>Deepak Desai Non IT</v>
          </cell>
          <cell r="D139" t="str">
            <v>Non IT</v>
          </cell>
          <cell r="E139" t="str">
            <v>Deepak Desai Non IT</v>
          </cell>
          <cell r="F139" t="str">
            <v>ITES</v>
          </cell>
        </row>
        <row r="140">
          <cell r="A140" t="str">
            <v>Fortinet</v>
          </cell>
          <cell r="B140" t="str">
            <v>Fortinet</v>
          </cell>
          <cell r="C140" t="str">
            <v>Sadhna Shukla</v>
          </cell>
          <cell r="D140" t="str">
            <v>IT</v>
          </cell>
          <cell r="E140" t="str">
            <v>Sadhna Shukla</v>
          </cell>
          <cell r="F140" t="str">
            <v>Captive</v>
          </cell>
        </row>
        <row r="141">
          <cell r="A141" t="str">
            <v>GE Global sourcing india pvt</v>
          </cell>
          <cell r="B141" t="str">
            <v>GE Global sourcing india pvt</v>
          </cell>
          <cell r="C141" t="str">
            <v>Mher</v>
          </cell>
          <cell r="D141" t="str">
            <v>IT</v>
          </cell>
          <cell r="E141" t="str">
            <v>Mher</v>
          </cell>
          <cell r="F141" t="str">
            <v>SOW Captive</v>
          </cell>
        </row>
        <row r="142">
          <cell r="A142" t="str">
            <v>GE Healthcare Global Private Limited.</v>
          </cell>
          <cell r="B142" t="str">
            <v>GE Healthcare Global Private Limited.</v>
          </cell>
          <cell r="C142" t="str">
            <v>Mher</v>
          </cell>
          <cell r="D142" t="str">
            <v>IT</v>
          </cell>
          <cell r="E142" t="str">
            <v>Mher</v>
          </cell>
          <cell r="F142" t="str">
            <v>SOW Captive</v>
          </cell>
        </row>
        <row r="143">
          <cell r="A143" t="str">
            <v>GE Renewable</v>
          </cell>
          <cell r="B143" t="str">
            <v>GE Renewable</v>
          </cell>
          <cell r="C143" t="str">
            <v>Mher</v>
          </cell>
          <cell r="D143" t="str">
            <v>IT</v>
          </cell>
          <cell r="E143" t="str">
            <v>Mher</v>
          </cell>
          <cell r="F143" t="str">
            <v/>
          </cell>
        </row>
        <row r="144">
          <cell r="A144" t="str">
            <v>GE-challengers</v>
          </cell>
          <cell r="B144" t="str">
            <v>GE-challengers</v>
          </cell>
          <cell r="C144" t="str">
            <v>Naveen Kumar DK</v>
          </cell>
          <cell r="D144" t="str">
            <v>IT</v>
          </cell>
          <cell r="E144" t="str">
            <v>Naveen Kumar DK</v>
          </cell>
          <cell r="F144" t="str">
            <v/>
          </cell>
        </row>
        <row r="145">
          <cell r="A145" t="str">
            <v>Genpact</v>
          </cell>
          <cell r="B145" t="str">
            <v>Genpact</v>
          </cell>
          <cell r="C145" t="str">
            <v>Deepak Desai</v>
          </cell>
          <cell r="D145" t="str">
            <v>IT</v>
          </cell>
          <cell r="E145" t="str">
            <v>Deepak Desai</v>
          </cell>
          <cell r="F145" t="str">
            <v>Services</v>
          </cell>
        </row>
        <row r="146">
          <cell r="A146" t="str">
            <v>Globant India Private Limited</v>
          </cell>
          <cell r="B146" t="str">
            <v>Globant India Private Limited</v>
          </cell>
          <cell r="C146" t="str">
            <v>Mher</v>
          </cell>
          <cell r="D146" t="str">
            <v>IT</v>
          </cell>
          <cell r="E146" t="str">
            <v>Mher</v>
          </cell>
          <cell r="F146" t="str">
            <v/>
          </cell>
        </row>
        <row r="147">
          <cell r="A147" t="str">
            <v>Google</v>
          </cell>
          <cell r="B147" t="str">
            <v>Google</v>
          </cell>
          <cell r="C147" t="str">
            <v>Mher</v>
          </cell>
          <cell r="D147" t="str">
            <v>IT</v>
          </cell>
          <cell r="E147" t="str">
            <v>Mher</v>
          </cell>
          <cell r="F147" t="str">
            <v>Captive</v>
          </cell>
        </row>
        <row r="148">
          <cell r="A148" t="str">
            <v>Grant Thornton</v>
          </cell>
          <cell r="B148" t="str">
            <v>Grant Thornton</v>
          </cell>
          <cell r="C148" t="str">
            <v>Deepak Desai</v>
          </cell>
          <cell r="D148" t="str">
            <v>IT</v>
          </cell>
          <cell r="E148" t="str">
            <v>Deepak Desai</v>
          </cell>
          <cell r="F148" t="str">
            <v>Captive</v>
          </cell>
        </row>
        <row r="149">
          <cell r="A149" t="str">
            <v>Grant Thornton LLP</v>
          </cell>
          <cell r="B149" t="str">
            <v>Grant Thornton LLP</v>
          </cell>
          <cell r="C149" t="str">
            <v>Anuradha Murthy</v>
          </cell>
          <cell r="D149" t="str">
            <v>IT</v>
          </cell>
          <cell r="E149" t="str">
            <v>Anuradha Murthy</v>
          </cell>
          <cell r="F149" t="str">
            <v>Captive</v>
          </cell>
        </row>
        <row r="150">
          <cell r="A150" t="str">
            <v>Grant Thornton payroll</v>
          </cell>
          <cell r="B150" t="str">
            <v>Grant Thornton payroll</v>
          </cell>
          <cell r="C150" t="str">
            <v>Anuradha Murthy Non IT</v>
          </cell>
          <cell r="D150" t="str">
            <v>Non IT</v>
          </cell>
          <cell r="E150" t="str">
            <v>Anuradha Murthy Non IT</v>
          </cell>
          <cell r="F150" t="str">
            <v>ITES</v>
          </cell>
        </row>
        <row r="151">
          <cell r="A151" t="str">
            <v>Groupon Shared Services Private Limited</v>
          </cell>
          <cell r="B151" t="str">
            <v>Groupon Shared Services Private Limited</v>
          </cell>
          <cell r="C151" t="str">
            <v>Sadhna Shukla</v>
          </cell>
          <cell r="D151" t="str">
            <v>IT</v>
          </cell>
          <cell r="E151" t="str">
            <v>Sadhna Shukla</v>
          </cell>
          <cell r="F151" t="str">
            <v>Captive</v>
          </cell>
        </row>
        <row r="152">
          <cell r="A152" t="str">
            <v>H&amp;R Block</v>
          </cell>
          <cell r="B152" t="str">
            <v>H&amp;R Block</v>
          </cell>
          <cell r="C152" t="str">
            <v>Anuradha Murthy</v>
          </cell>
          <cell r="D152" t="str">
            <v>IT</v>
          </cell>
          <cell r="E152" t="str">
            <v>Anuradha Murthy</v>
          </cell>
          <cell r="F152" t="str">
            <v>Services</v>
          </cell>
        </row>
        <row r="153">
          <cell r="A153" t="str">
            <v>Hanker_US</v>
          </cell>
          <cell r="B153" t="str">
            <v>Hanker_US</v>
          </cell>
          <cell r="C153" t="str">
            <v>Ashok shastry</v>
          </cell>
          <cell r="D153" t="str">
            <v xml:space="preserve">US </v>
          </cell>
          <cell r="E153" t="str">
            <v>Ashok shastry</v>
          </cell>
          <cell r="F153" t="str">
            <v>Services</v>
          </cell>
        </row>
        <row r="154">
          <cell r="A154" t="str">
            <v>Harman</v>
          </cell>
          <cell r="B154" t="str">
            <v>Harman</v>
          </cell>
          <cell r="C154" t="str">
            <v>Deepak Desai</v>
          </cell>
          <cell r="D154" t="str">
            <v>IT</v>
          </cell>
          <cell r="E154" t="str">
            <v>Deepak Desai</v>
          </cell>
          <cell r="F154" t="str">
            <v>Services</v>
          </cell>
        </row>
        <row r="155">
          <cell r="A155" t="str">
            <v>Harman Non IT</v>
          </cell>
          <cell r="B155" t="str">
            <v>Harman Non IT</v>
          </cell>
          <cell r="C155" t="str">
            <v>Deepak Desai Non IT</v>
          </cell>
          <cell r="D155" t="str">
            <v>Non IT</v>
          </cell>
          <cell r="E155" t="str">
            <v>Deepak Desai Non IT</v>
          </cell>
          <cell r="F155" t="str">
            <v>ITES</v>
          </cell>
        </row>
        <row r="156">
          <cell r="A156" t="str">
            <v>Harman_Bangalore</v>
          </cell>
          <cell r="B156" t="str">
            <v>Harman_Bangalore</v>
          </cell>
          <cell r="C156" t="str">
            <v>Deepak Desai Non IT</v>
          </cell>
          <cell r="D156" t="str">
            <v>IT</v>
          </cell>
          <cell r="E156" t="str">
            <v>Deepak Desai Non IT</v>
          </cell>
          <cell r="F156" t="str">
            <v>Services</v>
          </cell>
        </row>
        <row r="157">
          <cell r="A157" t="str">
            <v>Harman_Payroll</v>
          </cell>
          <cell r="B157" t="str">
            <v>Harman_Payroll</v>
          </cell>
          <cell r="C157" t="str">
            <v>Deepak Desai Non IT</v>
          </cell>
          <cell r="D157" t="str">
            <v>Non IT</v>
          </cell>
          <cell r="E157" t="str">
            <v>Deepak Desai Non IT</v>
          </cell>
          <cell r="F157" t="str">
            <v>ITES</v>
          </cell>
        </row>
        <row r="158">
          <cell r="A158" t="str">
            <v>hashout technologies</v>
          </cell>
          <cell r="B158" t="str">
            <v>hashout technologies</v>
          </cell>
          <cell r="C158" t="str">
            <v>Sadhna Shukla</v>
          </cell>
          <cell r="D158" t="str">
            <v>IT</v>
          </cell>
          <cell r="E158" t="str">
            <v>Sadhna Shukla</v>
          </cell>
          <cell r="F158" t="str">
            <v>Services</v>
          </cell>
        </row>
        <row r="159">
          <cell r="A159" t="str">
            <v>Hinge Health</v>
          </cell>
          <cell r="B159" t="str">
            <v>Hinge Health</v>
          </cell>
          <cell r="C159" t="str">
            <v>Mher</v>
          </cell>
          <cell r="D159" t="str">
            <v>IT</v>
          </cell>
          <cell r="E159" t="str">
            <v>Mher</v>
          </cell>
          <cell r="F159" t="str">
            <v>Captive</v>
          </cell>
        </row>
        <row r="160">
          <cell r="A160" t="str">
            <v>HP</v>
          </cell>
          <cell r="B160" t="str">
            <v>HP</v>
          </cell>
          <cell r="C160" t="str">
            <v>Jawad Ulla Khan Non IT</v>
          </cell>
          <cell r="D160" t="str">
            <v>Non IT</v>
          </cell>
          <cell r="E160" t="str">
            <v>Jawad Ulla Khan Non IT</v>
          </cell>
          <cell r="F160" t="str">
            <v>ITES</v>
          </cell>
        </row>
        <row r="161">
          <cell r="A161" t="str">
            <v>HP (SH)</v>
          </cell>
          <cell r="B161" t="str">
            <v>HP (SH)</v>
          </cell>
          <cell r="C161" t="str">
            <v>Jawad Ulla Khan Non IT</v>
          </cell>
          <cell r="D161" t="str">
            <v>Non IT</v>
          </cell>
          <cell r="E161" t="str">
            <v>Jawad Ulla Khan Non IT</v>
          </cell>
          <cell r="F161" t="str">
            <v>ITES</v>
          </cell>
        </row>
        <row r="162">
          <cell r="A162" t="str">
            <v>HP deepchandra</v>
          </cell>
          <cell r="B162" t="str">
            <v>HP deepchandra</v>
          </cell>
          <cell r="C162" t="str">
            <v>Jawad Ulla Khan Non IT</v>
          </cell>
          <cell r="D162" t="str">
            <v>Non IT</v>
          </cell>
          <cell r="E162" t="str">
            <v>Jawad Ulla Khan Non IT</v>
          </cell>
          <cell r="F162" t="str">
            <v>ITES</v>
          </cell>
        </row>
        <row r="163">
          <cell r="A163" t="str">
            <v xml:space="preserve">HP- drubhajoythi </v>
          </cell>
          <cell r="B163" t="str">
            <v xml:space="preserve">HP- drubhajoythi </v>
          </cell>
          <cell r="C163" t="str">
            <v>Jawad Ulla Khan Non IT</v>
          </cell>
          <cell r="D163" t="str">
            <v>Non IT</v>
          </cell>
          <cell r="E163" t="str">
            <v>Jawad Ulla Khan Non IT</v>
          </cell>
          <cell r="F163" t="str">
            <v>ITES</v>
          </cell>
        </row>
        <row r="164">
          <cell r="A164" t="str">
            <v>HP Sales</v>
          </cell>
          <cell r="B164" t="str">
            <v>HP Sales</v>
          </cell>
          <cell r="C164" t="str">
            <v>Jawad Ulla Khan Non IT</v>
          </cell>
          <cell r="D164" t="str">
            <v>IT</v>
          </cell>
          <cell r="E164" t="str">
            <v>Jawad Ulla Khan Non IT</v>
          </cell>
          <cell r="F164" t="str">
            <v>ITES</v>
          </cell>
        </row>
        <row r="165">
          <cell r="A165" t="str">
            <v xml:space="preserve">HP srijith </v>
          </cell>
          <cell r="B165" t="str">
            <v xml:space="preserve">HP srijith </v>
          </cell>
          <cell r="C165" t="str">
            <v>Jawad Ulla Khan Non IT</v>
          </cell>
          <cell r="D165" t="str">
            <v>Non IT</v>
          </cell>
          <cell r="E165" t="str">
            <v>Jawad Ulla Khan Non IT</v>
          </cell>
          <cell r="F165" t="str">
            <v>ITES</v>
          </cell>
        </row>
        <row r="166">
          <cell r="A166" t="str">
            <v>HP_Subramanya</v>
          </cell>
          <cell r="B166" t="str">
            <v>HP_Subramanya</v>
          </cell>
          <cell r="C166" t="str">
            <v>Jawad Ulla Khan Non IT</v>
          </cell>
          <cell r="D166" t="str">
            <v>Non IT</v>
          </cell>
          <cell r="E166" t="str">
            <v>Jawad Ulla Khan Non IT</v>
          </cell>
          <cell r="F166" t="str">
            <v>ITES</v>
          </cell>
        </row>
        <row r="167">
          <cell r="A167" t="str">
            <v>HP-samarjith</v>
          </cell>
          <cell r="B167" t="str">
            <v>HP-samarjith</v>
          </cell>
          <cell r="C167" t="str">
            <v>Jawad Ulla Khan Non IT</v>
          </cell>
          <cell r="D167" t="str">
            <v>Non IT</v>
          </cell>
          <cell r="E167" t="str">
            <v>Jawad Ulla Khan Non IT</v>
          </cell>
          <cell r="F167" t="str">
            <v>ITES</v>
          </cell>
        </row>
        <row r="168">
          <cell r="A168" t="str">
            <v>HP-samerndra</v>
          </cell>
          <cell r="B168" t="str">
            <v>HP-samerndra</v>
          </cell>
          <cell r="C168" t="str">
            <v>Jawad Ulla Khan Non IT</v>
          </cell>
          <cell r="D168" t="str">
            <v>Non IT</v>
          </cell>
          <cell r="E168" t="str">
            <v>Jawad Ulla Khan Non IT</v>
          </cell>
          <cell r="F168" t="str">
            <v>ITES</v>
          </cell>
        </row>
        <row r="169">
          <cell r="A169" t="str">
            <v xml:space="preserve">HP-samerndra </v>
          </cell>
          <cell r="B169" t="str">
            <v xml:space="preserve">HP-samerndra </v>
          </cell>
          <cell r="C169" t="str">
            <v>Jawad Ulla Khan Non IT</v>
          </cell>
          <cell r="D169" t="str">
            <v>Non IT</v>
          </cell>
          <cell r="E169" t="str">
            <v>Jawad Ulla Khan Non IT</v>
          </cell>
          <cell r="F169" t="str">
            <v>ITES</v>
          </cell>
        </row>
        <row r="170">
          <cell r="A170" t="str">
            <v>HSBC</v>
          </cell>
          <cell r="B170" t="str">
            <v>HSBC</v>
          </cell>
          <cell r="C170" t="str">
            <v>Mher</v>
          </cell>
          <cell r="D170" t="str">
            <v>IT</v>
          </cell>
          <cell r="E170" t="str">
            <v>Mher</v>
          </cell>
          <cell r="F170" t="str">
            <v/>
          </cell>
        </row>
        <row r="171">
          <cell r="A171" t="str">
            <v>IBM -John Dheere</v>
          </cell>
          <cell r="B171" t="str">
            <v>IBM -John Dheere</v>
          </cell>
          <cell r="C171" t="str">
            <v>Akshata nayak</v>
          </cell>
          <cell r="D171" t="str">
            <v>IT</v>
          </cell>
          <cell r="E171" t="str">
            <v>Akshata nayak</v>
          </cell>
          <cell r="F171" t="str">
            <v/>
          </cell>
        </row>
        <row r="172">
          <cell r="A172" t="str">
            <v>IBM -Mercedes</v>
          </cell>
          <cell r="B172" t="str">
            <v>IBM -Mercedes</v>
          </cell>
          <cell r="C172" t="str">
            <v>Deepak Desai</v>
          </cell>
          <cell r="D172" t="str">
            <v>IT</v>
          </cell>
          <cell r="E172" t="str">
            <v>Deepak Desai</v>
          </cell>
          <cell r="F172" t="str">
            <v>Services</v>
          </cell>
        </row>
        <row r="173">
          <cell r="A173" t="str">
            <v>IBM- PAN India</v>
          </cell>
          <cell r="B173" t="str">
            <v>IBM- PAN India</v>
          </cell>
          <cell r="C173" t="str">
            <v>Deepak Desai</v>
          </cell>
          <cell r="D173" t="str">
            <v>IT</v>
          </cell>
          <cell r="E173" t="str">
            <v>Deepak Desai</v>
          </cell>
          <cell r="F173" t="str">
            <v>Services</v>
          </cell>
        </row>
        <row r="174">
          <cell r="A174" t="str">
            <v>IBM-Strategic</v>
          </cell>
          <cell r="B174" t="str">
            <v>IBM-Strategic</v>
          </cell>
          <cell r="C174" t="str">
            <v>Deepak Desai</v>
          </cell>
          <cell r="D174" t="str">
            <v>IT</v>
          </cell>
          <cell r="E174" t="str">
            <v>Deepak Desai</v>
          </cell>
          <cell r="F174" t="str">
            <v>Services</v>
          </cell>
        </row>
        <row r="175">
          <cell r="A175" t="str">
            <v>Ilantus Technologies</v>
          </cell>
          <cell r="B175" t="str">
            <v>Ilantus Technologies</v>
          </cell>
          <cell r="C175" t="str">
            <v>Mher</v>
          </cell>
          <cell r="D175" t="str">
            <v>IT</v>
          </cell>
          <cell r="E175" t="str">
            <v>Mher</v>
          </cell>
          <cell r="F175" t="str">
            <v/>
          </cell>
        </row>
        <row r="176">
          <cell r="A176" t="str">
            <v>Incture</v>
          </cell>
          <cell r="B176" t="str">
            <v>Incture</v>
          </cell>
          <cell r="C176" t="str">
            <v>Sadhna Shukla</v>
          </cell>
          <cell r="D176" t="str">
            <v>IT</v>
          </cell>
          <cell r="E176" t="str">
            <v>Sadhna Shukla</v>
          </cell>
          <cell r="F176" t="str">
            <v>Captive</v>
          </cell>
        </row>
        <row r="177">
          <cell r="A177" t="str">
            <v>Indegene</v>
          </cell>
          <cell r="B177" t="str">
            <v>Indegene</v>
          </cell>
          <cell r="C177" t="str">
            <v>Deepak Desai</v>
          </cell>
          <cell r="D177" t="str">
            <v>IT</v>
          </cell>
          <cell r="E177" t="str">
            <v>Deepak Desai</v>
          </cell>
          <cell r="F177" t="str">
            <v>Captive</v>
          </cell>
        </row>
        <row r="178">
          <cell r="A178" t="str">
            <v>Infinx</v>
          </cell>
          <cell r="B178" t="str">
            <v>Infinx</v>
          </cell>
          <cell r="C178" t="str">
            <v>Deepak Desai Non IT</v>
          </cell>
          <cell r="D178" t="str">
            <v>Non IT</v>
          </cell>
          <cell r="E178" t="str">
            <v>Deepak Desai Non IT</v>
          </cell>
          <cell r="F178" t="str">
            <v>Services</v>
          </cell>
        </row>
        <row r="179">
          <cell r="A179" t="str">
            <v>Infinx Healthcare Manila</v>
          </cell>
          <cell r="B179" t="str">
            <v>Infinx Healthcare Manila</v>
          </cell>
          <cell r="C179" t="str">
            <v>Deepak Desai Non IT</v>
          </cell>
          <cell r="D179" t="str">
            <v>Non IT</v>
          </cell>
          <cell r="E179" t="str">
            <v>Deepak Desai Non IT</v>
          </cell>
          <cell r="F179" t="str">
            <v/>
          </cell>
        </row>
        <row r="180">
          <cell r="A180" t="str">
            <v>Infinx Manila</v>
          </cell>
          <cell r="B180" t="str">
            <v>Infinx Manila</v>
          </cell>
          <cell r="C180" t="str">
            <v>Deepak Desai</v>
          </cell>
          <cell r="D180" t="str">
            <v>Non IT</v>
          </cell>
          <cell r="E180" t="str">
            <v>Deepak Desai</v>
          </cell>
          <cell r="F180" t="str">
            <v>Services</v>
          </cell>
        </row>
        <row r="181">
          <cell r="A181" t="str">
            <v>Infinx_Champ</v>
          </cell>
          <cell r="B181" t="str">
            <v>Infinx_Champ</v>
          </cell>
          <cell r="C181" t="str">
            <v>Deepak Desai</v>
          </cell>
          <cell r="D181" t="str">
            <v>IT</v>
          </cell>
          <cell r="E181" t="str">
            <v>Deepak Desai</v>
          </cell>
          <cell r="F181" t="str">
            <v>Captive</v>
          </cell>
        </row>
        <row r="182">
          <cell r="A182" t="str">
            <v>Infinx_US</v>
          </cell>
          <cell r="B182" t="str">
            <v>Infinx_US</v>
          </cell>
          <cell r="C182" t="str">
            <v>Deepak Desai</v>
          </cell>
          <cell r="D182" t="str">
            <v>IT</v>
          </cell>
          <cell r="E182" t="str">
            <v>Deepak Desai</v>
          </cell>
          <cell r="F182" t="str">
            <v>Services</v>
          </cell>
        </row>
        <row r="183">
          <cell r="A183" t="str">
            <v xml:space="preserve">Infosys </v>
          </cell>
          <cell r="B183" t="str">
            <v xml:space="preserve">Infosys </v>
          </cell>
          <cell r="C183" t="str">
            <v>Prathap Sagar</v>
          </cell>
          <cell r="D183" t="str">
            <v>IT</v>
          </cell>
          <cell r="E183" t="str">
            <v>Prathap Sagar</v>
          </cell>
          <cell r="F183" t="str">
            <v>Services</v>
          </cell>
        </row>
        <row r="184">
          <cell r="A184" t="str">
            <v>Infosys 3</v>
          </cell>
          <cell r="B184" t="str">
            <v>Infosys 3</v>
          </cell>
          <cell r="C184" t="str">
            <v>Prathap Sagar</v>
          </cell>
          <cell r="D184" t="str">
            <v>IT</v>
          </cell>
          <cell r="E184" t="str">
            <v>Prathap Sagar</v>
          </cell>
          <cell r="F184" t="str">
            <v>Services</v>
          </cell>
        </row>
        <row r="185">
          <cell r="A185" t="str">
            <v>Infosys ADM</v>
          </cell>
          <cell r="B185" t="str">
            <v>Infosys ADM</v>
          </cell>
          <cell r="C185" t="str">
            <v>Prathap Sagar</v>
          </cell>
          <cell r="D185" t="str">
            <v>IT</v>
          </cell>
          <cell r="E185" t="str">
            <v>Prathap Sagar</v>
          </cell>
          <cell r="F185" t="str">
            <v>Services</v>
          </cell>
        </row>
        <row r="186">
          <cell r="A186" t="str">
            <v>Infosys CIS</v>
          </cell>
          <cell r="B186" t="str">
            <v>Infosys CIS</v>
          </cell>
          <cell r="C186" t="str">
            <v>Prathap Sagar</v>
          </cell>
          <cell r="D186" t="str">
            <v>IT</v>
          </cell>
          <cell r="E186" t="str">
            <v>Prathap Sagar</v>
          </cell>
          <cell r="F186" t="str">
            <v>Services</v>
          </cell>
        </row>
        <row r="187">
          <cell r="A187" t="str">
            <v>Infosys Consulting</v>
          </cell>
          <cell r="B187" t="str">
            <v>Infosys Consulting</v>
          </cell>
          <cell r="C187" t="str">
            <v>Prathap Sagar</v>
          </cell>
          <cell r="D187" t="str">
            <v>IT</v>
          </cell>
          <cell r="E187" t="str">
            <v>Prathap Sagar</v>
          </cell>
          <cell r="F187" t="str">
            <v>Services</v>
          </cell>
        </row>
        <row r="188">
          <cell r="A188" t="str">
            <v>Infosys IVS</v>
          </cell>
          <cell r="B188" t="str">
            <v>Infosys IVS</v>
          </cell>
          <cell r="C188" t="str">
            <v>Prathap Sagar</v>
          </cell>
          <cell r="D188" t="str">
            <v>IT</v>
          </cell>
          <cell r="E188" t="str">
            <v>Prathap Sagar</v>
          </cell>
          <cell r="F188" t="str">
            <v>Services</v>
          </cell>
        </row>
        <row r="189">
          <cell r="A189" t="str">
            <v>Infosys Limited-BPM</v>
          </cell>
          <cell r="B189" t="str">
            <v>Infosys Limited-BPM</v>
          </cell>
          <cell r="C189" t="str">
            <v>Prathap Sagar</v>
          </cell>
          <cell r="D189" t="str">
            <v>IT</v>
          </cell>
          <cell r="E189" t="str">
            <v>Prathap Sagar</v>
          </cell>
          <cell r="F189" t="str">
            <v>Services</v>
          </cell>
        </row>
        <row r="190">
          <cell r="A190" t="str">
            <v>Infosys Oracle</v>
          </cell>
          <cell r="B190" t="str">
            <v>Infosys Oracle</v>
          </cell>
          <cell r="C190" t="str">
            <v>Prathap Sagar</v>
          </cell>
          <cell r="D190" t="str">
            <v>IT</v>
          </cell>
          <cell r="E190" t="str">
            <v>Prathap Sagar</v>
          </cell>
          <cell r="F190" t="str">
            <v>Services</v>
          </cell>
        </row>
        <row r="191">
          <cell r="A191" t="str">
            <v>Infosys SAP</v>
          </cell>
          <cell r="B191" t="str">
            <v>Infosys SAP</v>
          </cell>
          <cell r="C191" t="str">
            <v>Prathap Sagar</v>
          </cell>
          <cell r="D191" t="str">
            <v>IT</v>
          </cell>
          <cell r="E191" t="str">
            <v>Prathap Sagar</v>
          </cell>
          <cell r="F191" t="str">
            <v>Services</v>
          </cell>
        </row>
        <row r="192">
          <cell r="A192" t="str">
            <v>Infosys_4</v>
          </cell>
          <cell r="B192" t="str">
            <v>Infosys_4</v>
          </cell>
          <cell r="C192" t="str">
            <v>Prathap Sagar</v>
          </cell>
          <cell r="D192" t="str">
            <v>IT</v>
          </cell>
          <cell r="E192" t="str">
            <v>Prathap Sagar</v>
          </cell>
          <cell r="F192" t="str">
            <v>Services</v>
          </cell>
        </row>
        <row r="193">
          <cell r="A193" t="str">
            <v>Infosys_COE</v>
          </cell>
          <cell r="B193" t="str">
            <v>Infosys_COE</v>
          </cell>
          <cell r="C193" t="str">
            <v>Prathap Sagar</v>
          </cell>
          <cell r="D193" t="str">
            <v>IT</v>
          </cell>
          <cell r="E193" t="str">
            <v>Prathap Sagar</v>
          </cell>
          <cell r="F193" t="str">
            <v>Services</v>
          </cell>
        </row>
        <row r="194">
          <cell r="A194" t="str">
            <v>Infosys_DNA</v>
          </cell>
          <cell r="B194" t="str">
            <v>Infosys_DNA</v>
          </cell>
          <cell r="C194" t="str">
            <v>Prathap Sagar</v>
          </cell>
          <cell r="D194" t="str">
            <v>IT</v>
          </cell>
          <cell r="E194" t="str">
            <v>Prathap Sagar</v>
          </cell>
          <cell r="F194" t="str">
            <v>Services</v>
          </cell>
        </row>
        <row r="195">
          <cell r="A195" t="str">
            <v>Infosys_DX</v>
          </cell>
          <cell r="B195" t="str">
            <v>Infosys_DX</v>
          </cell>
          <cell r="C195" t="str">
            <v>Prathap Sagar</v>
          </cell>
          <cell r="D195" t="str">
            <v>IT</v>
          </cell>
          <cell r="E195" t="str">
            <v>Prathap Sagar</v>
          </cell>
          <cell r="F195" t="str">
            <v>Services</v>
          </cell>
        </row>
        <row r="196">
          <cell r="A196" t="str">
            <v>Infosys_US</v>
          </cell>
          <cell r="B196" t="str">
            <v>Infosys_US</v>
          </cell>
          <cell r="C196" t="str">
            <v>Prathap Sagar</v>
          </cell>
          <cell r="D196" t="str">
            <v>IT</v>
          </cell>
          <cell r="E196" t="str">
            <v>Prathap Sagar</v>
          </cell>
          <cell r="F196" t="str">
            <v>Services</v>
          </cell>
        </row>
        <row r="197">
          <cell r="A197" t="str">
            <v>Infosys-FTE</v>
          </cell>
          <cell r="B197" t="str">
            <v>Infosys-FTE</v>
          </cell>
          <cell r="C197" t="str">
            <v>Prathap Sagar</v>
          </cell>
          <cell r="D197" t="str">
            <v>IT</v>
          </cell>
          <cell r="E197" t="str">
            <v>Prathap Sagar</v>
          </cell>
          <cell r="F197" t="str">
            <v>Services</v>
          </cell>
        </row>
        <row r="198">
          <cell r="A198" t="str">
            <v>Infosys-India Pvt Ltd</v>
          </cell>
          <cell r="B198" t="str">
            <v>Infosys-India Pvt Ltd</v>
          </cell>
          <cell r="C198" t="str">
            <v>Prathap Sagar</v>
          </cell>
          <cell r="D198" t="str">
            <v>IT</v>
          </cell>
          <cell r="E198" t="str">
            <v>Prathap Sagar</v>
          </cell>
          <cell r="F198" t="str">
            <v>Services</v>
          </cell>
        </row>
        <row r="199">
          <cell r="A199" t="str">
            <v>Infosys-Microsoft</v>
          </cell>
          <cell r="B199" t="str">
            <v>Infosys-Microsoft</v>
          </cell>
          <cell r="C199" t="str">
            <v>Prathap Sagar</v>
          </cell>
          <cell r="D199" t="str">
            <v>IT</v>
          </cell>
          <cell r="E199" t="str">
            <v>Prathap Sagar</v>
          </cell>
          <cell r="F199" t="str">
            <v>Services</v>
          </cell>
        </row>
        <row r="200">
          <cell r="A200" t="str">
            <v>INMobi</v>
          </cell>
          <cell r="B200" t="str">
            <v>INMobi</v>
          </cell>
          <cell r="C200" t="str">
            <v>Mher</v>
          </cell>
          <cell r="D200" t="str">
            <v>IT</v>
          </cell>
          <cell r="E200" t="str">
            <v>Mher</v>
          </cell>
          <cell r="F200" t="str">
            <v>Captive</v>
          </cell>
        </row>
        <row r="201">
          <cell r="A201" t="str">
            <v>Intel</v>
          </cell>
          <cell r="B201" t="str">
            <v>Intel</v>
          </cell>
          <cell r="C201" t="str">
            <v>Deepak Desai</v>
          </cell>
          <cell r="D201" t="str">
            <v>IT</v>
          </cell>
          <cell r="E201" t="str">
            <v>Deepak Desai</v>
          </cell>
          <cell r="F201" t="str">
            <v>Captive</v>
          </cell>
        </row>
        <row r="202">
          <cell r="A202" t="str">
            <v>Intuit</v>
          </cell>
          <cell r="B202" t="str">
            <v>Intuit</v>
          </cell>
          <cell r="C202" t="str">
            <v>Mher</v>
          </cell>
          <cell r="D202" t="str">
            <v>IT</v>
          </cell>
          <cell r="E202" t="str">
            <v>Mher</v>
          </cell>
          <cell r="F202" t="str">
            <v/>
          </cell>
        </row>
        <row r="203">
          <cell r="A203" t="str">
            <v xml:space="preserve">Iron Mountain </v>
          </cell>
          <cell r="B203" t="str">
            <v xml:space="preserve">Iron Mountain </v>
          </cell>
          <cell r="C203" t="str">
            <v>Akshata nayak</v>
          </cell>
          <cell r="D203" t="str">
            <v>IT</v>
          </cell>
          <cell r="E203" t="str">
            <v>Akshata nayak</v>
          </cell>
          <cell r="F203" t="str">
            <v/>
          </cell>
        </row>
        <row r="204">
          <cell r="A204" t="str">
            <v>Ivy Comptech</v>
          </cell>
          <cell r="B204" t="str">
            <v>Ivy Comptech</v>
          </cell>
          <cell r="C204">
            <v>0</v>
          </cell>
          <cell r="D204" t="str">
            <v>IT</v>
          </cell>
          <cell r="E204"/>
          <cell r="F204" t="str">
            <v>Services</v>
          </cell>
        </row>
        <row r="205">
          <cell r="A205" t="str">
            <v>JBPCO_MSA FTE</v>
          </cell>
          <cell r="B205" t="str">
            <v>JBPCO_MSA FTE</v>
          </cell>
          <cell r="C205" t="str">
            <v>Jawad Ulla Khan Non IT</v>
          </cell>
          <cell r="D205" t="str">
            <v>IT</v>
          </cell>
          <cell r="E205" t="str">
            <v>Jawad Ulla Khan Non IT</v>
          </cell>
          <cell r="F205" t="str">
            <v>Captive</v>
          </cell>
        </row>
        <row r="206">
          <cell r="A206" t="str">
            <v>JLL</v>
          </cell>
          <cell r="B206" t="str">
            <v>JLL</v>
          </cell>
          <cell r="C206" t="str">
            <v>Anuradha Murthy</v>
          </cell>
          <cell r="D206" t="str">
            <v>IT</v>
          </cell>
          <cell r="E206" t="str">
            <v>Anuradha Murthy</v>
          </cell>
          <cell r="F206" t="str">
            <v>Captive</v>
          </cell>
        </row>
        <row r="207">
          <cell r="A207" t="str">
            <v>JLL Routing</v>
          </cell>
          <cell r="B207" t="str">
            <v>JLL Routing</v>
          </cell>
          <cell r="C207" t="str">
            <v>Anuradha Murthy</v>
          </cell>
          <cell r="D207" t="str">
            <v>IT</v>
          </cell>
          <cell r="E207" t="str">
            <v>Anuradha Murthy</v>
          </cell>
          <cell r="F207" t="str">
            <v>Captive</v>
          </cell>
        </row>
        <row r="208">
          <cell r="A208" t="str">
            <v>JLT Cont</v>
          </cell>
          <cell r="B208" t="str">
            <v>JLT Cont</v>
          </cell>
          <cell r="C208" t="str">
            <v>Akshata nayak</v>
          </cell>
          <cell r="D208" t="str">
            <v>IT</v>
          </cell>
          <cell r="E208" t="str">
            <v>Akshata nayak</v>
          </cell>
          <cell r="F208" t="str">
            <v/>
          </cell>
        </row>
        <row r="209">
          <cell r="A209" t="str">
            <v>JLT India</v>
          </cell>
          <cell r="B209" t="str">
            <v>Xylem INC</v>
          </cell>
          <cell r="C209">
            <v>0</v>
          </cell>
          <cell r="D209" t="str">
            <v>IT</v>
          </cell>
          <cell r="E209"/>
          <cell r="F209" t="str">
            <v>Captive</v>
          </cell>
        </row>
        <row r="210">
          <cell r="A210" t="str">
            <v>Johnson Electric</v>
          </cell>
          <cell r="B210" t="str">
            <v>Johnson Electric</v>
          </cell>
          <cell r="C210" t="str">
            <v>Sadhna Shukla</v>
          </cell>
          <cell r="D210" t="str">
            <v>IT</v>
          </cell>
          <cell r="E210" t="str">
            <v>Sadhna Shukla</v>
          </cell>
          <cell r="F210" t="str">
            <v>Captive</v>
          </cell>
        </row>
        <row r="211">
          <cell r="A211" t="str">
            <v>Kennametal IT</v>
          </cell>
          <cell r="B211" t="str">
            <v>Kennametal IT</v>
          </cell>
          <cell r="C211" t="str">
            <v>Deepak Desai</v>
          </cell>
          <cell r="D211" t="str">
            <v>IT</v>
          </cell>
          <cell r="E211" t="str">
            <v>Deepak Desai</v>
          </cell>
          <cell r="F211" t="str">
            <v>Services</v>
          </cell>
        </row>
        <row r="212">
          <cell r="A212" t="str">
            <v>Kennametal shared services</v>
          </cell>
          <cell r="B212" t="str">
            <v>Kennametal shared services</v>
          </cell>
          <cell r="C212" t="str">
            <v>Deepak Desai Non IT</v>
          </cell>
          <cell r="D212" t="str">
            <v>Non IT</v>
          </cell>
          <cell r="E212" t="str">
            <v>Deepak Desai Non IT</v>
          </cell>
          <cell r="F212" t="str">
            <v>Services</v>
          </cell>
        </row>
        <row r="213">
          <cell r="A213" t="str">
            <v>Kent Engineering India Pvt Ltd</v>
          </cell>
          <cell r="B213" t="str">
            <v>Kent Engineering India Pvt Ltd</v>
          </cell>
          <cell r="C213" t="str">
            <v>Deepak Desai</v>
          </cell>
          <cell r="D213" t="str">
            <v>IT</v>
          </cell>
          <cell r="E213" t="str">
            <v>Deepak Desai</v>
          </cell>
          <cell r="F213" t="str">
            <v>Services</v>
          </cell>
        </row>
        <row r="214">
          <cell r="A214" t="str">
            <v>Kimberly clark</v>
          </cell>
          <cell r="B214" t="str">
            <v>Kimberly clark</v>
          </cell>
          <cell r="C214" t="str">
            <v>Deepak Desai</v>
          </cell>
          <cell r="D214" t="str">
            <v>IT</v>
          </cell>
          <cell r="E214" t="str">
            <v>Deepak Desai</v>
          </cell>
          <cell r="F214" t="str">
            <v>Captive</v>
          </cell>
        </row>
        <row r="215">
          <cell r="A215" t="str">
            <v>KMART</v>
          </cell>
          <cell r="B215" t="str">
            <v>KMART</v>
          </cell>
          <cell r="C215" t="str">
            <v>Jawad Ulla Khan Non IT</v>
          </cell>
          <cell r="D215" t="str">
            <v>IT</v>
          </cell>
          <cell r="E215" t="str">
            <v>Jawad Ulla Khan Non IT</v>
          </cell>
          <cell r="F215" t="str">
            <v>Captive</v>
          </cell>
        </row>
        <row r="216">
          <cell r="A216" t="str">
            <v>Koch Industries</v>
          </cell>
          <cell r="B216" t="str">
            <v>Koch Industries</v>
          </cell>
          <cell r="C216" t="str">
            <v>Anuradha Murthy</v>
          </cell>
          <cell r="D216" t="str">
            <v>IT</v>
          </cell>
          <cell r="E216" t="str">
            <v>Anuradha Murthy</v>
          </cell>
          <cell r="F216" t="str">
            <v>Captive</v>
          </cell>
        </row>
        <row r="217">
          <cell r="A217" t="str">
            <v>Koch Industries-challengers</v>
          </cell>
          <cell r="B217" t="str">
            <v>Koch Industries-challengers</v>
          </cell>
          <cell r="C217" t="str">
            <v>Anuradha Murthy</v>
          </cell>
          <cell r="D217" t="str">
            <v>IT</v>
          </cell>
          <cell r="E217" t="str">
            <v>Anuradha Murthy</v>
          </cell>
          <cell r="F217" t="str">
            <v/>
          </cell>
        </row>
        <row r="218">
          <cell r="A218" t="str">
            <v>KOCH_COE</v>
          </cell>
          <cell r="B218" t="str">
            <v>KOCH_COE</v>
          </cell>
          <cell r="C218" t="str">
            <v>Deepak Desai</v>
          </cell>
          <cell r="D218" t="str">
            <v>IT</v>
          </cell>
          <cell r="E218" t="str">
            <v>Deepak Desai</v>
          </cell>
          <cell r="F218" t="str">
            <v>Captive</v>
          </cell>
        </row>
        <row r="219">
          <cell r="A219" t="str">
            <v>Kofax</v>
          </cell>
          <cell r="B219" t="str">
            <v>Kofax</v>
          </cell>
          <cell r="C219" t="str">
            <v>None</v>
          </cell>
          <cell r="D219" t="str">
            <v>IT</v>
          </cell>
          <cell r="E219" t="str">
            <v>None</v>
          </cell>
          <cell r="F219" t="str">
            <v/>
          </cell>
        </row>
        <row r="220">
          <cell r="A220" t="str">
            <v>KPMG</v>
          </cell>
          <cell r="B220" t="str">
            <v>KPMG</v>
          </cell>
          <cell r="C220" t="str">
            <v>Deepak Desai</v>
          </cell>
          <cell r="D220" t="str">
            <v>IT</v>
          </cell>
          <cell r="E220" t="str">
            <v>Deepak Desai</v>
          </cell>
          <cell r="F220" t="str">
            <v/>
          </cell>
        </row>
        <row r="221">
          <cell r="A221" t="str">
            <v>kyndryl</v>
          </cell>
          <cell r="B221" t="str">
            <v>kyndryl</v>
          </cell>
          <cell r="C221" t="str">
            <v>Deepak Desai</v>
          </cell>
          <cell r="D221" t="str">
            <v>IT</v>
          </cell>
          <cell r="E221" t="str">
            <v>Deepak Desai</v>
          </cell>
          <cell r="F221" t="str">
            <v>Services</v>
          </cell>
        </row>
        <row r="222">
          <cell r="A222" t="str">
            <v>L&amp;T</v>
          </cell>
          <cell r="B222" t="str">
            <v>L&amp;T</v>
          </cell>
          <cell r="C222" t="str">
            <v>Deepak Desai</v>
          </cell>
          <cell r="D222" t="str">
            <v>IT</v>
          </cell>
          <cell r="E222" t="str">
            <v>Deepak Desai</v>
          </cell>
          <cell r="F222" t="str">
            <v>Services</v>
          </cell>
        </row>
        <row r="223">
          <cell r="A223" t="str">
            <v>L&amp;T Technology services Pvt Ltd</v>
          </cell>
          <cell r="B223" t="str">
            <v>L&amp;T Technology services Pvt Ltd</v>
          </cell>
          <cell r="C223" t="str">
            <v>Kiran Gowda</v>
          </cell>
          <cell r="D223" t="str">
            <v>IT</v>
          </cell>
          <cell r="E223" t="str">
            <v>Kiran Gowda</v>
          </cell>
          <cell r="F223" t="str">
            <v>Services</v>
          </cell>
        </row>
        <row r="224">
          <cell r="A224" t="str">
            <v>L&amp;T-Cont</v>
          </cell>
          <cell r="B224" t="str">
            <v>L&amp;T-Cont</v>
          </cell>
          <cell r="C224" t="str">
            <v>Deepak Desai</v>
          </cell>
          <cell r="D224" t="str">
            <v>IT</v>
          </cell>
          <cell r="E224" t="str">
            <v>Deepak Desai</v>
          </cell>
          <cell r="F224" t="str">
            <v>Services</v>
          </cell>
        </row>
        <row r="225">
          <cell r="A225" t="str">
            <v>L&amp;T-Perm</v>
          </cell>
          <cell r="B225" t="str">
            <v>L&amp;T-Perm</v>
          </cell>
          <cell r="C225" t="str">
            <v>Deepak Desai</v>
          </cell>
          <cell r="D225" t="str">
            <v>IT</v>
          </cell>
          <cell r="E225" t="str">
            <v>Deepak Desai</v>
          </cell>
          <cell r="F225" t="str">
            <v>Services</v>
          </cell>
        </row>
        <row r="226">
          <cell r="A226" t="str">
            <v>Lam Research</v>
          </cell>
          <cell r="B226" t="str">
            <v>Lam Research</v>
          </cell>
          <cell r="C226" t="str">
            <v>Sadhna Shukla</v>
          </cell>
          <cell r="D226" t="str">
            <v>IT</v>
          </cell>
          <cell r="E226" t="str">
            <v>Sadhna Shukla</v>
          </cell>
          <cell r="F226" t="str">
            <v>Captive</v>
          </cell>
        </row>
        <row r="227">
          <cell r="A227" t="str">
            <v>Lanxess India Private Limited</v>
          </cell>
          <cell r="B227" t="str">
            <v>Lanxess India Private Limited</v>
          </cell>
          <cell r="C227" t="str">
            <v>Mher</v>
          </cell>
          <cell r="D227" t="str">
            <v>IT</v>
          </cell>
          <cell r="E227" t="str">
            <v>Mher</v>
          </cell>
          <cell r="F227" t="str">
            <v/>
          </cell>
        </row>
        <row r="228">
          <cell r="A228" t="str">
            <v>Lenovo</v>
          </cell>
          <cell r="B228" t="str">
            <v>Lenovo</v>
          </cell>
          <cell r="C228" t="str">
            <v>Jawad Ulla Khan Non IT</v>
          </cell>
          <cell r="D228" t="str">
            <v>Non IT</v>
          </cell>
          <cell r="E228" t="str">
            <v>Jawad Ulla Khan Non IT</v>
          </cell>
          <cell r="F228" t="str">
            <v>ITES</v>
          </cell>
        </row>
        <row r="229">
          <cell r="A229" t="str">
            <v>Lenovo 2</v>
          </cell>
          <cell r="B229" t="str">
            <v>Lenovo 2</v>
          </cell>
          <cell r="C229" t="str">
            <v>Jawad Ulla Khan Non IT</v>
          </cell>
          <cell r="D229" t="str">
            <v>Non IT</v>
          </cell>
          <cell r="E229" t="str">
            <v>Jawad Ulla Khan Non IT</v>
          </cell>
          <cell r="F229" t="str">
            <v>ITES</v>
          </cell>
        </row>
        <row r="230">
          <cell r="A230" t="str">
            <v>London Stock Exchange Group</v>
          </cell>
          <cell r="B230" t="str">
            <v>London Stock Exchange Group</v>
          </cell>
          <cell r="C230" t="str">
            <v>Anuradha Murthy</v>
          </cell>
          <cell r="D230" t="str">
            <v>IT</v>
          </cell>
          <cell r="E230" t="str">
            <v>Anuradha Murthy</v>
          </cell>
          <cell r="F230" t="str">
            <v>Services</v>
          </cell>
        </row>
        <row r="231">
          <cell r="A231" t="str">
            <v>Lowes</v>
          </cell>
          <cell r="B231" t="str">
            <v>Lowes</v>
          </cell>
          <cell r="C231" t="str">
            <v>Mher</v>
          </cell>
          <cell r="D231" t="str">
            <v>IT</v>
          </cell>
          <cell r="E231" t="str">
            <v>Mher</v>
          </cell>
          <cell r="F231" t="str">
            <v>Captive</v>
          </cell>
        </row>
        <row r="232">
          <cell r="A232" t="str">
            <v>LTTS China</v>
          </cell>
          <cell r="B232" t="str">
            <v>LTTS China</v>
          </cell>
          <cell r="C232" t="str">
            <v>Deepak Desai</v>
          </cell>
          <cell r="D232" t="str">
            <v>IT</v>
          </cell>
          <cell r="E232" t="str">
            <v>Deepak Desai</v>
          </cell>
          <cell r="F232" t="str">
            <v>Services</v>
          </cell>
        </row>
        <row r="233">
          <cell r="A233" t="str">
            <v>LTTS China-FTE</v>
          </cell>
          <cell r="B233" t="str">
            <v>LTTS China-FTE</v>
          </cell>
          <cell r="C233" t="str">
            <v>Deepak Desai</v>
          </cell>
          <cell r="D233" t="str">
            <v>Non IT</v>
          </cell>
          <cell r="E233" t="str">
            <v>Deepak Desai</v>
          </cell>
          <cell r="F233" t="str">
            <v>ITES</v>
          </cell>
        </row>
        <row r="234">
          <cell r="A234" t="str">
            <v>Lumen</v>
          </cell>
          <cell r="B234" t="str">
            <v>Lumen</v>
          </cell>
          <cell r="C234" t="str">
            <v>Anuradha Murthy</v>
          </cell>
          <cell r="D234" t="str">
            <v>IT</v>
          </cell>
          <cell r="E234" t="str">
            <v>Anuradha Murthy</v>
          </cell>
          <cell r="F234" t="str">
            <v>Captive</v>
          </cell>
        </row>
        <row r="235">
          <cell r="A235" t="str">
            <v>Lumen routing</v>
          </cell>
          <cell r="B235" t="str">
            <v>Lumen routing</v>
          </cell>
          <cell r="C235" t="str">
            <v>Anuradha Murthy Non IT</v>
          </cell>
          <cell r="D235" t="str">
            <v>IT</v>
          </cell>
          <cell r="E235" t="str">
            <v>Anuradha Murthy Non IT</v>
          </cell>
          <cell r="F235" t="str">
            <v>ITES</v>
          </cell>
        </row>
        <row r="236">
          <cell r="A236" t="str">
            <v xml:space="preserve">Lumen routing </v>
          </cell>
          <cell r="B236" t="str">
            <v xml:space="preserve">Lumen routing </v>
          </cell>
          <cell r="C236" t="str">
            <v>Anuradha Murthy Non IT</v>
          </cell>
          <cell r="D236" t="str">
            <v>IT</v>
          </cell>
          <cell r="E236" t="str">
            <v>Anuradha Murthy Non IT</v>
          </cell>
          <cell r="F236" t="str">
            <v>ITES</v>
          </cell>
        </row>
        <row r="237">
          <cell r="A237" t="str">
            <v xml:space="preserve">Manipal Edu </v>
          </cell>
          <cell r="B237" t="str">
            <v xml:space="preserve">Manipal Edu </v>
          </cell>
          <cell r="C237" t="str">
            <v>Jawad Ulla Khan Non IT</v>
          </cell>
          <cell r="D237" t="str">
            <v>Non IT</v>
          </cell>
          <cell r="E237" t="str">
            <v>Jawad Ulla Khan Non IT</v>
          </cell>
          <cell r="F237" t="str">
            <v>ITES</v>
          </cell>
        </row>
        <row r="238">
          <cell r="A238" t="str">
            <v xml:space="preserve">Manipal Global </v>
          </cell>
          <cell r="B238" t="str">
            <v xml:space="preserve">Manipal Global </v>
          </cell>
          <cell r="C238" t="str">
            <v>Jawad Ulla Khan Non IT</v>
          </cell>
          <cell r="D238" t="str">
            <v>Non IT</v>
          </cell>
          <cell r="E238" t="str">
            <v>Jawad Ulla Khan Non IT</v>
          </cell>
          <cell r="F238" t="str">
            <v>ITES</v>
          </cell>
        </row>
        <row r="239">
          <cell r="A239" t="str">
            <v>Medline</v>
          </cell>
          <cell r="B239" t="str">
            <v>Medline</v>
          </cell>
          <cell r="C239" t="str">
            <v>Jawad Ulla Khan Non IT</v>
          </cell>
          <cell r="D239" t="str">
            <v>IT</v>
          </cell>
          <cell r="E239" t="str">
            <v>Jawad Ulla Khan Non IT</v>
          </cell>
          <cell r="F239" t="str">
            <v>Services</v>
          </cell>
        </row>
        <row r="240">
          <cell r="A240" t="str">
            <v>Medline Industries, LP</v>
          </cell>
          <cell r="B240" t="str">
            <v>Medline Industries, LP</v>
          </cell>
          <cell r="C240" t="str">
            <v>Jawad Ulla Khan Non IT</v>
          </cell>
          <cell r="D240" t="str">
            <v>Non IT</v>
          </cell>
          <cell r="E240" t="str">
            <v>Jawad Ulla Khan Non IT</v>
          </cell>
          <cell r="F240" t="str">
            <v>Services</v>
          </cell>
        </row>
        <row r="241">
          <cell r="A241" t="str">
            <v>Medtronic</v>
          </cell>
          <cell r="B241" t="str">
            <v>Medtronic</v>
          </cell>
          <cell r="C241" t="str">
            <v>Mher</v>
          </cell>
          <cell r="D241" t="str">
            <v>IT</v>
          </cell>
          <cell r="E241" t="str">
            <v>Mher</v>
          </cell>
          <cell r="F241" t="str">
            <v/>
          </cell>
        </row>
        <row r="242">
          <cell r="A242" t="str">
            <v>Meolaa</v>
          </cell>
          <cell r="B242" t="str">
            <v>Meolaa</v>
          </cell>
          <cell r="C242" t="str">
            <v>Jawad Ulla Khan Non IT</v>
          </cell>
          <cell r="D242" t="str">
            <v>Non IT</v>
          </cell>
          <cell r="E242" t="str">
            <v>Jawad Ulla Khan Non IT</v>
          </cell>
          <cell r="F242" t="str">
            <v>ITES</v>
          </cell>
        </row>
        <row r="243">
          <cell r="A243" t="str">
            <v>Mercedes</v>
          </cell>
          <cell r="B243" t="str">
            <v>Mercedes</v>
          </cell>
          <cell r="C243" t="str">
            <v>Deepak Desai</v>
          </cell>
          <cell r="D243" t="str">
            <v>IT</v>
          </cell>
          <cell r="E243" t="str">
            <v>Deepak Desai</v>
          </cell>
          <cell r="F243" t="str">
            <v>Captive</v>
          </cell>
        </row>
        <row r="244">
          <cell r="A244" t="str">
            <v>Mercedes benz</v>
          </cell>
          <cell r="B244" t="str">
            <v>Mercedes benz</v>
          </cell>
          <cell r="C244" t="str">
            <v>Deepak Desai</v>
          </cell>
          <cell r="D244" t="str">
            <v>IT</v>
          </cell>
          <cell r="E244" t="str">
            <v>Deepak Desai</v>
          </cell>
          <cell r="F244" t="str">
            <v>Captive</v>
          </cell>
        </row>
        <row r="245">
          <cell r="A245" t="str">
            <v>MercedesBenz-DTICI</v>
          </cell>
          <cell r="B245" t="str">
            <v>MercedesBenz-DTICI</v>
          </cell>
          <cell r="C245" t="str">
            <v>Deepak Desai</v>
          </cell>
          <cell r="D245" t="str">
            <v>IT</v>
          </cell>
          <cell r="E245" t="str">
            <v>Deepak Desai</v>
          </cell>
          <cell r="F245" t="str">
            <v>Captive</v>
          </cell>
        </row>
        <row r="246">
          <cell r="A246" t="str">
            <v>Moder Solutions</v>
          </cell>
          <cell r="B246" t="str">
            <v>Moder Solutions</v>
          </cell>
          <cell r="C246" t="str">
            <v>Deepak Desai</v>
          </cell>
          <cell r="D246" t="str">
            <v>IT</v>
          </cell>
          <cell r="E246" t="str">
            <v>Deepak Desai</v>
          </cell>
          <cell r="F246" t="str">
            <v>Services</v>
          </cell>
        </row>
        <row r="247">
          <cell r="A247" t="str">
            <v>Mondelez</v>
          </cell>
          <cell r="B247" t="str">
            <v>Mondelez</v>
          </cell>
          <cell r="C247" t="str">
            <v>Akshata nayak</v>
          </cell>
          <cell r="D247" t="str">
            <v>IT</v>
          </cell>
          <cell r="E247" t="str">
            <v>Akshata nayak</v>
          </cell>
          <cell r="F247">
            <v>0</v>
          </cell>
        </row>
        <row r="248">
          <cell r="A248" t="str">
            <v>Monsanto</v>
          </cell>
          <cell r="B248" t="str">
            <v>Monsanto</v>
          </cell>
          <cell r="C248" t="str">
            <v>Deepak Desai</v>
          </cell>
          <cell r="D248" t="str">
            <v>IT</v>
          </cell>
          <cell r="E248" t="str">
            <v>Deepak Desai</v>
          </cell>
          <cell r="F248" t="str">
            <v>Captive</v>
          </cell>
        </row>
        <row r="249">
          <cell r="A249" t="str">
            <v>Monsanto (Bayer) - Payroll</v>
          </cell>
          <cell r="B249" t="str">
            <v>Monsanto (Bayer) - Payroll</v>
          </cell>
          <cell r="C249" t="str">
            <v>Deepak Desai Non IT</v>
          </cell>
          <cell r="D249" t="str">
            <v>Non IT</v>
          </cell>
          <cell r="E249" t="str">
            <v>Deepak Desai Non IT</v>
          </cell>
          <cell r="F249" t="str">
            <v>ITES</v>
          </cell>
        </row>
        <row r="250">
          <cell r="A250" t="str">
            <v>Motherson</v>
          </cell>
          <cell r="B250" t="str">
            <v>Motherson</v>
          </cell>
          <cell r="C250" t="str">
            <v>Deepak Desai</v>
          </cell>
          <cell r="D250"/>
          <cell r="E250" t="str">
            <v>Deepak Desai</v>
          </cell>
          <cell r="F250" t="str">
            <v>Services</v>
          </cell>
        </row>
        <row r="251">
          <cell r="A251" t="str">
            <v>Motherson Group</v>
          </cell>
          <cell r="B251" t="str">
            <v>Motherson Group</v>
          </cell>
          <cell r="C251" t="str">
            <v>Deepak Desai</v>
          </cell>
          <cell r="D251"/>
          <cell r="E251" t="str">
            <v>Deepak Desai</v>
          </cell>
          <cell r="F251" t="str">
            <v>Services</v>
          </cell>
        </row>
        <row r="252">
          <cell r="A252" t="str">
            <v>MuSigma</v>
          </cell>
          <cell r="B252" t="str">
            <v>MuSigma</v>
          </cell>
          <cell r="C252" t="str">
            <v>Mher</v>
          </cell>
          <cell r="D252" t="str">
            <v>IT</v>
          </cell>
          <cell r="E252" t="str">
            <v>Mher</v>
          </cell>
          <cell r="F252" t="str">
            <v/>
          </cell>
        </row>
        <row r="253">
          <cell r="A253" t="str">
            <v>Myntra</v>
          </cell>
          <cell r="B253" t="str">
            <v>Myntra</v>
          </cell>
          <cell r="C253" t="str">
            <v>Mher</v>
          </cell>
          <cell r="D253" t="str">
            <v>IT</v>
          </cell>
          <cell r="E253" t="str">
            <v>Mher</v>
          </cell>
          <cell r="F253" t="str">
            <v/>
          </cell>
        </row>
        <row r="254">
          <cell r="A254" t="str">
            <v>National Instruments</v>
          </cell>
          <cell r="B254" t="str">
            <v>National Instruments</v>
          </cell>
          <cell r="C254" t="str">
            <v>Sadhna Shukla</v>
          </cell>
          <cell r="D254" t="str">
            <v>IT</v>
          </cell>
          <cell r="E254" t="str">
            <v>Sadhna Shukla</v>
          </cell>
          <cell r="F254" t="str">
            <v>Captive</v>
          </cell>
        </row>
        <row r="255">
          <cell r="A255" t="str">
            <v>NCSI Technologies</v>
          </cell>
          <cell r="B255" t="str">
            <v>NCSI Technologies</v>
          </cell>
          <cell r="C255">
            <v>0</v>
          </cell>
          <cell r="E255"/>
          <cell r="F255" t="str">
            <v>Services</v>
          </cell>
        </row>
        <row r="256">
          <cell r="A256" t="str">
            <v>NEC Corporation</v>
          </cell>
          <cell r="B256" t="str">
            <v>NEC Corporation</v>
          </cell>
          <cell r="C256" t="str">
            <v>Akshata nayak</v>
          </cell>
          <cell r="D256" t="str">
            <v>IT</v>
          </cell>
          <cell r="E256" t="str">
            <v>Akshata nayak</v>
          </cell>
          <cell r="F256" t="str">
            <v/>
          </cell>
        </row>
        <row r="257">
          <cell r="A257" t="str">
            <v>NetApp</v>
          </cell>
          <cell r="B257" t="str">
            <v>NetApp</v>
          </cell>
          <cell r="C257" t="str">
            <v>Sadhna Shukla</v>
          </cell>
          <cell r="D257" t="str">
            <v>IT</v>
          </cell>
          <cell r="E257" t="str">
            <v>Sadhna Shukla</v>
          </cell>
          <cell r="F257" t="str">
            <v>Captive</v>
          </cell>
        </row>
        <row r="258">
          <cell r="A258" t="str">
            <v>News Corp / NTS India</v>
          </cell>
          <cell r="B258" t="str">
            <v>News Corp / NTS India</v>
          </cell>
          <cell r="C258" t="str">
            <v>Anuradha Murthy</v>
          </cell>
          <cell r="D258" t="str">
            <v>IT</v>
          </cell>
          <cell r="E258" t="str">
            <v>Anuradha Murthy</v>
          </cell>
          <cell r="F258" t="str">
            <v>Captive</v>
          </cell>
        </row>
        <row r="259">
          <cell r="A259" t="str">
            <v>NewsCorp</v>
          </cell>
          <cell r="B259" t="str">
            <v>NewsCorp</v>
          </cell>
          <cell r="C259" t="str">
            <v>Deepak Desai</v>
          </cell>
          <cell r="D259" t="str">
            <v>IT</v>
          </cell>
          <cell r="E259" t="str">
            <v>Deepak Desai</v>
          </cell>
          <cell r="F259" t="str">
            <v/>
          </cell>
        </row>
        <row r="260">
          <cell r="A260" t="str">
            <v>Nexteer Automotives</v>
          </cell>
          <cell r="B260" t="str">
            <v>Nexteer Automotives</v>
          </cell>
          <cell r="C260" t="str">
            <v>Anuradha Murthy</v>
          </cell>
          <cell r="D260" t="str">
            <v>IT</v>
          </cell>
          <cell r="E260" t="str">
            <v>Anuradha Murthy</v>
          </cell>
          <cell r="F260" t="str">
            <v>Captive</v>
          </cell>
        </row>
        <row r="261">
          <cell r="A261" t="str">
            <v>Ninja van</v>
          </cell>
          <cell r="B261" t="str">
            <v>Ninja van</v>
          </cell>
          <cell r="C261" t="str">
            <v>Anuradha Murthy</v>
          </cell>
          <cell r="D261" t="str">
            <v>IT</v>
          </cell>
          <cell r="E261" t="str">
            <v>Anuradha Murthy</v>
          </cell>
          <cell r="F261" t="str">
            <v>Services</v>
          </cell>
        </row>
        <row r="262">
          <cell r="A262" t="str">
            <v>Northern Trust</v>
          </cell>
          <cell r="B262" t="str">
            <v>Northern Trust</v>
          </cell>
          <cell r="C262" t="str">
            <v>Anuradha Murthy</v>
          </cell>
          <cell r="D262" t="str">
            <v>IT</v>
          </cell>
          <cell r="E262" t="str">
            <v>Anuradha Murthy</v>
          </cell>
          <cell r="F262" t="str">
            <v>Captive</v>
          </cell>
        </row>
        <row r="263">
          <cell r="A263" t="str">
            <v>NorthernTrust- Payroll</v>
          </cell>
          <cell r="B263" t="str">
            <v>NorthernTrust- Payroll</v>
          </cell>
          <cell r="C263" t="str">
            <v>Anuradha Murthy Non IT</v>
          </cell>
          <cell r="D263" t="str">
            <v>Non IT</v>
          </cell>
          <cell r="E263" t="str">
            <v>Anuradha Murthy Non IT</v>
          </cell>
          <cell r="F263" t="str">
            <v>Services</v>
          </cell>
        </row>
        <row r="264">
          <cell r="A264" t="str">
            <v>Novartis</v>
          </cell>
          <cell r="B264" t="str">
            <v>Novartis</v>
          </cell>
          <cell r="C264" t="str">
            <v>Anuradha Murthy</v>
          </cell>
          <cell r="D264" t="str">
            <v>IT</v>
          </cell>
          <cell r="E264" t="str">
            <v>Anuradha Murthy</v>
          </cell>
          <cell r="F264" t="str">
            <v>Captive</v>
          </cell>
        </row>
        <row r="265">
          <cell r="A265" t="str">
            <v>NSEIT-Term Staffing</v>
          </cell>
          <cell r="B265" t="str">
            <v>NSEIT-Term Staffing</v>
          </cell>
          <cell r="C265" t="str">
            <v>None</v>
          </cell>
          <cell r="D265" t="str">
            <v>Payroll</v>
          </cell>
          <cell r="E265" t="str">
            <v>None</v>
          </cell>
          <cell r="F265" t="str">
            <v/>
          </cell>
        </row>
        <row r="266">
          <cell r="A266" t="str">
            <v>OLX</v>
          </cell>
          <cell r="B266" t="str">
            <v>OLX</v>
          </cell>
          <cell r="C266" t="str">
            <v>Akshata nayak</v>
          </cell>
          <cell r="D266" t="str">
            <v>IT</v>
          </cell>
          <cell r="E266" t="str">
            <v>Akshata nayak</v>
          </cell>
          <cell r="F266" t="str">
            <v/>
          </cell>
        </row>
        <row r="267">
          <cell r="A267" t="str">
            <v>Orange Business Services</v>
          </cell>
          <cell r="B267" t="str">
            <v>Orange Business Services</v>
          </cell>
          <cell r="C267" t="str">
            <v>Mher</v>
          </cell>
          <cell r="D267" t="str">
            <v>IT</v>
          </cell>
          <cell r="E267" t="str">
            <v>Mher</v>
          </cell>
          <cell r="F267" t="str">
            <v/>
          </cell>
        </row>
        <row r="268">
          <cell r="A268" t="str">
            <v>OSBI</v>
          </cell>
          <cell r="B268" t="str">
            <v>OSBI</v>
          </cell>
          <cell r="C268" t="str">
            <v>Anuradha Murthy</v>
          </cell>
          <cell r="D268" t="str">
            <v>IT</v>
          </cell>
          <cell r="E268" t="str">
            <v>Anuradha Murthy</v>
          </cell>
          <cell r="F268" t="str">
            <v>Captive</v>
          </cell>
        </row>
        <row r="269">
          <cell r="A269" t="str">
            <v>OSBI_Payroll</v>
          </cell>
          <cell r="B269" t="str">
            <v>OSBI_Payroll</v>
          </cell>
          <cell r="C269" t="str">
            <v>Anuradha Murthy Non IT</v>
          </cell>
          <cell r="D269" t="str">
            <v>Non IT</v>
          </cell>
          <cell r="E269" t="str">
            <v>Anuradha Murthy Non IT</v>
          </cell>
          <cell r="F269" t="str">
            <v>ITES</v>
          </cell>
        </row>
        <row r="270">
          <cell r="A270" t="str">
            <v>OTIS</v>
          </cell>
          <cell r="B270" t="str">
            <v>OTIS</v>
          </cell>
          <cell r="C270" t="str">
            <v>Sadhna Shukla</v>
          </cell>
          <cell r="D270" t="str">
            <v>IT</v>
          </cell>
          <cell r="E270" t="str">
            <v>Sadhna Shukla</v>
          </cell>
          <cell r="F270" t="str">
            <v>Captive</v>
          </cell>
        </row>
        <row r="271">
          <cell r="A271" t="str">
            <v>Pearsons</v>
          </cell>
          <cell r="B271" t="str">
            <v>Pearsons</v>
          </cell>
          <cell r="C271" t="str">
            <v>Akshata nayak</v>
          </cell>
          <cell r="D271" t="str">
            <v>IT</v>
          </cell>
          <cell r="E271" t="str">
            <v>Akshata nayak</v>
          </cell>
          <cell r="F271" t="str">
            <v/>
          </cell>
        </row>
        <row r="272">
          <cell r="A272" t="str">
            <v>Pfizer</v>
          </cell>
          <cell r="B272" t="str">
            <v>Pfizer</v>
          </cell>
          <cell r="C272" t="str">
            <v>Mher</v>
          </cell>
          <cell r="D272" t="str">
            <v>IT</v>
          </cell>
          <cell r="E272" t="str">
            <v>Mher</v>
          </cell>
          <cell r="F272" t="str">
            <v>Services</v>
          </cell>
        </row>
        <row r="273">
          <cell r="A273" t="str">
            <v>Photon</v>
          </cell>
          <cell r="B273" t="str">
            <v>Photon</v>
          </cell>
          <cell r="C273" t="str">
            <v>Aashis Ranjan</v>
          </cell>
          <cell r="D273"/>
          <cell r="E273" t="str">
            <v>Aashis Ranjan</v>
          </cell>
          <cell r="F273" t="str">
            <v>Services</v>
          </cell>
        </row>
        <row r="274">
          <cell r="A274" t="str">
            <v>Power Integration</v>
          </cell>
          <cell r="B274" t="str">
            <v>Power Integration</v>
          </cell>
          <cell r="C274" t="str">
            <v>Aashis Ranjan</v>
          </cell>
          <cell r="D274"/>
          <cell r="E274" t="str">
            <v>Aashis Ranjan</v>
          </cell>
          <cell r="F274" t="str">
            <v>Services</v>
          </cell>
        </row>
        <row r="275">
          <cell r="A275" t="str">
            <v>PricewaterhouseCoopers</v>
          </cell>
          <cell r="B275" t="str">
            <v>PricewaterhouseCoopers</v>
          </cell>
          <cell r="C275" t="str">
            <v>Deepak Desai</v>
          </cell>
          <cell r="D275" t="str">
            <v>IT</v>
          </cell>
          <cell r="E275" t="str">
            <v>Deepak Desai</v>
          </cell>
          <cell r="F275" t="str">
            <v>Services</v>
          </cell>
        </row>
        <row r="276">
          <cell r="A276" t="str">
            <v>Publicis.Sapient</v>
          </cell>
          <cell r="B276" t="str">
            <v>Publicis.Sapient</v>
          </cell>
          <cell r="C276" t="str">
            <v>None</v>
          </cell>
          <cell r="D276" t="str">
            <v>IT</v>
          </cell>
          <cell r="E276" t="str">
            <v>None</v>
          </cell>
          <cell r="F276" t="str">
            <v>Services</v>
          </cell>
        </row>
        <row r="277">
          <cell r="A277" t="str">
            <v>Pure Storage</v>
          </cell>
          <cell r="B277" t="str">
            <v>Pure Storage</v>
          </cell>
          <cell r="C277" t="str">
            <v>Mher</v>
          </cell>
          <cell r="D277" t="str">
            <v>IT</v>
          </cell>
          <cell r="E277" t="str">
            <v>Mher</v>
          </cell>
          <cell r="F277" t="str">
            <v>Captive</v>
          </cell>
        </row>
        <row r="278">
          <cell r="A278" t="str">
            <v>PWC_COE</v>
          </cell>
          <cell r="B278" t="str">
            <v>PWC_COE</v>
          </cell>
          <cell r="C278" t="str">
            <v>Deepak Desai</v>
          </cell>
          <cell r="D278" t="str">
            <v>IT</v>
          </cell>
          <cell r="E278" t="str">
            <v>Deepak Desai</v>
          </cell>
          <cell r="F278" t="str">
            <v>Services</v>
          </cell>
        </row>
        <row r="279">
          <cell r="A279" t="str">
            <v>Quality Kiosk</v>
          </cell>
          <cell r="B279" t="str">
            <v>Quality Kiosk</v>
          </cell>
          <cell r="C279" t="str">
            <v>Akshata nayak</v>
          </cell>
          <cell r="D279" t="str">
            <v>IT</v>
          </cell>
          <cell r="E279" t="str">
            <v>Akshata nayak</v>
          </cell>
          <cell r="F279" t="str">
            <v/>
          </cell>
        </row>
        <row r="280">
          <cell r="A280" t="str">
            <v>QualityKiosk</v>
          </cell>
          <cell r="B280" t="str">
            <v>QualityKiosk</v>
          </cell>
          <cell r="C280" t="str">
            <v>Akshata nayak</v>
          </cell>
          <cell r="D280" t="str">
            <v>IT</v>
          </cell>
          <cell r="E280" t="str">
            <v>Akshata nayak</v>
          </cell>
          <cell r="F280" t="str">
            <v/>
          </cell>
        </row>
        <row r="281">
          <cell r="A281" t="str">
            <v>Quest</v>
          </cell>
          <cell r="B281" t="str">
            <v>Quest</v>
          </cell>
          <cell r="C281" t="str">
            <v>None</v>
          </cell>
          <cell r="D281" t="str">
            <v>IT</v>
          </cell>
          <cell r="E281" t="str">
            <v>None</v>
          </cell>
          <cell r="F281" t="str">
            <v/>
          </cell>
        </row>
        <row r="282">
          <cell r="A282" t="str">
            <v>Rapid7</v>
          </cell>
          <cell r="B282" t="str">
            <v>Rapid7</v>
          </cell>
          <cell r="C282" t="str">
            <v>Sadhna Shukla</v>
          </cell>
          <cell r="D282" t="str">
            <v>IT</v>
          </cell>
          <cell r="E282" t="str">
            <v>Sadhna Shukla</v>
          </cell>
          <cell r="F282" t="str">
            <v>Captive</v>
          </cell>
        </row>
        <row r="283">
          <cell r="A283" t="str">
            <v>RealPage</v>
          </cell>
          <cell r="B283" t="str">
            <v>RealPage</v>
          </cell>
          <cell r="C283" t="str">
            <v>Deepak Desai Non IT</v>
          </cell>
          <cell r="D283" t="str">
            <v>Non IT</v>
          </cell>
          <cell r="E283" t="str">
            <v>Deepak Desai Non IT</v>
          </cell>
          <cell r="F283" t="str">
            <v>ITES</v>
          </cell>
        </row>
        <row r="284">
          <cell r="A284" t="str">
            <v>RetailMeNot</v>
          </cell>
          <cell r="B284" t="str">
            <v>RetailMeNot</v>
          </cell>
          <cell r="C284" t="str">
            <v>None</v>
          </cell>
          <cell r="D284" t="str">
            <v>IT</v>
          </cell>
          <cell r="E284" t="str">
            <v>None</v>
          </cell>
          <cell r="F284" t="str">
            <v/>
          </cell>
        </row>
        <row r="285">
          <cell r="A285" t="str">
            <v>RImini_Street</v>
          </cell>
          <cell r="B285" t="str">
            <v>RImini_Street</v>
          </cell>
          <cell r="C285" t="str">
            <v>Anuradha Murthy</v>
          </cell>
          <cell r="D285" t="str">
            <v>IT</v>
          </cell>
          <cell r="E285" t="str">
            <v>Anuradha Murthy</v>
          </cell>
          <cell r="F285" t="str">
            <v>Services</v>
          </cell>
        </row>
        <row r="286">
          <cell r="A286" t="str">
            <v>Rohde &amp; Schwarz</v>
          </cell>
          <cell r="B286" t="str">
            <v>Rohde &amp; Schwarz</v>
          </cell>
          <cell r="C286" t="str">
            <v>Akshata nayak</v>
          </cell>
          <cell r="D286" t="str">
            <v>IT</v>
          </cell>
          <cell r="E286" t="str">
            <v>Akshata nayak</v>
          </cell>
          <cell r="F286" t="str">
            <v/>
          </cell>
        </row>
        <row r="287">
          <cell r="A287" t="str">
            <v>RR Donnelley</v>
          </cell>
          <cell r="B287" t="str">
            <v>RR Donnelley</v>
          </cell>
          <cell r="C287" t="str">
            <v>Anuradha Murthy</v>
          </cell>
          <cell r="D287" t="str">
            <v>IT</v>
          </cell>
          <cell r="E287" t="str">
            <v>Anuradha Murthy</v>
          </cell>
          <cell r="F287" t="str">
            <v>Services</v>
          </cell>
        </row>
        <row r="288">
          <cell r="A288" t="str">
            <v>Sage IT Inc</v>
          </cell>
          <cell r="B288" t="str">
            <v>Sage IT Inc</v>
          </cell>
          <cell r="C288" t="str">
            <v>Deepak Desai</v>
          </cell>
          <cell r="D288" t="str">
            <v>IT</v>
          </cell>
          <cell r="E288" t="str">
            <v>Deepak Desai</v>
          </cell>
          <cell r="F288" t="str">
            <v>Services</v>
          </cell>
        </row>
        <row r="289">
          <cell r="A289" t="str">
            <v>Saint Gobain</v>
          </cell>
          <cell r="B289" t="str">
            <v>Saint Gobain</v>
          </cell>
          <cell r="C289" t="str">
            <v>Deepak Desai</v>
          </cell>
          <cell r="D289" t="str">
            <v>IT</v>
          </cell>
          <cell r="E289" t="str">
            <v>Deepak Desai</v>
          </cell>
          <cell r="F289" t="str">
            <v>Services</v>
          </cell>
        </row>
        <row r="290">
          <cell r="A290" t="str">
            <v>Saint Gobain_perm</v>
          </cell>
          <cell r="B290" t="str">
            <v>Saint Gobain_perm</v>
          </cell>
          <cell r="C290" t="str">
            <v>Deepak Desai</v>
          </cell>
          <cell r="D290" t="str">
            <v>IT</v>
          </cell>
          <cell r="E290" t="str">
            <v>Deepak Desai</v>
          </cell>
          <cell r="F290" t="str">
            <v>Services</v>
          </cell>
        </row>
        <row r="291">
          <cell r="A291" t="str">
            <v>Sandoz</v>
          </cell>
          <cell r="B291" t="str">
            <v>Sandoz</v>
          </cell>
          <cell r="C291" t="str">
            <v>Anuradha Murthy</v>
          </cell>
          <cell r="D291" t="str">
            <v>IT</v>
          </cell>
          <cell r="E291" t="str">
            <v>Anuradha Murthy</v>
          </cell>
          <cell r="F291" t="str">
            <v>Services</v>
          </cell>
        </row>
        <row r="292">
          <cell r="A292" t="str">
            <v>Sasken Techologies ltd</v>
          </cell>
          <cell r="B292" t="str">
            <v>Sasken Techologies ltd</v>
          </cell>
          <cell r="C292" t="str">
            <v>Aashis Ranjan</v>
          </cell>
          <cell r="D292"/>
          <cell r="E292" t="str">
            <v>Aashis Ranjan</v>
          </cell>
          <cell r="F292" t="str">
            <v>Services</v>
          </cell>
        </row>
        <row r="293">
          <cell r="A293" t="str">
            <v>Scalable Systems</v>
          </cell>
          <cell r="B293" t="str">
            <v>Scalable Systems</v>
          </cell>
          <cell r="C293" t="str">
            <v>Aashis Ranjan</v>
          </cell>
          <cell r="D293"/>
          <cell r="E293" t="str">
            <v>Aashis Ranjan</v>
          </cell>
          <cell r="F293" t="str">
            <v>Captive</v>
          </cell>
        </row>
        <row r="294">
          <cell r="A294" t="str">
            <v>Schneider Electric</v>
          </cell>
          <cell r="B294" t="str">
            <v>Schneider Electric</v>
          </cell>
          <cell r="C294" t="str">
            <v>Sadhna Shukla</v>
          </cell>
          <cell r="D294" t="str">
            <v>IT</v>
          </cell>
          <cell r="E294" t="str">
            <v>Sadhna Shukla</v>
          </cell>
          <cell r="F294" t="str">
            <v>SOW Captive</v>
          </cell>
        </row>
        <row r="295">
          <cell r="A295" t="str">
            <v>Sharp Software Development India</v>
          </cell>
          <cell r="B295" t="str">
            <v>Sharp Software Development India</v>
          </cell>
          <cell r="C295" t="str">
            <v>Prathap Sagar</v>
          </cell>
          <cell r="D295" t="str">
            <v>IT</v>
          </cell>
          <cell r="E295" t="str">
            <v>Prathap Sagar</v>
          </cell>
          <cell r="F295" t="str">
            <v>Services</v>
          </cell>
        </row>
        <row r="296">
          <cell r="A296" t="str">
            <v xml:space="preserve">Sharp Software Development India </v>
          </cell>
          <cell r="B296" t="str">
            <v xml:space="preserve">Sharp Software Development India </v>
          </cell>
          <cell r="C296" t="str">
            <v>Prathap Sagar</v>
          </cell>
          <cell r="D296" t="str">
            <v>IT</v>
          </cell>
          <cell r="E296" t="str">
            <v>Prathap Sagar</v>
          </cell>
          <cell r="F296" t="str">
            <v>Services</v>
          </cell>
        </row>
        <row r="297">
          <cell r="A297" t="str">
            <v>Shell</v>
          </cell>
          <cell r="B297" t="str">
            <v>Shell</v>
          </cell>
          <cell r="C297" t="str">
            <v>Mher</v>
          </cell>
          <cell r="D297" t="str">
            <v>IT</v>
          </cell>
          <cell r="E297" t="str">
            <v>Mher</v>
          </cell>
          <cell r="F297" t="str">
            <v>Captive</v>
          </cell>
        </row>
        <row r="298">
          <cell r="A298" t="str">
            <v>Siemens DISW </v>
          </cell>
          <cell r="B298" t="str">
            <v>Siemens DISW </v>
          </cell>
          <cell r="C298" t="str">
            <v>Kiran Gowda</v>
          </cell>
          <cell r="D298"/>
          <cell r="E298" t="str">
            <v>Kiran Gowda</v>
          </cell>
          <cell r="F298" t="str">
            <v>Services</v>
          </cell>
        </row>
        <row r="299">
          <cell r="A299" t="str">
            <v>SLK</v>
          </cell>
          <cell r="B299" t="str">
            <v>SLK</v>
          </cell>
          <cell r="C299" t="str">
            <v>None</v>
          </cell>
          <cell r="D299" t="str">
            <v>IT</v>
          </cell>
          <cell r="E299" t="str">
            <v>None</v>
          </cell>
          <cell r="F299" t="str">
            <v/>
          </cell>
        </row>
        <row r="300">
          <cell r="A300" t="str">
            <v>Smart world - Dubai_Support</v>
          </cell>
          <cell r="B300" t="str">
            <v>Smart world - Dubai_Support</v>
          </cell>
          <cell r="C300" t="str">
            <v>Sadhna Shukla</v>
          </cell>
          <cell r="D300" t="str">
            <v>IT</v>
          </cell>
          <cell r="E300" t="str">
            <v>Sadhna Shukla</v>
          </cell>
          <cell r="F300" t="str">
            <v>Captive</v>
          </cell>
        </row>
        <row r="301">
          <cell r="A301" t="str">
            <v>Smarten spaces</v>
          </cell>
          <cell r="B301" t="str">
            <v>Smarten spaces</v>
          </cell>
          <cell r="C301" t="str">
            <v>Akshata nayak</v>
          </cell>
          <cell r="D301" t="str">
            <v>IT</v>
          </cell>
          <cell r="E301" t="str">
            <v>Akshata nayak</v>
          </cell>
          <cell r="F301" t="str">
            <v/>
          </cell>
        </row>
        <row r="302">
          <cell r="A302" t="str">
            <v>SMARTWORLD COMPUTER TRADING LLC</v>
          </cell>
          <cell r="B302" t="str">
            <v>SMARTWORLD COMPUTER TRADING LLC</v>
          </cell>
          <cell r="C302" t="str">
            <v>Sadhna Shukla</v>
          </cell>
          <cell r="D302" t="str">
            <v>IT</v>
          </cell>
          <cell r="E302" t="str">
            <v>Sadhna Shukla</v>
          </cell>
          <cell r="F302" t="str">
            <v>Captive</v>
          </cell>
        </row>
        <row r="303">
          <cell r="A303" t="str">
            <v>Snapdeal</v>
          </cell>
          <cell r="B303" t="str">
            <v>Snapdeal</v>
          </cell>
          <cell r="C303" t="str">
            <v>None</v>
          </cell>
          <cell r="D303" t="str">
            <v>IT</v>
          </cell>
          <cell r="E303" t="str">
            <v>None</v>
          </cell>
          <cell r="F303" t="str">
            <v/>
          </cell>
        </row>
        <row r="304">
          <cell r="A304" t="str">
            <v>Soc gen Ops</v>
          </cell>
          <cell r="B304" t="str">
            <v xml:space="preserve">Soc gen Ops </v>
          </cell>
          <cell r="C304" t="str">
            <v>Anuradha Murthy Non IT</v>
          </cell>
          <cell r="D304" t="str">
            <v>Non IT</v>
          </cell>
          <cell r="E304" t="str">
            <v>Anuradha Murthy Non IT</v>
          </cell>
          <cell r="F304" t="str">
            <v>ITES</v>
          </cell>
        </row>
        <row r="305">
          <cell r="A305" t="str">
            <v>Socgen</v>
          </cell>
          <cell r="B305" t="str">
            <v>Socgen</v>
          </cell>
          <cell r="C305" t="str">
            <v>Anuradha Murthy</v>
          </cell>
          <cell r="D305" t="str">
            <v>IT</v>
          </cell>
          <cell r="E305" t="str">
            <v>Anuradha Murthy</v>
          </cell>
          <cell r="F305" t="str">
            <v>Captive</v>
          </cell>
        </row>
        <row r="306">
          <cell r="A306" t="str">
            <v>Societe Generale</v>
          </cell>
          <cell r="B306" t="str">
            <v>Societe Generale</v>
          </cell>
          <cell r="C306" t="str">
            <v>Anuradha Murthy</v>
          </cell>
          <cell r="D306" t="str">
            <v>IT</v>
          </cell>
          <cell r="E306" t="str">
            <v>Anuradha Murthy</v>
          </cell>
          <cell r="F306" t="str">
            <v>Captive</v>
          </cell>
        </row>
        <row r="307">
          <cell r="A307" t="str">
            <v>Software One</v>
          </cell>
          <cell r="B307" t="str">
            <v>Software One</v>
          </cell>
          <cell r="C307" t="str">
            <v>Deepak Desai</v>
          </cell>
          <cell r="D307" t="str">
            <v>IT</v>
          </cell>
          <cell r="E307" t="str">
            <v>Deepak Desai</v>
          </cell>
          <cell r="F307" t="str">
            <v>Services</v>
          </cell>
        </row>
        <row r="308">
          <cell r="A308" t="str">
            <v>SONY Software Development Centre</v>
          </cell>
          <cell r="B308" t="str">
            <v>SONY Software Development Centre</v>
          </cell>
          <cell r="C308" t="str">
            <v>Mher</v>
          </cell>
          <cell r="D308" t="str">
            <v>IT</v>
          </cell>
          <cell r="E308" t="str">
            <v>Mher</v>
          </cell>
          <cell r="F308" t="str">
            <v>SOW Captive</v>
          </cell>
        </row>
        <row r="309">
          <cell r="A309" t="str">
            <v>Spring_ML</v>
          </cell>
          <cell r="B309" t="str">
            <v>Spring_ML</v>
          </cell>
          <cell r="C309" t="str">
            <v>None</v>
          </cell>
          <cell r="D309" t="str">
            <v>IT</v>
          </cell>
          <cell r="E309" t="str">
            <v>None</v>
          </cell>
          <cell r="F309" t="str">
            <v/>
          </cell>
        </row>
        <row r="310">
          <cell r="A310" t="str">
            <v>Strategic Staffing Solutions</v>
          </cell>
          <cell r="B310" t="str">
            <v>Strategic Staffing Solutions</v>
          </cell>
          <cell r="C310" t="str">
            <v>Aashis Ranjan</v>
          </cell>
          <cell r="D310"/>
          <cell r="E310" t="str">
            <v>Aashis Ranjan</v>
          </cell>
          <cell r="F310" t="str">
            <v/>
          </cell>
        </row>
        <row r="311">
          <cell r="A311" t="str">
            <v>Sulzer</v>
          </cell>
          <cell r="B311" t="str">
            <v>Sulzer</v>
          </cell>
          <cell r="C311" t="str">
            <v>Sadhna Shukla</v>
          </cell>
          <cell r="D311" t="str">
            <v>IT/Non IT</v>
          </cell>
          <cell r="E311" t="str">
            <v>Sadhna Shukla</v>
          </cell>
          <cell r="F311" t="str">
            <v>Captive</v>
          </cell>
        </row>
        <row r="312">
          <cell r="A312" t="str">
            <v>Summit Consulting</v>
          </cell>
          <cell r="B312" t="str">
            <v>Summit Consulting</v>
          </cell>
          <cell r="C312" t="str">
            <v>Deepak Desai</v>
          </cell>
          <cell r="D312"/>
          <cell r="E312" t="str">
            <v>Deepak Desai</v>
          </cell>
          <cell r="F312" t="str">
            <v>Captive</v>
          </cell>
        </row>
        <row r="313">
          <cell r="A313" t="str">
            <v>Sungard AS</v>
          </cell>
          <cell r="B313" t="str">
            <v>Sungard AS</v>
          </cell>
          <cell r="C313" t="str">
            <v>Sadhna Shukla</v>
          </cell>
          <cell r="D313" t="str">
            <v>IT</v>
          </cell>
          <cell r="E313" t="str">
            <v>Sadhna Shukla</v>
          </cell>
          <cell r="F313" t="str">
            <v>Captive</v>
          </cell>
        </row>
        <row r="314">
          <cell r="A314" t="str">
            <v>Super.Money </v>
          </cell>
          <cell r="B314" t="str">
            <v>Super.Money </v>
          </cell>
          <cell r="C314" t="str">
            <v>Mher</v>
          </cell>
          <cell r="D314" t="str">
            <v>IT</v>
          </cell>
          <cell r="E314" t="str">
            <v>Mher</v>
          </cell>
          <cell r="F314" t="str">
            <v/>
          </cell>
        </row>
        <row r="315">
          <cell r="A315" t="str">
            <v>Sutherland Global Services</v>
          </cell>
          <cell r="B315" t="str">
            <v>Sutherland Global Services</v>
          </cell>
          <cell r="C315" t="str">
            <v>None</v>
          </cell>
          <cell r="D315" t="str">
            <v>IT</v>
          </cell>
          <cell r="E315" t="str">
            <v>None</v>
          </cell>
          <cell r="F315" t="str">
            <v/>
          </cell>
        </row>
        <row r="316">
          <cell r="A316" t="str">
            <v>Swiss Re</v>
          </cell>
          <cell r="B316" t="str">
            <v>Swiss Re</v>
          </cell>
          <cell r="C316" t="str">
            <v>Anuradha Murthy</v>
          </cell>
          <cell r="D316" t="str">
            <v>IT</v>
          </cell>
          <cell r="E316" t="str">
            <v>Anuradha Murthy</v>
          </cell>
          <cell r="F316" t="str">
            <v>Services</v>
          </cell>
        </row>
        <row r="317">
          <cell r="A317" t="str">
            <v>Symplr</v>
          </cell>
          <cell r="B317" t="str">
            <v>Symplr</v>
          </cell>
          <cell r="C317" t="str">
            <v>Anuradha Murthy</v>
          </cell>
          <cell r="D317" t="str">
            <v>IT</v>
          </cell>
          <cell r="E317" t="str">
            <v>Anuradha Murthy</v>
          </cell>
          <cell r="F317" t="str">
            <v>Services</v>
          </cell>
        </row>
        <row r="318">
          <cell r="A318" t="str">
            <v>SYNITI</v>
          </cell>
          <cell r="B318" t="str">
            <v>SYNITI</v>
          </cell>
          <cell r="C318" t="str">
            <v>Deepak Desai</v>
          </cell>
          <cell r="D318" t="str">
            <v>IT</v>
          </cell>
          <cell r="E318" t="str">
            <v>Deepak Desai</v>
          </cell>
          <cell r="F318" t="str">
            <v>Services</v>
          </cell>
        </row>
        <row r="319">
          <cell r="A319" t="str">
            <v>Target</v>
          </cell>
          <cell r="B319" t="str">
            <v>Target</v>
          </cell>
          <cell r="C319" t="str">
            <v>Sadhna Shukla</v>
          </cell>
          <cell r="D319" t="str">
            <v>IT</v>
          </cell>
          <cell r="E319" t="str">
            <v>Sadhna Shukla</v>
          </cell>
          <cell r="F319" t="str">
            <v>Captive</v>
          </cell>
        </row>
        <row r="320">
          <cell r="A320" t="str">
            <v>Tata Consultancy Services</v>
          </cell>
          <cell r="B320" t="str">
            <v>Tata Consultancy Services</v>
          </cell>
          <cell r="C320" t="str">
            <v>Deepak Desai</v>
          </cell>
          <cell r="D320" t="str">
            <v>IT</v>
          </cell>
          <cell r="E320" t="str">
            <v>Deepak Desai</v>
          </cell>
          <cell r="F320" t="str">
            <v>Services</v>
          </cell>
        </row>
        <row r="321">
          <cell r="A321" t="str">
            <v>Tata Elxsi</v>
          </cell>
          <cell r="B321" t="str">
            <v>Tata Elxsi</v>
          </cell>
          <cell r="C321" t="str">
            <v>Anuradha Murthy</v>
          </cell>
          <cell r="D321" t="str">
            <v>IT</v>
          </cell>
          <cell r="E321" t="str">
            <v>Anuradha Murthy</v>
          </cell>
          <cell r="F321" t="str">
            <v>Services</v>
          </cell>
        </row>
        <row r="322">
          <cell r="A322" t="str">
            <v>TCS</v>
          </cell>
          <cell r="B322" t="str">
            <v>TCS</v>
          </cell>
          <cell r="C322" t="str">
            <v>Deepak Desai</v>
          </cell>
          <cell r="D322" t="str">
            <v>IT</v>
          </cell>
          <cell r="E322" t="str">
            <v>Deepak Desai</v>
          </cell>
          <cell r="F322" t="str">
            <v>Services</v>
          </cell>
        </row>
        <row r="323">
          <cell r="A323" t="str">
            <v>TekisHub Consulting</v>
          </cell>
          <cell r="B323" t="str">
            <v>TekisHub Consulting</v>
          </cell>
          <cell r="C323" t="str">
            <v>Aashis Ranjan</v>
          </cell>
          <cell r="D323"/>
          <cell r="E323" t="str">
            <v>Aashis Ranjan</v>
          </cell>
          <cell r="F323" t="str">
            <v/>
          </cell>
        </row>
        <row r="324">
          <cell r="A324" t="str">
            <v>TekWissen</v>
          </cell>
          <cell r="B324" t="str">
            <v>TekWissen</v>
          </cell>
          <cell r="C324" t="str">
            <v>Aashis Ranjan</v>
          </cell>
          <cell r="D324"/>
          <cell r="E324" t="str">
            <v>Aashis Ranjan</v>
          </cell>
          <cell r="F324" t="str">
            <v/>
          </cell>
        </row>
        <row r="325">
          <cell r="A325" t="str">
            <v>TESCO</v>
          </cell>
          <cell r="B325" t="str">
            <v>TESCO</v>
          </cell>
          <cell r="C325" t="str">
            <v>Sadhna Shukla</v>
          </cell>
          <cell r="D325" t="str">
            <v>IT</v>
          </cell>
          <cell r="E325" t="str">
            <v>Sadhna Shukla</v>
          </cell>
          <cell r="F325" t="str">
            <v>Captive</v>
          </cell>
        </row>
        <row r="326">
          <cell r="A326" t="str">
            <v>Thomson Reuters</v>
          </cell>
          <cell r="B326" t="str">
            <v>Thomson Reuters</v>
          </cell>
          <cell r="C326" t="str">
            <v>Sadhna Shukla</v>
          </cell>
          <cell r="D326" t="str">
            <v>IT</v>
          </cell>
          <cell r="E326" t="str">
            <v>Sadhna Shukla</v>
          </cell>
          <cell r="F326" t="str">
            <v>Captive</v>
          </cell>
        </row>
        <row r="327">
          <cell r="A327" t="str">
            <v>Thoughtworks</v>
          </cell>
          <cell r="B327" t="str">
            <v>Thoughtworks</v>
          </cell>
          <cell r="C327" t="str">
            <v>Anuradha Murthy</v>
          </cell>
          <cell r="D327" t="str">
            <v>IT</v>
          </cell>
          <cell r="E327" t="str">
            <v>Anuradha Murthy</v>
          </cell>
          <cell r="F327" t="str">
            <v>Services</v>
          </cell>
        </row>
        <row r="328">
          <cell r="A328" t="str">
            <v>Toshiba</v>
          </cell>
          <cell r="B328" t="str">
            <v>Toshiba</v>
          </cell>
          <cell r="C328" t="str">
            <v>Deepak Desai</v>
          </cell>
          <cell r="D328" t="str">
            <v>IT</v>
          </cell>
          <cell r="E328" t="str">
            <v>Deepak Desai</v>
          </cell>
          <cell r="F328" t="str">
            <v>Services</v>
          </cell>
        </row>
        <row r="329">
          <cell r="A329" t="str">
            <v>Toyota</v>
          </cell>
          <cell r="B329" t="str">
            <v>Toyota</v>
          </cell>
          <cell r="C329" t="str">
            <v>Deepak Desai</v>
          </cell>
          <cell r="D329" t="str">
            <v>IT</v>
          </cell>
          <cell r="E329" t="str">
            <v>Deepak Desai</v>
          </cell>
          <cell r="F329" t="str">
            <v>Services</v>
          </cell>
        </row>
        <row r="330">
          <cell r="A330" t="str">
            <v>Trane Technologies</v>
          </cell>
          <cell r="B330" t="str">
            <v>Trane Technologies</v>
          </cell>
          <cell r="C330" t="str">
            <v>Sadhna Shukla</v>
          </cell>
          <cell r="D330" t="str">
            <v>IT</v>
          </cell>
          <cell r="E330" t="str">
            <v>Sadhna Shukla</v>
          </cell>
          <cell r="F330" t="str">
            <v>SOW Captive</v>
          </cell>
        </row>
        <row r="331">
          <cell r="A331" t="str">
            <v>UHG</v>
          </cell>
          <cell r="B331" t="str">
            <v>UHG</v>
          </cell>
          <cell r="C331" t="str">
            <v>Jawad Ulla Khan Non IT</v>
          </cell>
          <cell r="D331" t="str">
            <v>Non IT</v>
          </cell>
          <cell r="E331" t="str">
            <v>Jawad Ulla Khan Non IT</v>
          </cell>
          <cell r="F331" t="str">
            <v>ITES</v>
          </cell>
        </row>
        <row r="332">
          <cell r="A332" t="str">
            <v>UHG AEP 2024</v>
          </cell>
          <cell r="B332" t="str">
            <v>UHG AEP 2024</v>
          </cell>
          <cell r="C332" t="str">
            <v>Jawad Ulla Khan Non IT</v>
          </cell>
          <cell r="D332" t="str">
            <v>Non IT</v>
          </cell>
          <cell r="E332" t="str">
            <v>Jawad Ulla Khan Non IT</v>
          </cell>
          <cell r="F332" t="str">
            <v>ITES</v>
          </cell>
        </row>
        <row r="333">
          <cell r="A333" t="str">
            <v>UHG Falcon</v>
          </cell>
          <cell r="B333" t="str">
            <v>UHG Falcon</v>
          </cell>
          <cell r="C333" t="str">
            <v>Deepak Desai</v>
          </cell>
          <cell r="D333" t="str">
            <v>Non IT</v>
          </cell>
          <cell r="E333" t="str">
            <v>Deepak Desai</v>
          </cell>
          <cell r="F333" t="str">
            <v>Services</v>
          </cell>
        </row>
        <row r="334">
          <cell r="A334" t="str">
            <v>UHG- IT</v>
          </cell>
          <cell r="B334" t="str">
            <v>UHG- IT</v>
          </cell>
          <cell r="C334" t="str">
            <v>Deepak Desai</v>
          </cell>
          <cell r="D334" t="str">
            <v>IT</v>
          </cell>
          <cell r="E334" t="str">
            <v>Deepak Desai</v>
          </cell>
          <cell r="F334" t="str">
            <v>Captive</v>
          </cell>
        </row>
        <row r="335">
          <cell r="A335" t="str">
            <v>UHG Phoenix</v>
          </cell>
          <cell r="B335" t="str">
            <v>UHG Phoenix</v>
          </cell>
          <cell r="C335" t="str">
            <v>Jawad Ulla Khan Non IT</v>
          </cell>
          <cell r="D335" t="str">
            <v>Non IT</v>
          </cell>
          <cell r="E335" t="str">
            <v>Jawad Ulla Khan Non IT</v>
          </cell>
          <cell r="F335" t="str">
            <v/>
          </cell>
        </row>
        <row r="336">
          <cell r="A336" t="str">
            <v>UHG SS&amp;BCI</v>
          </cell>
          <cell r="B336" t="str">
            <v>UHG SS&amp;BCI</v>
          </cell>
          <cell r="C336" t="str">
            <v>Jawad Ulla Khan Non IT</v>
          </cell>
          <cell r="D336" t="str">
            <v>Non IT</v>
          </cell>
          <cell r="E336" t="str">
            <v>Jawad Ulla Khan Non IT</v>
          </cell>
          <cell r="F336" t="str">
            <v>ITES</v>
          </cell>
        </row>
        <row r="337">
          <cell r="A337" t="str">
            <v>UHG UNET</v>
          </cell>
          <cell r="B337" t="str">
            <v>UHG UNET</v>
          </cell>
          <cell r="C337" t="str">
            <v>Jawad Ulla Khan Non IT</v>
          </cell>
          <cell r="D337" t="str">
            <v>Non IT</v>
          </cell>
          <cell r="E337" t="str">
            <v>Jawad Ulla Khan Non IT</v>
          </cell>
          <cell r="F337" t="str">
            <v>ITES</v>
          </cell>
        </row>
        <row r="338">
          <cell r="A338" t="str">
            <v>UHG(BCI &amp; SS)</v>
          </cell>
          <cell r="B338" t="str">
            <v>UHG(BCI &amp; SS)</v>
          </cell>
          <cell r="C338" t="str">
            <v>Jawad Ulla Khan Non IT</v>
          </cell>
          <cell r="D338" t="str">
            <v>Non IT</v>
          </cell>
          <cell r="E338" t="str">
            <v>Jawad Ulla Khan Non IT</v>
          </cell>
          <cell r="F338" t="str">
            <v>ITES</v>
          </cell>
        </row>
        <row r="339">
          <cell r="A339" t="str">
            <v>UHG_aimers</v>
          </cell>
          <cell r="B339" t="str">
            <v>UHG_aimers</v>
          </cell>
          <cell r="C339" t="str">
            <v>Jawad Ulla Khan Non IT</v>
          </cell>
          <cell r="D339" t="str">
            <v>Non IT</v>
          </cell>
          <cell r="E339" t="str">
            <v>Jawad Ulla Khan Non IT</v>
          </cell>
          <cell r="F339" t="str">
            <v/>
          </cell>
        </row>
        <row r="340">
          <cell r="A340" t="str">
            <v>UHG_Challengers</v>
          </cell>
          <cell r="B340" t="str">
            <v>UHG_Challengers</v>
          </cell>
          <cell r="C340" t="str">
            <v>Jawad Ulla Khan Non IT</v>
          </cell>
          <cell r="D340" t="str">
            <v>Non IT</v>
          </cell>
          <cell r="E340" t="str">
            <v>Jawad Ulla Khan Non IT</v>
          </cell>
          <cell r="F340" t="str">
            <v/>
          </cell>
        </row>
        <row r="341">
          <cell r="A341" t="str">
            <v>UHG_Support Champoions</v>
          </cell>
          <cell r="B341" t="str">
            <v>UHG_Support Champoions</v>
          </cell>
          <cell r="C341" t="str">
            <v>Jawad Ulla Khan Non IT</v>
          </cell>
          <cell r="D341" t="str">
            <v>Non IT</v>
          </cell>
          <cell r="E341" t="str">
            <v>Jawad Ulla Khan Non IT</v>
          </cell>
          <cell r="F341" t="str">
            <v>ITES</v>
          </cell>
        </row>
        <row r="342">
          <cell r="A342" t="str">
            <v>UHG-J Tigers</v>
          </cell>
          <cell r="B342" t="str">
            <v>UHG-J Tigers</v>
          </cell>
          <cell r="C342" t="str">
            <v>Jawad Ulla Khan Non IT</v>
          </cell>
          <cell r="D342" t="str">
            <v>Non IT</v>
          </cell>
          <cell r="E342" t="str">
            <v>Jawad Ulla Khan Non IT</v>
          </cell>
          <cell r="F342" t="str">
            <v>ITES</v>
          </cell>
        </row>
        <row r="343">
          <cell r="A343" t="str">
            <v>UHG-Non IT</v>
          </cell>
          <cell r="B343" t="str">
            <v>UHG-Non IT</v>
          </cell>
          <cell r="C343" t="str">
            <v>Jawad Ulla Khan Non IT</v>
          </cell>
          <cell r="D343" t="str">
            <v>Non IT</v>
          </cell>
          <cell r="E343" t="str">
            <v>Jawad Ulla Khan Non IT</v>
          </cell>
          <cell r="F343" t="str">
            <v>ITES</v>
          </cell>
        </row>
        <row r="344">
          <cell r="A344" t="str">
            <v>Unisys IT</v>
          </cell>
          <cell r="B344" t="str">
            <v>Unisys IT</v>
          </cell>
          <cell r="C344" t="str">
            <v>Jawad Ulla Khan Non IT</v>
          </cell>
          <cell r="D344" t="str">
            <v>Non IT</v>
          </cell>
          <cell r="E344" t="str">
            <v>Jawad Ulla Khan Non IT</v>
          </cell>
          <cell r="F344" t="str">
            <v/>
          </cell>
        </row>
        <row r="345">
          <cell r="A345" t="str">
            <v>Unisys-ITES</v>
          </cell>
          <cell r="B345" t="str">
            <v>Unisys-ITES</v>
          </cell>
          <cell r="C345" t="str">
            <v>Akshata nayak Non IT</v>
          </cell>
          <cell r="D345" t="str">
            <v>Non IT</v>
          </cell>
          <cell r="E345" t="str">
            <v>Akshata nayak Non IT</v>
          </cell>
          <cell r="F345" t="str">
            <v/>
          </cell>
        </row>
        <row r="346">
          <cell r="A346" t="str">
            <v>Us_temp</v>
          </cell>
          <cell r="B346" t="str">
            <v>Us_temp</v>
          </cell>
          <cell r="C346" t="str">
            <v>Aashis Ranjan</v>
          </cell>
          <cell r="D346"/>
          <cell r="E346" t="str">
            <v>Aashis Ranjan</v>
          </cell>
          <cell r="F346" t="str">
            <v>Services</v>
          </cell>
        </row>
        <row r="347">
          <cell r="A347" t="str">
            <v>Verifone</v>
          </cell>
          <cell r="B347" t="str">
            <v>Verifone</v>
          </cell>
          <cell r="C347" t="str">
            <v>Anuradha Murthy</v>
          </cell>
          <cell r="D347" t="str">
            <v>IT</v>
          </cell>
          <cell r="E347" t="str">
            <v>Anuradha Murthy</v>
          </cell>
          <cell r="F347" t="str">
            <v>Captive</v>
          </cell>
        </row>
        <row r="348">
          <cell r="A348" t="str">
            <v>Veritas</v>
          </cell>
          <cell r="B348" t="str">
            <v>Veritas</v>
          </cell>
          <cell r="C348" t="str">
            <v>Sadhna Shukla</v>
          </cell>
          <cell r="D348" t="str">
            <v>IT</v>
          </cell>
          <cell r="E348" t="str">
            <v>Sadhna Shukla</v>
          </cell>
          <cell r="F348" t="str">
            <v>Captive</v>
          </cell>
        </row>
        <row r="349">
          <cell r="A349" t="str">
            <v>VISA</v>
          </cell>
          <cell r="B349" t="str">
            <v>VISA</v>
          </cell>
          <cell r="C349" t="str">
            <v>Deepak Desai</v>
          </cell>
          <cell r="D349" t="str">
            <v>IT</v>
          </cell>
          <cell r="E349" t="str">
            <v>Deepak Desai</v>
          </cell>
          <cell r="F349" t="str">
            <v>Captive</v>
          </cell>
        </row>
        <row r="350">
          <cell r="A350" t="str">
            <v>VMware</v>
          </cell>
          <cell r="B350" t="str">
            <v>VMware</v>
          </cell>
          <cell r="C350" t="str">
            <v>Sadhna Shukla</v>
          </cell>
          <cell r="D350" t="str">
            <v>IT</v>
          </cell>
          <cell r="E350" t="str">
            <v>Sadhna Shukla</v>
          </cell>
          <cell r="F350" t="str">
            <v>Captive</v>
          </cell>
        </row>
        <row r="351">
          <cell r="A351" t="str">
            <v>VSV Wins</v>
          </cell>
          <cell r="B351" t="str">
            <v>VSV Wins</v>
          </cell>
          <cell r="C351" t="str">
            <v>Aashis Ranjan</v>
          </cell>
          <cell r="D351"/>
          <cell r="E351" t="str">
            <v>Aashis Ranjan</v>
          </cell>
          <cell r="F351" t="str">
            <v>Services</v>
          </cell>
        </row>
        <row r="352">
          <cell r="A352" t="str">
            <v>Wartsila</v>
          </cell>
          <cell r="B352" t="str">
            <v>Wartsila</v>
          </cell>
          <cell r="C352" t="str">
            <v>Sadhna Shukla</v>
          </cell>
          <cell r="D352" t="str">
            <v>IT</v>
          </cell>
          <cell r="E352" t="str">
            <v>Sadhna Shukla</v>
          </cell>
          <cell r="F352" t="str">
            <v>Captive</v>
          </cell>
        </row>
        <row r="353">
          <cell r="A353" t="str">
            <v>Wipro</v>
          </cell>
          <cell r="B353" t="str">
            <v>Wipro</v>
          </cell>
          <cell r="C353" t="str">
            <v>Deepak Desai</v>
          </cell>
          <cell r="D353" t="str">
            <v>IT</v>
          </cell>
          <cell r="E353" t="str">
            <v>Deepak Desai</v>
          </cell>
          <cell r="F353" t="str">
            <v>Services</v>
          </cell>
        </row>
        <row r="354">
          <cell r="A354" t="str">
            <v>Wipro - Infotech</v>
          </cell>
          <cell r="B354" t="str">
            <v>Wipro - Infotech</v>
          </cell>
          <cell r="C354" t="str">
            <v>Prathap Sagar</v>
          </cell>
          <cell r="D354" t="str">
            <v>IT</v>
          </cell>
          <cell r="E354" t="str">
            <v>Prathap Sagar</v>
          </cell>
          <cell r="F354" t="str">
            <v>Services</v>
          </cell>
        </row>
        <row r="355">
          <cell r="A355" t="str">
            <v>Wipro (Broadcom Inc)</v>
          </cell>
          <cell r="B355" t="str">
            <v>Wipro (Broadcom Inc)</v>
          </cell>
          <cell r="C355" t="str">
            <v>Deepak Desai</v>
          </cell>
          <cell r="D355" t="str">
            <v>IT</v>
          </cell>
          <cell r="E355" t="str">
            <v>Deepak Desai</v>
          </cell>
          <cell r="F355" t="str">
            <v>Services</v>
          </cell>
        </row>
        <row r="356">
          <cell r="A356" t="str">
            <v>WIpro-Engineering</v>
          </cell>
          <cell r="B356" t="str">
            <v>WIpro-Engineering</v>
          </cell>
          <cell r="C356" t="str">
            <v>Deepak Desai</v>
          </cell>
          <cell r="D356" t="str">
            <v>IT</v>
          </cell>
          <cell r="E356" t="str">
            <v>Deepak Desai</v>
          </cell>
          <cell r="F356" t="str">
            <v>Services</v>
          </cell>
        </row>
        <row r="357">
          <cell r="A357" t="str">
            <v>Wipro-Technologies</v>
          </cell>
          <cell r="B357" t="str">
            <v>Wipro-Technologies</v>
          </cell>
          <cell r="C357" t="str">
            <v>Deepak Desai</v>
          </cell>
          <cell r="D357" t="str">
            <v>IT</v>
          </cell>
          <cell r="E357" t="str">
            <v>Deepak Desai</v>
          </cell>
          <cell r="F357" t="str">
            <v>Services</v>
          </cell>
        </row>
        <row r="358">
          <cell r="A358" t="str">
            <v>Wolters Kluwer</v>
          </cell>
          <cell r="B358" t="str">
            <v>Wolters Kluwer</v>
          </cell>
          <cell r="C358" t="str">
            <v>Deepak Desai</v>
          </cell>
          <cell r="D358" t="str">
            <v>IT</v>
          </cell>
          <cell r="E358" t="str">
            <v>Deepak Desai</v>
          </cell>
          <cell r="F358" t="str">
            <v>Captive</v>
          </cell>
        </row>
        <row r="359">
          <cell r="A359" t="str">
            <v>Wolters Kluwer-India</v>
          </cell>
          <cell r="B359" t="str">
            <v>Wolters Kluwer-India</v>
          </cell>
          <cell r="C359" t="str">
            <v>Deepak Desai</v>
          </cell>
          <cell r="D359" t="str">
            <v>IT</v>
          </cell>
          <cell r="E359" t="str">
            <v>Deepak Desai</v>
          </cell>
          <cell r="F359" t="str">
            <v>Captive</v>
          </cell>
        </row>
        <row r="360">
          <cell r="A360" t="str">
            <v>Wurth IT</v>
          </cell>
          <cell r="B360" t="str">
            <v>Wurth IT</v>
          </cell>
          <cell r="C360" t="str">
            <v>Anuradha Murthy</v>
          </cell>
          <cell r="D360" t="str">
            <v>IT</v>
          </cell>
          <cell r="E360" t="str">
            <v>Anuradha Murthy</v>
          </cell>
          <cell r="F360" t="str">
            <v>Captive</v>
          </cell>
        </row>
        <row r="361">
          <cell r="A361" t="str">
            <v>Xellia Pharma</v>
          </cell>
          <cell r="B361" t="str">
            <v>Xellia Pharma</v>
          </cell>
          <cell r="C361" t="str">
            <v>Sadhna Shukla</v>
          </cell>
          <cell r="D361" t="str">
            <v>IT</v>
          </cell>
          <cell r="E361" t="str">
            <v>Sadhna Shukla</v>
          </cell>
          <cell r="F361" t="str">
            <v>Captive</v>
          </cell>
        </row>
        <row r="362">
          <cell r="A362" t="str">
            <v>Xylem INC</v>
          </cell>
          <cell r="B362" t="str">
            <v>Xylem INC</v>
          </cell>
          <cell r="C362" t="str">
            <v>Sadhna Shukla</v>
          </cell>
          <cell r="D362" t="str">
            <v>IT</v>
          </cell>
          <cell r="E362" t="str">
            <v>Sadhna Shukla</v>
          </cell>
          <cell r="F362" t="str">
            <v>Captive</v>
          </cell>
        </row>
        <row r="363">
          <cell r="A363" t="str">
            <v>Yodlee</v>
          </cell>
          <cell r="B363" t="str">
            <v>Yodlee</v>
          </cell>
          <cell r="C363" t="str">
            <v>Mher</v>
          </cell>
          <cell r="D363" t="str">
            <v>IT</v>
          </cell>
          <cell r="E363" t="str">
            <v>Mher</v>
          </cell>
          <cell r="F363" t="str">
            <v>Captive</v>
          </cell>
        </row>
        <row r="364">
          <cell r="A364" t="str">
            <v>Zebra Technologies Corporation</v>
          </cell>
          <cell r="B364" t="str">
            <v>Zebra Technologies Corporation</v>
          </cell>
          <cell r="C364" t="str">
            <v>Sadhna Shukla</v>
          </cell>
          <cell r="D364" t="str">
            <v>IT</v>
          </cell>
          <cell r="E364" t="str">
            <v>Sadhna Shukla</v>
          </cell>
          <cell r="F364" t="str">
            <v>Captive</v>
          </cell>
        </row>
        <row r="365">
          <cell r="A365" t="str">
            <v>ZebraTechnologies</v>
          </cell>
          <cell r="B365" t="str">
            <v>ZebraTechnologies</v>
          </cell>
          <cell r="C365" t="str">
            <v>Sadhna Shukla</v>
          </cell>
          <cell r="D365" t="str">
            <v>IT</v>
          </cell>
          <cell r="E365" t="str">
            <v>Sadhna Shukla</v>
          </cell>
          <cell r="F365" t="str">
            <v>Captive</v>
          </cell>
        </row>
        <row r="366">
          <cell r="A366" t="str">
            <v>Zensar</v>
          </cell>
          <cell r="B366" t="str">
            <v>Zensar</v>
          </cell>
          <cell r="C366" t="str">
            <v>Prathap Sagar</v>
          </cell>
          <cell r="D366" t="str">
            <v>IT</v>
          </cell>
          <cell r="E366" t="str">
            <v>Prathap Sagar</v>
          </cell>
          <cell r="F366" t="str">
            <v>Services</v>
          </cell>
        </row>
        <row r="367">
          <cell r="A367" t="str">
            <v xml:space="preserve">Zensar Technologies </v>
          </cell>
          <cell r="B367" t="str">
            <v>Zensar Technologies</v>
          </cell>
          <cell r="C367" t="str">
            <v>Prathap Sagar</v>
          </cell>
          <cell r="D367" t="str">
            <v>IT</v>
          </cell>
          <cell r="E367" t="str">
            <v>Prathap Sagar</v>
          </cell>
          <cell r="F367" t="str">
            <v>Services</v>
          </cell>
        </row>
        <row r="368">
          <cell r="A368" t="str">
            <v>ZTE_payroll</v>
          </cell>
          <cell r="B368" t="str">
            <v>ZTE_payroll</v>
          </cell>
          <cell r="C368" t="str">
            <v>Deepak Desai Non IT</v>
          </cell>
          <cell r="D368" t="str">
            <v>Non IT</v>
          </cell>
          <cell r="E368" t="str">
            <v>Deepak Desai Non IT</v>
          </cell>
          <cell r="F368" t="str">
            <v>ITES</v>
          </cell>
        </row>
        <row r="369">
          <cell r="A369" t="str">
            <v>Accenture ATCI APAC</v>
          </cell>
          <cell r="B369" t="str">
            <v>Accenture ATCI APAC</v>
          </cell>
          <cell r="C369" t="str">
            <v>Prathap Sagar</v>
          </cell>
          <cell r="D369" t="str">
            <v>IT</v>
          </cell>
          <cell r="E369" t="str">
            <v>Prathap Sagar</v>
          </cell>
          <cell r="F369" t="str">
            <v>Services</v>
          </cell>
        </row>
        <row r="370">
          <cell r="A370" t="str">
            <v>Socgen_GTS</v>
          </cell>
          <cell r="B370" t="str">
            <v>socgen-gts</v>
          </cell>
          <cell r="C370" t="str">
            <v>Anuradha Murthy</v>
          </cell>
          <cell r="D370" t="str">
            <v>IT</v>
          </cell>
          <cell r="E370" t="str">
            <v>Anuradha Murthy</v>
          </cell>
          <cell r="F370" t="str">
            <v>Captive</v>
          </cell>
        </row>
        <row r="371">
          <cell r="A371" t="str">
            <v>Socgen-GBIS</v>
          </cell>
          <cell r="B371" t="str">
            <v>socgen-gbis</v>
          </cell>
          <cell r="C371" t="str">
            <v>Anuradha Murthy</v>
          </cell>
          <cell r="D371" t="str">
            <v>IT</v>
          </cell>
          <cell r="E371" t="str">
            <v>Anuradha Murthy</v>
          </cell>
          <cell r="F371" t="str">
            <v>Captive</v>
          </cell>
        </row>
        <row r="372">
          <cell r="A372" t="str">
            <v>Socgen-MIBS-RBS-AVYENS</v>
          </cell>
          <cell r="B372" t="str">
            <v>socgen-mibs-rbs-avyens</v>
          </cell>
          <cell r="C372" t="str">
            <v>Anuradha Murthy</v>
          </cell>
          <cell r="D372" t="str">
            <v>IT</v>
          </cell>
          <cell r="E372" t="str">
            <v>Anuradha Murthy</v>
          </cell>
          <cell r="F372" t="str">
            <v>Captive</v>
          </cell>
        </row>
        <row r="373">
          <cell r="A373" t="str">
            <v>Socgen-CFT</v>
          </cell>
          <cell r="B373" t="str">
            <v>socgen-cft</v>
          </cell>
          <cell r="C373" t="str">
            <v>Anuradha Murthy</v>
          </cell>
          <cell r="D373" t="str">
            <v>IT</v>
          </cell>
          <cell r="E373" t="str">
            <v>Anuradha Murthy</v>
          </cell>
          <cell r="F373" t="str">
            <v>Captive</v>
          </cell>
        </row>
        <row r="374">
          <cell r="A374" t="str">
            <v>Socgen-DDS</v>
          </cell>
          <cell r="B374" t="str">
            <v>socgen-dds</v>
          </cell>
          <cell r="C374" t="str">
            <v>Anuradha Murthy</v>
          </cell>
          <cell r="D374" t="str">
            <v>IT</v>
          </cell>
          <cell r="E374" t="str">
            <v>Anuradha Murthy</v>
          </cell>
          <cell r="F374" t="str">
            <v>Captive</v>
          </cell>
        </row>
        <row r="375">
          <cell r="A375" t="str">
            <v xml:space="preserve">Soc gen Ops </v>
          </cell>
          <cell r="B375" t="str">
            <v>Soc gen Ops</v>
          </cell>
          <cell r="C375" t="str">
            <v>Anuradha Murthy Non IT</v>
          </cell>
          <cell r="D375" t="str">
            <v>Non IT</v>
          </cell>
          <cell r="E375" t="str">
            <v>Anuradha Murthy Non IT</v>
          </cell>
          <cell r="F375" t="str">
            <v>ITES</v>
          </cell>
        </row>
        <row r="376">
          <cell r="A376" t="str">
            <v>L&amp;T Vyoma</v>
          </cell>
          <cell r="B376" t="str">
            <v>L&amp;T Vyoma</v>
          </cell>
          <cell r="C376" t="str">
            <v>Deepak Desai</v>
          </cell>
          <cell r="D376" t="str">
            <v>IT</v>
          </cell>
          <cell r="E376" t="str">
            <v>Deepak Desai</v>
          </cell>
          <cell r="F376" t="str">
            <v>Captive</v>
          </cell>
        </row>
        <row r="377">
          <cell r="A377" t="str">
            <v>La salle - philippines</v>
          </cell>
          <cell r="B377" t="str">
            <v>La salle - philippines</v>
          </cell>
          <cell r="C377" t="str">
            <v>Deepak Desai</v>
          </cell>
          <cell r="E377" t="str">
            <v>Deepak Desai</v>
          </cell>
        </row>
        <row r="378">
          <cell r="A378" t="str">
            <v>Bank of Makati - philippines</v>
          </cell>
          <cell r="B378" t="str">
            <v>Bank of Makati - philippines</v>
          </cell>
          <cell r="C378" t="str">
            <v>Deepak Desai</v>
          </cell>
          <cell r="E378" t="str">
            <v>Deepak Desai</v>
          </cell>
        </row>
        <row r="379">
          <cell r="A379" t="str">
            <v>Pioneer Insurance - philippines</v>
          </cell>
          <cell r="B379" t="str">
            <v>Pioneer Insurance - philippines</v>
          </cell>
          <cell r="C379" t="str">
            <v>Deepak Desai</v>
          </cell>
          <cell r="E379" t="str">
            <v>Deepak Desai</v>
          </cell>
        </row>
        <row r="380">
          <cell r="A380" t="str">
            <v>CIMB Bank - philippines</v>
          </cell>
          <cell r="B380" t="str">
            <v>CIMB Bank - philippines</v>
          </cell>
          <cell r="C380" t="str">
            <v>Deepak Desai</v>
          </cell>
          <cell r="E380" t="str">
            <v>Deepak Desai</v>
          </cell>
        </row>
        <row r="381">
          <cell r="A381" t="str">
            <v>Metrobank - philippines</v>
          </cell>
          <cell r="B381" t="str">
            <v>Metrobank - philippines</v>
          </cell>
          <cell r="C381" t="str">
            <v>Deepak Desai</v>
          </cell>
          <cell r="E381" t="str">
            <v>Deepak Desai</v>
          </cell>
        </row>
        <row r="382">
          <cell r="A382" t="str">
            <v>Tonik Bank - philippines</v>
          </cell>
          <cell r="B382" t="str">
            <v>Tonik Bank - philippines</v>
          </cell>
          <cell r="C382" t="str">
            <v>Deepak Desai</v>
          </cell>
          <cell r="E382" t="str">
            <v>Deepak Desai</v>
          </cell>
        </row>
        <row r="383">
          <cell r="A383" t="str">
            <v>Singlife - philippines</v>
          </cell>
          <cell r="B383" t="str">
            <v>Singlife - philippines</v>
          </cell>
          <cell r="C383" t="str">
            <v>Deepak Desai</v>
          </cell>
          <cell r="E383" t="str">
            <v>Deepak Desai</v>
          </cell>
        </row>
        <row r="384">
          <cell r="A384" t="str">
            <v>LITCO</v>
          </cell>
          <cell r="B384" t="str">
            <v>LITCO</v>
          </cell>
          <cell r="C384" t="str">
            <v>Deepak Desai</v>
          </cell>
          <cell r="E384" t="str">
            <v>Deepak Desai</v>
          </cell>
        </row>
        <row r="385">
          <cell r="A385" t="str">
            <v>GEO Global Engineering</v>
          </cell>
          <cell r="B385" t="str">
            <v>GEO Global Engineering</v>
          </cell>
          <cell r="C385" t="str">
            <v>Deepak Desai</v>
          </cell>
          <cell r="E385" t="str">
            <v>Deepak Desai</v>
          </cell>
        </row>
        <row r="386">
          <cell r="A386" t="str">
            <v>Mashreq Bank</v>
          </cell>
          <cell r="B386" t="str">
            <v>Mashreq Bank</v>
          </cell>
          <cell r="C386" t="str">
            <v>Deepak Desai</v>
          </cell>
          <cell r="E386" t="str">
            <v>Deepak Desai</v>
          </cell>
        </row>
        <row r="387">
          <cell r="A387" t="str">
            <v>Socgen-CFT</v>
          </cell>
          <cell r="B387" t="str">
            <v>Socgen-CFT</v>
          </cell>
          <cell r="C387" t="str">
            <v>Anuradha Murthy</v>
          </cell>
          <cell r="D387" t="str">
            <v>IT</v>
          </cell>
          <cell r="E387" t="str">
            <v>Anuradha Murthy</v>
          </cell>
          <cell r="F387" t="str">
            <v>Captive</v>
          </cell>
        </row>
        <row r="388">
          <cell r="A388" t="str">
            <v>Dassault Systemes Global Services Private Limited</v>
          </cell>
          <cell r="B388" t="str">
            <v>Dassault Systemes Global Services Private Limited</v>
          </cell>
          <cell r="C388" t="str">
            <v>Sadhna Shukla</v>
          </cell>
          <cell r="D388" t="str">
            <v>IT</v>
          </cell>
          <cell r="E388" t="str">
            <v>Sadhna Shukla</v>
          </cell>
          <cell r="F388" t="str">
            <v>Captive</v>
          </cell>
        </row>
        <row r="389">
          <cell r="A389" t="str">
            <v>Socgen_GTS</v>
          </cell>
          <cell r="B389" t="str">
            <v>Socgen_GTS</v>
          </cell>
          <cell r="C389" t="str">
            <v>Anuradha Murthy</v>
          </cell>
          <cell r="D389" t="str">
            <v>IT</v>
          </cell>
          <cell r="E389" t="str">
            <v>Anuradha Murthy</v>
          </cell>
          <cell r="F389" t="str">
            <v>Captive</v>
          </cell>
        </row>
        <row r="390">
          <cell r="A390" t="str">
            <v>Socgen-MIBS-RBS-AVYENS</v>
          </cell>
          <cell r="B390" t="str">
            <v>Socgen-MIBS-RBS-AVYENS</v>
          </cell>
          <cell r="C390" t="str">
            <v>Anuradha Murthy</v>
          </cell>
          <cell r="D390" t="str">
            <v>IT</v>
          </cell>
          <cell r="E390" t="str">
            <v>Anuradha Murthy</v>
          </cell>
          <cell r="F390" t="str">
            <v>Captive</v>
          </cell>
        </row>
        <row r="391">
          <cell r="A391" t="str">
            <v>Sodexo</v>
          </cell>
          <cell r="B391" t="str">
            <v>Sodexo</v>
          </cell>
          <cell r="C391" t="str">
            <v>Sadhna Shukla</v>
          </cell>
          <cell r="D391" t="str">
            <v>IT</v>
          </cell>
          <cell r="E391" t="str">
            <v>Sadhna Shukla</v>
          </cell>
          <cell r="F391" t="str">
            <v>Captive</v>
          </cell>
        </row>
        <row r="392">
          <cell r="A392" t="str">
            <v>Welsend Global Services</v>
          </cell>
          <cell r="B392" t="str">
            <v>Welsend Global Services</v>
          </cell>
          <cell r="C392" t="str">
            <v>Deepak Desai</v>
          </cell>
          <cell r="E392" t="str">
            <v>Deepak Desai</v>
          </cell>
          <cell r="F392" t="str">
            <v>Captive</v>
          </cell>
        </row>
        <row r="393">
          <cell r="A393" t="str">
            <v>Cognizant-FTE</v>
          </cell>
          <cell r="B393" t="str">
            <v>Cognizant-FTE</v>
          </cell>
          <cell r="C393" t="str">
            <v>Prathap Sagar</v>
          </cell>
          <cell r="E393" t="str">
            <v>Prathap Sagar</v>
          </cell>
        </row>
        <row r="394">
          <cell r="A394" t="str">
            <v>Cohesity</v>
          </cell>
          <cell r="B394" t="str">
            <v>Cohesity</v>
          </cell>
          <cell r="C394" t="str">
            <v>Sadhna Shukla</v>
          </cell>
          <cell r="E394" t="str">
            <v>Sadhna Shukla</v>
          </cell>
        </row>
        <row r="395">
          <cell r="A395" t="str">
            <v>NCSI Technologies</v>
          </cell>
          <cell r="B395" t="str">
            <v>NCSI Technologies</v>
          </cell>
          <cell r="C395" t="str">
            <v>Anuradha Murthy</v>
          </cell>
          <cell r="E395" t="str">
            <v>Anuradha Murthy</v>
          </cell>
        </row>
        <row r="396">
          <cell r="A396" t="str">
            <v>Yokogawa</v>
          </cell>
          <cell r="B396" t="str">
            <v>Yokogawa</v>
          </cell>
          <cell r="C396" t="str">
            <v>Deepak Desai</v>
          </cell>
          <cell r="D396" t="str">
            <v>IT</v>
          </cell>
          <cell r="E396" t="str">
            <v>Deepak Desai</v>
          </cell>
          <cell r="F396" t="str">
            <v>Services</v>
          </cell>
        </row>
        <row r="397">
          <cell r="A397" t="str">
            <v xml:space="preserve">Zensar Technologies </v>
          </cell>
          <cell r="B397" t="str">
            <v xml:space="preserve">Zensar Technologies </v>
          </cell>
          <cell r="C397" t="str">
            <v>Prathap Sagar</v>
          </cell>
          <cell r="E397" t="str">
            <v>Prathap Sagar</v>
          </cell>
        </row>
        <row r="398">
          <cell r="A398" t="str">
            <v>Brookfield</v>
          </cell>
          <cell r="B398" t="str">
            <v>Brookfield</v>
          </cell>
          <cell r="C398" t="str">
            <v>Sadhna Shukla</v>
          </cell>
          <cell r="D398" t="str">
            <v>IT</v>
          </cell>
          <cell r="E398" t="str">
            <v>Sadhna Shukla</v>
          </cell>
          <cell r="F398" t="str">
            <v>Captive</v>
          </cell>
        </row>
        <row r="399">
          <cell r="A399" t="str">
            <v>HP 70</v>
          </cell>
          <cell r="B399" t="str">
            <v>HP 70</v>
          </cell>
          <cell r="C399" t="str">
            <v>Jawad Ulla Khan Non IT</v>
          </cell>
          <cell r="E399" t="str">
            <v>Jawad Ulla Khan Non IT</v>
          </cell>
          <cell r="F399" t="str">
            <v>ITES</v>
          </cell>
        </row>
        <row r="400">
          <cell r="A400" t="str">
            <v>Bosch Global Software Technologies</v>
          </cell>
          <cell r="B400" t="str">
            <v>Bosch Global Software Technologies</v>
          </cell>
          <cell r="C400" t="str">
            <v>Sadhna Shukla</v>
          </cell>
          <cell r="E400" t="str">
            <v>Sadhna Shukla</v>
          </cell>
          <cell r="F400" t="str">
            <v>Captive</v>
          </cell>
        </row>
        <row r="401">
          <cell r="A401" t="str">
            <v>Sutherland Global Services</v>
          </cell>
          <cell r="B401" t="str">
            <v>Sutherland Global Services</v>
          </cell>
          <cell r="C401" t="str">
            <v>Anuradha Murthy</v>
          </cell>
          <cell r="D401" t="str">
            <v>IT</v>
          </cell>
          <cell r="E401" t="str">
            <v>Anuradha Murthy</v>
          </cell>
        </row>
        <row r="402">
          <cell r="A402" t="str">
            <v>Deloitte-HP</v>
          </cell>
          <cell r="B402" t="str">
            <v>Deloitte-HP</v>
          </cell>
          <cell r="C402" t="str">
            <v>Deepak Desai</v>
          </cell>
          <cell r="D402" t="str">
            <v>IT</v>
          </cell>
          <cell r="E402" t="str">
            <v>Deepak Desai</v>
          </cell>
          <cell r="F402" t="str">
            <v>SOW Captive</v>
          </cell>
        </row>
        <row r="403">
          <cell r="A403" t="str">
            <v>Deloitte-HSBC</v>
          </cell>
          <cell r="B403" t="str">
            <v>Deloitte-HSBC</v>
          </cell>
          <cell r="C403" t="str">
            <v>Deepak Desai</v>
          </cell>
          <cell r="D403" t="str">
            <v>IT</v>
          </cell>
          <cell r="E403" t="str">
            <v>Deepak Desai</v>
          </cell>
          <cell r="F403" t="str">
            <v>SOW Captive</v>
          </cell>
        </row>
        <row r="404">
          <cell r="A404" t="str">
            <v>Deloitte-Shell</v>
          </cell>
          <cell r="B404" t="str">
            <v>Deloitte-Shell</v>
          </cell>
          <cell r="C404" t="str">
            <v>Deepak Desai</v>
          </cell>
          <cell r="D404" t="str">
            <v>IT</v>
          </cell>
          <cell r="E404" t="str">
            <v>Deepak Desai</v>
          </cell>
          <cell r="F404" t="str">
            <v>SOW Captive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36240082" refreshedDate="45917.467997685184" createdVersion="8" refreshedVersion="8" minRefreshableVersion="3" recordCount="2523" xr:uid="{14F1A92B-E0A6-4658-BB06-F706F341D3CB}">
  <cacheSource type="worksheet">
    <worksheetSource ref="A1:M1048576" sheet="Sheet1"/>
  </cacheSource>
  <cacheFields count="16">
    <cacheField name="recruiter_name" numFmtId="0">
      <sharedItems containsBlank="1"/>
    </cacheField>
    <cacheField name="Lead" numFmtId="0">
      <sharedItems containsBlank="1"/>
    </cacheField>
    <cacheField name="manager_name" numFmtId="0">
      <sharedItems containsBlank="1"/>
    </cacheField>
    <cacheField name="full_name" numFmtId="0">
      <sharedItems containsBlank="1"/>
    </cacheField>
    <cacheField name="employee_type" numFmtId="0">
      <sharedItems containsString="0" containsBlank="1" containsNumber="1" containsInteger="1" minValue="1" maxValue="7"/>
    </cacheField>
    <cacheField name="employee_id" numFmtId="0">
      <sharedItems containsBlank="1"/>
    </cacheField>
    <cacheField name="display_date" numFmtId="0">
      <sharedItems containsNonDate="0" containsDate="1" containsString="0" containsBlank="1" minDate="2023-04-03T00:00:00" maxDate="2024-03-30T00:00:00" count="258">
        <d v="2023-04-25T00:00:00"/>
        <d v="2023-05-10T00:00:00"/>
        <d v="2023-05-08T00:00:00"/>
        <d v="2023-04-03T00:00:00"/>
        <d v="2023-05-12T00:00:00"/>
        <d v="2023-04-10T00:00:00"/>
        <d v="2023-04-04T00:00:00"/>
        <d v="2023-06-15T00:00:00"/>
        <d v="2023-04-17T00:00:00"/>
        <d v="2023-04-06T00:00:00"/>
        <d v="2023-04-12T00:00:00"/>
        <d v="2023-04-05T00:00:00"/>
        <d v="2023-04-13T00:00:00"/>
        <d v="2023-05-03T00:00:00"/>
        <d v="2023-04-11T00:00:00"/>
        <d v="2023-05-15T00:00:00"/>
        <d v="2023-04-07T00:00:00"/>
        <d v="2023-05-01T00:00:00"/>
        <d v="2023-04-24T00:00:00"/>
        <d v="2023-04-14T00:00:00"/>
        <d v="2023-07-24T00:00:00"/>
        <d v="2023-04-18T00:00:00"/>
        <d v="2023-04-28T00:00:00"/>
        <d v="2023-04-20T00:00:00"/>
        <d v="2023-04-19T00:00:00"/>
        <d v="2023-04-27T00:00:00"/>
        <d v="2023-06-01T00:00:00"/>
        <d v="2023-04-26T00:00:00"/>
        <d v="2023-08-01T00:00:00"/>
        <d v="2023-04-21T00:00:00"/>
        <d v="2023-07-13T00:00:00"/>
        <d v="2023-05-22T00:00:00"/>
        <d v="2023-05-02T00:00:00"/>
        <d v="2023-05-09T00:00:00"/>
        <d v="2023-07-01T00:00:00"/>
        <d v="2023-04-29T00:00:00"/>
        <d v="2023-05-11T00:00:00"/>
        <d v="2023-05-05T00:00:00"/>
        <d v="2023-05-04T00:00:00"/>
        <d v="2023-05-26T00:00:00"/>
        <d v="2023-08-29T00:00:00"/>
        <d v="2023-05-31T00:00:00"/>
        <d v="2023-05-25T00:00:00"/>
        <d v="2023-05-19T00:00:00"/>
        <d v="2023-05-17T00:00:00"/>
        <d v="2023-05-16T00:00:00"/>
        <d v="2023-05-13T00:00:00"/>
        <d v="2023-06-05T00:00:00"/>
        <d v="2023-05-24T00:00:00"/>
        <d v="2023-05-18T00:00:00"/>
        <d v="2023-05-29T00:00:00"/>
        <d v="2023-05-23T00:00:00"/>
        <d v="2023-08-24T00:00:00"/>
        <d v="2023-06-19T00:00:00"/>
        <d v="2023-06-06T00:00:00"/>
        <d v="2023-09-27T00:00:00"/>
        <d v="2024-01-03T00:00:00"/>
        <d v="2023-06-02T00:00:00"/>
        <d v="2023-06-12T00:00:00"/>
        <d v="2023-06-08T00:00:00"/>
        <d v="2023-06-07T00:00:00"/>
        <d v="2023-05-30T00:00:00"/>
        <d v="2023-11-16T00:00:00"/>
        <d v="2023-11-30T00:00:00"/>
        <d v="2023-06-26T00:00:00"/>
        <d v="2024-02-01T00:00:00"/>
        <d v="2023-07-17T00:00:00"/>
        <d v="2023-09-04T00:00:00"/>
        <d v="2023-06-09T00:00:00"/>
        <d v="2024-02-26T00:00:00"/>
        <d v="2023-06-14T00:00:00"/>
        <d v="2023-07-10T00:00:00"/>
        <d v="2023-07-03T00:00:00"/>
        <d v="2023-07-07T00:00:00"/>
        <d v="2023-06-13T00:00:00"/>
        <d v="2023-06-16T00:00:00"/>
        <d v="2023-07-19T00:00:00"/>
        <d v="2023-06-21T00:00:00"/>
        <d v="2023-07-14T00:00:00"/>
        <d v="2023-07-11T00:00:00"/>
        <d v="2023-06-23T00:00:00"/>
        <d v="2023-06-22T00:00:00"/>
        <d v="2023-06-20T00:00:00"/>
        <d v="2023-06-28T00:00:00"/>
        <d v="2023-08-14T00:00:00"/>
        <d v="2023-07-06T00:00:00"/>
        <d v="2023-07-21T00:00:00"/>
        <d v="2023-08-07T00:00:00"/>
        <d v="2023-08-02T00:00:00"/>
        <d v="2023-08-28T00:00:00"/>
        <d v="2023-06-27T00:00:00"/>
        <d v="2023-06-30T00:00:00"/>
        <d v="2023-08-21T00:00:00"/>
        <d v="2023-09-01T00:00:00"/>
        <d v="2023-10-19T00:00:00"/>
        <d v="2024-02-08T00:00:00"/>
        <d v="2024-02-23T00:00:00"/>
        <d v="2024-02-28T00:00:00"/>
        <d v="2024-03-05T00:00:00"/>
        <d v="2023-08-17T00:00:00"/>
        <d v="2023-06-29T00:00:00"/>
        <d v="2023-09-15T00:00:00"/>
        <d v="2023-07-04T00:00:00"/>
        <d v="2023-09-29T00:00:00"/>
        <d v="2023-07-12T00:00:00"/>
        <d v="2023-07-18T00:00:00"/>
        <d v="2023-09-12T00:00:00"/>
        <d v="2023-07-26T00:00:00"/>
        <d v="2023-11-02T00:00:00"/>
        <d v="2023-07-20T00:00:00"/>
        <d v="2023-10-05T00:00:00"/>
        <d v="2023-10-26T00:00:00"/>
        <d v="2023-07-28T00:00:00"/>
        <d v="2023-07-25T00:00:00"/>
        <d v="2023-08-04T00:00:00"/>
        <d v="2023-07-27T00:00:00"/>
        <d v="2023-07-31T00:00:00"/>
        <d v="2023-09-25T00:00:00"/>
        <d v="2024-02-21T00:00:00"/>
        <d v="2023-12-04T00:00:00"/>
        <d v="2024-02-19T00:00:00"/>
        <d v="2024-03-04T00:00:00"/>
        <d v="2023-08-03T00:00:00"/>
        <d v="2023-08-08T00:00:00"/>
        <d v="2023-08-11T00:00:00"/>
        <d v="2023-08-09T00:00:00"/>
        <d v="2023-08-23T00:00:00"/>
        <d v="2023-08-10T00:00:00"/>
        <d v="2023-08-16T00:00:00"/>
        <d v="2023-08-18T00:00:00"/>
        <d v="2023-09-11T00:00:00"/>
        <d v="2023-08-25T00:00:00"/>
        <d v="2023-08-22T00:00:00"/>
        <d v="2023-09-21T00:00:00"/>
        <d v="2023-09-18T00:00:00"/>
        <d v="2023-09-05T00:00:00"/>
        <d v="2023-08-31T00:00:00"/>
        <d v="2023-08-30T00:00:00"/>
        <d v="2023-09-20T00:00:00"/>
        <d v="2023-09-07T00:00:00"/>
        <d v="2023-09-13T00:00:00"/>
        <d v="2023-09-08T00:00:00"/>
        <d v="2023-09-06T00:00:00"/>
        <d v="2023-12-11T00:00:00"/>
        <d v="2023-10-03T00:00:00"/>
        <d v="2023-09-14T00:00:00"/>
        <d v="2023-09-19T00:00:00"/>
        <d v="2023-09-26T00:00:00"/>
        <d v="2023-09-22T00:00:00"/>
        <d v="2023-10-09T00:00:00"/>
        <d v="2023-10-27T00:00:00"/>
        <d v="2023-09-28T00:00:00"/>
        <d v="2023-10-11T00:00:00"/>
        <d v="2023-10-16T00:00:00"/>
        <d v="2023-10-04T00:00:00"/>
        <d v="2023-10-25T00:00:00"/>
        <d v="2023-10-23T00:00:00"/>
        <d v="2023-11-01T00:00:00"/>
        <d v="2023-10-06T00:00:00"/>
        <d v="2023-10-13T00:00:00"/>
        <d v="2023-10-31T00:00:00"/>
        <d v="2023-10-10T00:00:00"/>
        <d v="2023-10-12T00:00:00"/>
        <d v="2023-10-18T00:00:00"/>
        <d v="2023-11-03T00:00:00"/>
        <d v="2023-11-27T00:00:00"/>
        <d v="2023-11-15T00:00:00"/>
        <d v="2023-10-20T00:00:00"/>
        <d v="2023-10-30T00:00:00"/>
        <d v="2023-11-21T00:00:00"/>
        <d v="2023-11-06T00:00:00"/>
        <d v="2023-11-10T00:00:00"/>
        <d v="2023-11-20T00:00:00"/>
        <d v="2024-03-07T00:00:00"/>
        <d v="2023-11-13T00:00:00"/>
        <d v="2023-12-15T00:00:00"/>
        <d v="2023-11-09T00:00:00"/>
        <d v="2023-11-07T00:00:00"/>
        <d v="2023-11-08T00:00:00"/>
        <d v="2023-11-29T00:00:00"/>
        <d v="2024-01-15T00:00:00"/>
        <d v="2024-01-22T00:00:00"/>
        <d v="2023-11-24T00:00:00"/>
        <d v="2023-11-14T00:00:00"/>
        <d v="2023-12-07T00:00:00"/>
        <d v="2023-11-22T00:00:00"/>
        <d v="2023-11-17T00:00:00"/>
        <d v="2023-11-23T00:00:00"/>
        <d v="2024-01-09T00:00:00"/>
        <d v="2024-02-14T00:00:00"/>
        <d v="2023-11-28T00:00:00"/>
        <d v="2023-12-05T00:00:00"/>
        <d v="2023-12-27T00:00:00"/>
        <d v="2023-12-14T00:00:00"/>
        <d v="2023-12-01T00:00:00"/>
        <d v="2023-12-08T00:00:00"/>
        <d v="2023-12-18T00:00:00"/>
        <d v="2023-12-19T00:00:00"/>
        <d v="2023-12-06T00:00:00"/>
        <d v="2023-12-21T00:00:00"/>
        <d v="2023-12-12T00:00:00"/>
        <d v="2023-12-13T00:00:00"/>
        <d v="2024-01-17T00:00:00"/>
        <d v="2023-12-20T00:00:00"/>
        <d v="2023-12-26T00:00:00"/>
        <d v="2024-01-05T00:00:00"/>
        <d v="2024-01-04T00:00:00"/>
        <d v="2024-01-10T00:00:00"/>
        <d v="2023-12-28T00:00:00"/>
        <d v="2023-12-22T00:00:00"/>
        <d v="2023-12-29T00:00:00"/>
        <d v="2024-01-16T00:00:00"/>
        <d v="2024-01-24T00:00:00"/>
        <d v="2024-01-02T00:00:00"/>
        <d v="2024-01-08T00:00:00"/>
        <d v="2024-01-01T00:00:00"/>
        <d v="2024-01-18T00:00:00"/>
        <d v="2024-02-06T00:00:00"/>
        <d v="2024-01-11T00:00:00"/>
        <d v="2024-02-12T00:00:00"/>
        <d v="2024-01-12T00:00:00"/>
        <d v="2024-02-15T00:00:00"/>
        <d v="2024-01-30T00:00:00"/>
        <d v="2024-01-19T00:00:00"/>
        <d v="2024-01-23T00:00:00"/>
        <d v="2024-01-29T00:00:00"/>
        <d v="2024-01-25T00:00:00"/>
        <d v="2024-01-31T00:00:00"/>
        <d v="2024-02-02T00:00:00"/>
        <d v="2024-01-27T00:00:00"/>
        <d v="2024-02-09T00:00:00"/>
        <d v="2024-02-05T00:00:00"/>
        <d v="2024-02-07T00:00:00"/>
        <d v="2024-03-11T00:00:00"/>
        <d v="2024-02-20T00:00:00"/>
        <d v="2024-02-13T00:00:00"/>
        <d v="2024-03-12T00:00:00"/>
        <d v="2024-03-14T00:00:00"/>
        <d v="2024-02-16T00:00:00"/>
        <d v="2024-02-29T00:00:00"/>
        <d v="2024-03-13T00:00:00"/>
        <d v="2024-02-22T00:00:00"/>
        <d v="2024-03-29T00:00:00"/>
        <d v="2024-02-27T00:00:00"/>
        <d v="2024-03-15T00:00:00"/>
        <d v="2024-03-18T00:00:00"/>
        <d v="2024-03-20T00:00:00"/>
        <d v="2024-03-21T00:00:00"/>
        <d v="2024-03-01T00:00:00"/>
        <d v="2024-03-06T00:00:00"/>
        <d v="2024-03-19T00:00:00"/>
        <d v="2024-03-08T00:00:00"/>
        <d v="2024-03-25T00:00:00"/>
        <d v="2024-03-22T00:00:00"/>
        <d v="2024-03-26T00:00:00"/>
        <d v="2024-03-28T00:00:00"/>
        <d v="2024-03-27T00:00:00"/>
        <m/>
      </sharedItems>
      <fieldGroup par="15"/>
    </cacheField>
    <cacheField name="p_o_value" numFmtId="0">
      <sharedItems containsString="0" containsBlank="1" containsNumber="1" minValue="0" maxValue="550000"/>
    </cacheField>
    <cacheField name="margin" numFmtId="0">
      <sharedItems containsString="0" containsBlank="1" containsNumber="1" minValue="-25000" maxValue="367750"/>
    </cacheField>
    <cacheField name="company_name" numFmtId="0">
      <sharedItems containsBlank="1"/>
    </cacheField>
    <cacheField name="Status" numFmtId="0">
      <sharedItems containsString="0" containsBlank="1" containsNumber="1" containsInteger="1" minValue="5" maxValue="6"/>
    </cacheField>
    <cacheField name="BH" numFmtId="0">
      <sharedItems containsBlank="1" count="10">
        <s v="Akshata nayak Non IT"/>
        <s v="Akshata nayak"/>
        <s v="Prathap Sagar BL"/>
        <s v="Mohanish"/>
        <s v="Karan Lalchandani Non IT"/>
        <s v="Sadhna Shukla"/>
        <s v="Karan Lalchandani"/>
        <s v="Saurabh"/>
        <s v="Vinay Murthy"/>
        <m/>
      </sharedItems>
    </cacheField>
    <cacheField name="AM" numFmtId="0">
      <sharedItems containsBlank="1" count="26">
        <s v="Monisha R"/>
        <s v="Pariki Pradeep"/>
        <s v="Gourab S"/>
        <s v="Fazila Khanum"/>
        <s v="Vamsi"/>
        <s v="Vamsi Sankaran"/>
        <s v="Pooja Abbigeri"/>
        <s v="Isha rao"/>
        <s v="Shivam Prasad"/>
        <s v="Jawad Ulla Khan"/>
        <s v="Mehr Hashim"/>
        <s v="Prathap Sagar BL"/>
        <s v="Rohan Srinivasan"/>
        <s v="Menaka Prasad"/>
        <s v="Saravanan P"/>
        <s v="Poornachandra"/>
        <s v="Akshata nayak"/>
        <s v="Sourav ram"/>
        <s v="S"/>
        <s v="Sadhna Shukla"/>
        <s v="Shoeb  Ahmed"/>
        <s v="Raghuramaiah K"/>
        <s v="Akshata nayak Non IT"/>
        <s v="Namitha Gowda"/>
        <m/>
        <s v="Akshata" u="1"/>
      </sharedItems>
    </cacheField>
    <cacheField name="Months (display_date)" numFmtId="0" databaseField="0">
      <fieldGroup base="6">
        <rangePr groupBy="months" startDate="2023-04-03T00:00:00" endDate="2024-03-30T00:00:00"/>
        <groupItems count="14">
          <s v="&lt;4/3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30/2024"/>
        </groupItems>
      </fieldGroup>
    </cacheField>
    <cacheField name="Quarters (display_date)" numFmtId="0" databaseField="0">
      <fieldGroup base="6">
        <rangePr groupBy="quarters" startDate="2023-04-03T00:00:00" endDate="2024-03-30T00:00:00"/>
        <groupItems count="6">
          <s v="&lt;4/3/2023"/>
          <s v="Qtr1"/>
          <s v="Qtr2"/>
          <s v="Qtr3"/>
          <s v="Qtr4"/>
          <s v="&gt;3/30/2024"/>
        </groupItems>
      </fieldGroup>
    </cacheField>
    <cacheField name="Years (display_date)" numFmtId="0" databaseField="0">
      <fieldGroup base="6">
        <rangePr groupBy="years" startDate="2023-04-03T00:00:00" endDate="2024-03-30T00:00:00"/>
        <groupItems count="4">
          <s v="&lt;4/3/2023"/>
          <s v="2023"/>
          <s v="2024"/>
          <s v="&gt;3/30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36240082" refreshedDate="45917.467998148146" createdVersion="8" refreshedVersion="8" minRefreshableVersion="3" recordCount="146" xr:uid="{A8043DF6-BD44-49EA-9420-8D137B9B7F53}">
  <cacheSource type="worksheet">
    <worksheetSource ref="E1:I138" sheet="AM and BH"/>
  </cacheSource>
  <cacheFields count="5">
    <cacheField name="Client" numFmtId="0">
      <sharedItems/>
    </cacheField>
    <cacheField name="Business Head" numFmtId="0">
      <sharedItems/>
    </cacheField>
    <cacheField name="Account manager's" numFmtId="0">
      <sharedItems containsBlank="1" count="57">
        <s v="Gourab S"/>
        <m/>
        <s v="Tarun Sareen"/>
        <s v="Jawad Ulla Khan"/>
        <s v="Priyakanta Choudhary"/>
        <s v="Athul"/>
        <s v="Tara VR"/>
        <s v="Mehr Hashim"/>
        <s v="Gourav Kumar"/>
        <s v="Shivam Prasad"/>
        <s v="Anuradha"/>
        <s v="Karan lalchandani"/>
        <s v="Sushma Hegde"/>
        <s v="Aranza Dubey"/>
        <s v="Pralhad"/>
        <s v="Dikshita Sehgal"/>
        <s v="Rajat Tyagi"/>
        <s v="Sonia Sabnani "/>
        <s v="Saravanan P"/>
        <s v="Tamil C"/>
        <s v="Pramod P"/>
        <s v="Manisha sh"/>
        <s v="Sujith AK"/>
        <s v="Monisha R"/>
        <s v="Shruthi"/>
        <s v="Shruti Baruah"/>
        <s v="Suman N" u="1"/>
        <s v="Linu Mathew" u="1"/>
        <s v="Afzal" u="1"/>
        <s v="Sharique Ahmed" u="1"/>
        <s v="Lavanya" u="1"/>
        <s v="Mohanish Pillai" u="1"/>
        <s v="Arun Jyothi M" u="1"/>
        <s v="Rohan Srinivasan" u="1"/>
        <s v="Sunora Paul" u="1"/>
        <s v="Vasudha Rao" u="1"/>
        <s v="Sourav ram" u="1"/>
        <s v="Menaka Prasad" u="1"/>
        <s v="Aamir Ahamad" u="1"/>
        <s v="Prathap Sagar BL" u="1"/>
        <s v="Goutham Raj" u="1"/>
        <s v="Kishore Kumar S" u="1"/>
        <s v="Tanveer Kaur Walia" u="1"/>
        <s v="Pariki Pradeep" u="1"/>
        <s v="Aamir Ahamad Sayeed" u="1"/>
        <s v="Rajeev Narayan Shetty" u="1"/>
        <s v="Dikshita  Sehgal" u="1"/>
        <s v="Pradeep P" u="1"/>
        <s v="Rohini Shivaramaiah" u="1"/>
        <s v="Venkata Raman" u="1"/>
        <s v="Ankita Siyaram Bind" u="1"/>
        <s v="Priyakantha" u="1"/>
        <s v="Sunil Kumar HN" u="1"/>
        <s v="Namitha Gowda" u="1"/>
        <s v="Divyanshi Bhard" u="1"/>
        <s v="Aishwarya Vinola" u="1"/>
        <s v="Supratim Saha" u="1"/>
      </sharedItems>
    </cacheField>
    <cacheField name="DL" numFmtId="0">
      <sharedItems containsBlank="1"/>
    </cacheField>
    <cacheField name="Team Name" numFmtId="0">
      <sharedItems containsBlank="1" count="15">
        <s v="Champions"/>
        <m/>
        <s v="Catalyst"/>
        <s v="Avengers"/>
        <s v="Voyagers"/>
        <s v="Honey Badgers"/>
        <s v="Anuradha"/>
        <s v="Nirmit"/>
        <s v="Perm-Falcons"/>
        <s v="Acers"/>
        <s v="Internal"/>
        <s v="Falcons" u="1"/>
        <s v="Lavanya" u="1"/>
        <s v="Synergy" u="1"/>
        <s v="Gladiator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36240082" refreshedDate="45917.467998263892" createdVersion="8" refreshedVersion="8" minRefreshableVersion="3" recordCount="154" xr:uid="{665705F6-D5EC-4253-9916-B9A351970944}">
  <cacheSource type="worksheet">
    <worksheetSource ref="E1:I146" sheet="AM and BH"/>
  </cacheSource>
  <cacheFields count="5">
    <cacheField name="Client" numFmtId="0">
      <sharedItems/>
    </cacheField>
    <cacheField name="Business Head" numFmtId="0">
      <sharedItems/>
    </cacheField>
    <cacheField name="Account manager's" numFmtId="0">
      <sharedItems containsBlank="1" count="57">
        <s v="Gourab S"/>
        <m/>
        <s v="Tarun Sareen"/>
        <s v="Jawad Ulla Khan"/>
        <s v="Priyakanta Choudhary"/>
        <s v="Athul"/>
        <s v="Tara VR"/>
        <s v="Mehr Hashim"/>
        <s v="Gourav Kumar"/>
        <s v="Shivam Prasad"/>
        <s v="Anuradha"/>
        <s v="Karan lalchandani"/>
        <s v="Sushma Hegde"/>
        <s v="Aranza Dubey"/>
        <s v="Pralhad"/>
        <s v="Dikshita Sehgal"/>
        <s v="Rajat Tyagi"/>
        <s v="Sonia Sabnani "/>
        <s v="Saravanan P"/>
        <s v="Tamil C"/>
        <s v="Pramod P"/>
        <s v="Manisha sh"/>
        <s v="Sujith AK"/>
        <s v="Monisha R"/>
        <s v="Shruthi"/>
        <s v="Shruti Baruah"/>
        <s v="Suman N" u="1"/>
        <s v="Linu Mathew" u="1"/>
        <s v="Afzal" u="1"/>
        <s v="Sharique Ahmed" u="1"/>
        <s v="Lavanya" u="1"/>
        <s v="Mohanish Pillai" u="1"/>
        <s v="Arun Jyothi M" u="1"/>
        <s v="Rohan Srinivasan" u="1"/>
        <s v="Sunora Paul" u="1"/>
        <s v="Vasudha Rao" u="1"/>
        <s v="Sourav ram" u="1"/>
        <s v="Menaka Prasad" u="1"/>
        <s v="Aamir Ahamad" u="1"/>
        <s v="Prathap Sagar BL" u="1"/>
        <s v="Goutham Raj" u="1"/>
        <s v="Kishore Kumar S" u="1"/>
        <s v="Tanveer Kaur Walia" u="1"/>
        <s v="Pariki Pradeep" u="1"/>
        <s v="Aamir Ahamad Sayeed" u="1"/>
        <s v="Rajeev Narayan Shetty" u="1"/>
        <s v="Dikshita  Sehgal" u="1"/>
        <s v="Pradeep P" u="1"/>
        <s v="Rohini Shivaramaiah" u="1"/>
        <s v="Venkata Raman" u="1"/>
        <s v="Ankita Siyaram Bind" u="1"/>
        <s v="Priyakantha" u="1"/>
        <s v="Namitha Gowda" u="1"/>
        <s v="Divyanshi Bhard" u="1"/>
        <s v="Aishwarya Vinola" u="1"/>
        <s v="Supratim Saha" u="1"/>
        <s v="Vasudha Rao IT" u="1"/>
      </sharedItems>
    </cacheField>
    <cacheField name="DL" numFmtId="0">
      <sharedItems containsBlank="1"/>
    </cacheField>
    <cacheField name="Team 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8.433521643521" createdVersion="8" refreshedVersion="8" minRefreshableVersion="3" recordCount="246" xr:uid="{8CBBD851-2504-4F46-9501-54BD4E0A8FDA}">
  <cacheSource type="worksheet">
    <worksheetSource ref="J1:J1048576" sheet="AM and BH"/>
  </cacheSource>
  <cacheFields count="1">
    <cacheField name="HRBP" numFmtId="0">
      <sharedItems containsBlank="1" count="15">
        <s v="Not Assigned"/>
        <s v="Tannu Mishra"/>
        <s v="Samrita /Sree Swetha"/>
        <s v="Meenu Amit Kumar"/>
        <s v="Sobha Mishra"/>
        <s v="Sultana M"/>
        <s v="Sara"/>
        <s v="DILMA"/>
        <s v="Umar"/>
        <s v="Ashik"/>
        <s v="Lavanya"/>
        <s v="Chandana TP/Yashashwini"/>
        <s v="Nandana"/>
        <e v="#N/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6.521188773149" createdVersion="8" refreshedVersion="8" minRefreshableVersion="3" recordCount="264" xr:uid="{3332A138-4CEC-4204-85FC-FC87B67C58A8}">
  <cacheSource type="worksheet">
    <worksheetSource ref="E1:L263" sheet="AM and BH"/>
  </cacheSource>
  <cacheFields count="8">
    <cacheField name="Client" numFmtId="0">
      <sharedItems count="263">
        <s v="ABB"/>
        <s v="ABB Malaysia"/>
        <s v="Accenture IDB2"/>
        <s v="Accenture_ATCI"/>
        <s v="Accenture_BPO"/>
        <s v="Accenture_IDB"/>
        <s v="Accenture_IDB_1"/>
        <s v="Accenture-voice"/>
        <s v="Adobe"/>
        <s v="Agility"/>
        <s v="Airbus"/>
        <s v="Akkodis"/>
        <s v="Alliance Data"/>
        <s v="Amadeus Software"/>
        <s v="Amazon"/>
        <s v="Analog Devices"/>
        <s v="ANZ"/>
        <s v="ANZ OPS"/>
        <s v="Aquent Global"/>
        <s v="Atkins"/>
        <s v="Axa Business Solutions"/>
        <s v="Backbase"/>
        <s v="Bharat Forge"/>
        <s v="Black and Veatch"/>
        <s v="BOSCH_COE"/>
        <s v="Boston Scientific"/>
        <s v="Bread Financials_Support"/>
        <s v="BSH"/>
        <s v="Capgemini LBS"/>
        <s v="Capgemini- Permanent"/>
        <s v="Capgemini_FC"/>
        <s v="Capgemini-Bangalore"/>
        <s v="Celestica"/>
        <s v="CenturyLink Technologies India Pvt.Ltd"/>
        <s v="CH Robinson"/>
        <s v="Clean Harbors_ITES"/>
        <s v="Cleartrip"/>
        <s v="Clovity"/>
        <s v="CME"/>
        <s v="CME_C2H"/>
        <s v="Cognizant"/>
        <s v="Cognizant-FTE"/>
        <s v="Cohesity"/>
        <s v="Consilio"/>
        <s v="Coupang"/>
        <s v="Cred"/>
        <s v="DAMAC"/>
        <s v="Danfoss"/>
        <s v="Datacomp Webtech Technologies "/>
        <s v="DataFlow Group"/>
        <s v="DBS bank"/>
        <s v="DE Shaw &amp; Co"/>
        <s v="Decathlon"/>
        <s v="Deloitee Touche"/>
        <s v="Deloitte"/>
        <s v="Deloitte - Advisory"/>
        <s v="Deloitte - MemberFirms"/>
        <s v="Deloitte Contract"/>
        <s v="Deloitte India"/>
        <s v="Deloitte_COE"/>
        <s v="Deloitte_Consulting"/>
        <s v="Deloitte_HTD"/>
        <s v="Deloitte_LD"/>
        <s v="Deloitte_Support"/>
        <s v="Deloitte-One Tech"/>
        <s v="Dentsu"/>
        <s v="Diebold Nixdorf"/>
        <s v="DTICI"/>
        <s v="DXC"/>
        <s v="DXC - Philippines"/>
        <s v="DXC _FTE"/>
        <s v="DXC Technologies – SGP"/>
        <s v="DXC Technologies â€“ SGP"/>
        <s v="Ecolabs"/>
        <s v="EdgeVerve"/>
        <s v="Ellucian"/>
        <s v="EPAM Systems"/>
        <s v="EverestGroup"/>
        <s v="EY"/>
        <s v="EY payroll"/>
        <s v="EY-GDS"/>
        <s v="EY-IT"/>
        <s v="fintellix"/>
        <s v="Flipkart"/>
        <s v="FlipkartIT"/>
        <s v="Fluence Energy"/>
        <s v="FLUENCE ENERGY - PAYROLL"/>
        <s v="Fortinet"/>
        <s v="GE Healthcare Global Private Limited."/>
        <s v="Genpact"/>
        <s v="Google"/>
        <s v="Grant Thornton"/>
        <s v="Grant Thornton payroll"/>
        <s v="H&amp;R Block"/>
        <s v="Hanker_US"/>
        <s v="Harman"/>
        <s v="Harman Non IT"/>
        <s v="Harman_Bangalore"/>
        <s v="Harman_Payroll"/>
        <s v="Hinge Health"/>
        <s v="HP"/>
        <s v="HP- drubhajoythi "/>
        <s v="HP_Subramanya"/>
        <s v="HP-samerndra"/>
        <s v="IBM -Mercedes"/>
        <s v="Incture"/>
        <s v="Infinx Manila"/>
        <s v="Infinx_Champ"/>
        <s v="Infinx_US"/>
        <s v="Infosys ADM"/>
        <s v="Infosys CIS"/>
        <s v="Infosys Consulting"/>
        <s v="Infosys IVS"/>
        <s v="Infosys Oracle"/>
        <s v="Infosys SAP"/>
        <s v="Infosys_4"/>
        <s v="Infosys_DNA"/>
        <s v="Infosys_DX"/>
        <s v="Infosys_US"/>
        <s v="Infosys-FTE"/>
        <s v="Infosys-India Pvt Ltd"/>
        <s v="Infosys-Microsoft"/>
        <s v="JLL"/>
        <s v="JLL Routing"/>
        <s v="Johnson Electric"/>
        <s v="Kennametal IT"/>
        <s v="Kennametal shared services"/>
        <s v="Kent Engineering India Pvt Ltd"/>
        <s v="Kimberly Clark"/>
        <s v="KMART"/>
        <s v="Koch Industries"/>
        <s v="KOCH_COE"/>
        <s v="kyndryl"/>
        <s v="L&amp;T"/>
        <s v="L&amp;T-Cont"/>
        <s v="L&amp;T-Perm"/>
        <s v="Lam Research"/>
        <s v="Lenovo"/>
        <s v="Lenovo 2"/>
        <s v="London Stock Exchange Group"/>
        <s v="Lowes"/>
        <s v="LTTS China"/>
        <s v="LTTS China-FTE"/>
        <s v="Lumen"/>
        <s v=" Lumen C2H"/>
        <s v="Lumen routing "/>
        <s v="Medline"/>
        <s v="Medline Industries, LP"/>
        <s v="Meolaa"/>
        <s v="Mercedes benz"/>
        <s v="MercedesBenz-DTICI"/>
        <s v="Moder Solutions"/>
        <s v="Monsanto"/>
        <s v="Monsanto (Bayer) - Payroll"/>
        <s v="Motherson Group"/>
        <s v="NCSI Technologies"/>
        <s v="NetApp"/>
        <s v="News Corp / NTS India"/>
        <s v="Nexteer Automotives"/>
        <s v="Ninja van"/>
        <s v="Northern Trust"/>
        <s v="NorthernTrust- Payroll"/>
        <s v="Novartis"/>
        <s v="OSBI"/>
        <s v="OSBI_Payroll"/>
        <s v="OTIS"/>
        <s v="Pfizer"/>
        <s v="Photon"/>
        <s v="Power Integration"/>
        <s v="PricewaterhouseCoopers"/>
        <s v="Pure Storage"/>
        <s v="PWC_COE"/>
        <s v="Rapid7"/>
        <s v="RealPage"/>
        <s v="RImini_Street"/>
        <s v="RR Donnelley"/>
        <s v="Sage IT Inc"/>
        <s v="Saint Gobain"/>
        <s v="Saint Gobain_perm"/>
        <s v="Sandoz"/>
        <s v="Sasken Techologies ltd"/>
        <s v="Scalable Systems"/>
        <s v="Schneider Electric"/>
        <s v="Sharp Software Development India "/>
        <s v="Shell"/>
        <s v="Soc gen Ops "/>
        <s v="Socgen"/>
        <s v="Societe Generale"/>
        <s v="Software One"/>
        <s v="SONY Software Development Centre"/>
        <s v="Strategic Staffing Solutions"/>
        <s v="Sulzer"/>
        <s v="Summit Consulting"/>
        <s v="Sungard AS"/>
        <s v="Swiss Re"/>
        <s v="Symplr"/>
        <s v="SYNITI"/>
        <s v="Target"/>
        <s v="Tata Consultancy Services"/>
        <s v="Tata Elxsi"/>
        <s v="TCS"/>
        <s v="TekisHub Consulting"/>
        <s v="TekWissen"/>
        <s v="TESCO"/>
        <s v="Thomson Reuters"/>
        <s v="Thoughtworks"/>
        <s v="Toyota"/>
        <s v="Trane Technologies"/>
        <s v="UHG"/>
        <s v="UHG AEP 2024"/>
        <s v="UHG SS&amp;BCI"/>
        <s v="UHG-Non IT"/>
        <s v="Us_temp"/>
        <s v="Verifone"/>
        <s v="Veritas"/>
        <s v="VISA"/>
        <s v="VMware"/>
        <s v="VSV Wins"/>
        <s v="Wartsila"/>
        <s v="Wipro"/>
        <s v="Wipro (Broadcom Inc)"/>
        <s v="WIpro-Engineering"/>
        <s v="Wipro-Technologies"/>
        <s v="Wolters Kluwer"/>
        <s v="Wolters Kluwer-India"/>
        <s v=" WSP"/>
        <s v="Wurth IT"/>
        <s v="Xellia Pharma"/>
        <s v="Xylem INC"/>
        <s v="Yokogawa"/>
        <s v="Zebra Technologies Corporation"/>
        <s v="ZebraTechnologies"/>
        <s v="Zensar"/>
        <s v="ZTE_payroll"/>
        <s v="Zensar Technologies "/>
        <s v="Deloitte Mercedes Benz"/>
        <s v="Deloitte-Sugandha"/>
        <s v="Accenture ATCI APAC "/>
        <s v="L&amp;T Technology services Pvt Ltd"/>
        <s v="Arcelor Mittal"/>
        <s v="Bridgestone Mobility Solutions"/>
        <s v="Siemens DISW "/>
        <s v="Cognizant_Sales"/>
        <s v="HP (SH)"/>
        <s v="Dassault Systemes Global Services Private Limited"/>
        <s v="Socgen_GTS"/>
        <s v="Socgen-GBIS"/>
        <s v="Socgen-MIBS-RBS-AVYENS"/>
        <s v="Socgen-CFT"/>
        <s v="Socgen-DDS"/>
        <s v="La salle - philippines"/>
        <s v="Bank of Makati - philippines"/>
        <s v="Pioneer Insurance - philippines"/>
        <s v="CIMB Bank - philippines"/>
        <s v="Metrobank - philippines"/>
        <s v="Tonik Bank - philippines"/>
        <s v="Singlife - philippines"/>
        <s v="LITCO"/>
        <s v="GEO Global Engineering"/>
        <s v="Mashreq Bank"/>
        <s v="L&amp;T Vyoma"/>
        <s v="Sodexo"/>
        <s v="Soc gen Ops"/>
      </sharedItems>
    </cacheField>
    <cacheField name="Business Head" numFmtId="0">
      <sharedItems/>
    </cacheField>
    <cacheField name="Account manager's" numFmtId="0">
      <sharedItems containsBlank="1"/>
    </cacheField>
    <cacheField name="DL" numFmtId="0">
      <sharedItems containsBlank="1"/>
    </cacheField>
    <cacheField name="Team Name" numFmtId="0">
      <sharedItems containsBlank="1"/>
    </cacheField>
    <cacheField name="HRBP" numFmtId="0">
      <sharedItems containsBlank="1" containsMixedTypes="1" containsNumber="1" containsInteger="1" minValue="0" maxValue="0" count="17">
        <s v="Tannu Mishra"/>
        <s v="Samrita /Sree Swetha"/>
        <s v="Meenu Amit Kumar"/>
        <s v="Shobha Mishra"/>
        <s v="sara"/>
        <s v="DILMA"/>
        <s v="Sultana M"/>
        <s v="Umar"/>
        <s v="Mokshithraj"/>
        <n v="0"/>
        <s v="Ashik"/>
        <s v="Not Assigned"/>
        <s v="Lavanya"/>
        <s v="Chandana TP/Yashashwini"/>
        <s v="Nandana"/>
        <e v="#N/A"/>
        <m/>
      </sharedItems>
    </cacheField>
    <cacheField name="Domain" numFmtId="0">
      <sharedItems containsMixedTypes="1" containsNumber="1" containsInteger="1" minValue="0" maxValue="0"/>
    </cacheField>
    <cacheField name="BH T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4.418084837962" createdVersion="8" refreshedVersion="8" minRefreshableVersion="3" recordCount="268" xr:uid="{CCCE6858-2024-4320-8248-7FB0CF5F915C}">
  <cacheSource type="worksheet">
    <worksheetSource ref="V1:W269" sheet="AM"/>
  </cacheSource>
  <cacheFields count="2">
    <cacheField name="Business Head" numFmtId="0">
      <sharedItems containsBlank="1" containsMixedTypes="1" containsNumber="1" containsInteger="1" minValue="0" maxValue="0" count="14">
        <s v="Deepak Desai"/>
        <s v="Jawad Ulla Khan Non IT"/>
        <s v="Sadhna Shukla"/>
        <s v="Mehr Hashim"/>
        <s v="Aashis Ranjan"/>
        <e v="#N/A"/>
        <s v="Anuradha Murthy"/>
        <n v="0"/>
        <s v="Deepak Desai Non IT"/>
        <s v="Ashok shastry"/>
        <m/>
        <s v="Anuradha Murthy Non IT"/>
        <s v="Kiran Gowda"/>
        <s v="Mher"/>
      </sharedItems>
    </cacheField>
    <cacheField name="Account manager's" numFmtId="0">
      <sharedItems containsBlank="1" count="34">
        <s v="Deepak Desai"/>
        <s v="Priyakanta Choudhary"/>
        <s v="Tamil C"/>
        <s v="Jawad Ulla Khan"/>
        <s v="Sushma K M"/>
        <s v="Tara VR"/>
        <s v="Mehr Hashim"/>
        <s v="Gourav Kumar"/>
        <s v="Anuradha Murthy"/>
        <s v="Surya S"/>
        <s v="Sushma Hegde"/>
        <s v="Shailesh Gangwar"/>
        <s v="Saravanan P"/>
        <s v="Not Assigned"/>
        <s v="Gourab S"/>
        <s v="Syed Waseem"/>
        <s v="Aishwarya Kolte"/>
        <s v="Dikshita Sehgal"/>
        <s v="Rajat Tyagi"/>
        <s v="Dhaval patel"/>
        <s v="Sonia Sabnani "/>
        <s v="Pramod P"/>
        <s v="Manisha sh"/>
        <s v="Sujith AK"/>
        <s v="Prathyusha Mangalampalli"/>
        <s v="Monisha R"/>
        <s v="Shruthi"/>
        <m/>
        <s v="Sarika Mukherjee"/>
        <s v="Menaka Prasad"/>
        <s v="Kiran Gowda"/>
        <s v="Gaurav kumar"/>
        <s v="Jawad Ulla Khan Non IT"/>
        <s v="Mh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3">
  <r>
    <s v="Poorvi Kundur"/>
    <s v="Monisha RR"/>
    <s v="Akshata Nayak Non IT"/>
    <s v="Sagareena S"/>
    <n v="6"/>
    <s v="C36230562"/>
    <x v="0"/>
    <n v="34375"/>
    <n v="6875"/>
    <s v="HP"/>
    <n v="6"/>
    <x v="0"/>
    <x v="0"/>
  </r>
  <r>
    <s v="Narendra Kumar Debariki"/>
    <s v="Pradeep P"/>
    <s v="Akshata Nayak Non IT"/>
    <s v="  Seeram Prasanna"/>
    <n v="1"/>
    <s v="C36230620"/>
    <x v="1"/>
    <n v="42483"/>
    <n v="4983"/>
    <s v="UHG"/>
    <n v="5"/>
    <x v="0"/>
    <x v="1"/>
  </r>
  <r>
    <s v="Sai Manish"/>
    <s v="Pradeep P"/>
    <s v="Akshata Nayak Non IT"/>
    <s v="    Reddy Niharika "/>
    <n v="1"/>
    <s v="C36230589"/>
    <x v="2"/>
    <n v="42483"/>
    <n v="7483"/>
    <s v="UHG"/>
    <n v="5"/>
    <x v="0"/>
    <x v="1"/>
  </r>
  <r>
    <s v="Poorvi Kundur"/>
    <s v="Monisha RR"/>
    <s v="Akshata Nayak Non IT"/>
    <s v="Alavala Akhila"/>
    <n v="1"/>
    <s v="C36230456"/>
    <x v="3"/>
    <n v="42483"/>
    <n v="7483"/>
    <s v="UHG"/>
    <n v="6"/>
    <x v="0"/>
    <x v="1"/>
  </r>
  <r>
    <s v="Abhilash P"/>
    <s v="Kamlesh A"/>
    <s v="Menaka Prasad"/>
    <s v="B Praveen Kumar  "/>
    <n v="2"/>
    <s v="C36230619"/>
    <x v="4"/>
    <n v="78150"/>
    <n v="3150"/>
    <s v="CenturyLink Technologies India Pvt.Ltd"/>
    <n v="5"/>
    <x v="1"/>
    <x v="2"/>
  </r>
  <r>
    <s v="Krishna Mohanty"/>
    <s v="Kamlesh A"/>
    <s v="Menaka Prasad"/>
    <s v="Dinesh Kumar J "/>
    <n v="2"/>
    <s v="C36230467"/>
    <x v="5"/>
    <n v="52100"/>
    <n v="2100"/>
    <s v="CenturyLink Technologies India Pvt.Ltd"/>
    <n v="5"/>
    <x v="1"/>
    <x v="2"/>
  </r>
  <r>
    <s v="Yaseen Beigh"/>
    <s v="Pradeep P"/>
    <s v="Akshata Nayak Non IT"/>
    <s v="Puppala Manoj kumar"/>
    <n v="1"/>
    <s v="C36230644"/>
    <x v="2"/>
    <n v="42483"/>
    <n v="4983"/>
    <s v="UHG"/>
    <n v="5"/>
    <x v="0"/>
    <x v="1"/>
  </r>
  <r>
    <s v="Shiva Prasad"/>
    <s v="Fazila K"/>
    <s v="Prathap Sagar"/>
    <s v="Shashank Harishchandra Pardhiye "/>
    <n v="2"/>
    <s v="C36230443"/>
    <x v="6"/>
    <n v="157500"/>
    <n v="49166.67"/>
    <s v="Infosys"/>
    <n v="6"/>
    <x v="2"/>
    <x v="3"/>
  </r>
  <r>
    <s v="Monisha R"/>
    <s v="Akshata Nayak"/>
    <s v="Monisha R"/>
    <s v="Zabi ualla"/>
    <n v="2"/>
    <s v="C36230902"/>
    <x v="7"/>
    <n v="51999.9"/>
    <n v="8666.9"/>
    <s v="HP"/>
    <n v="6"/>
    <x v="0"/>
    <x v="0"/>
  </r>
  <r>
    <s v="Nisha Tanwar"/>
    <s v="Rohit Choudhary"/>
    <s v="Sandeep Sanweriya"/>
    <s v="R Prasanth  "/>
    <n v="2"/>
    <s v="C36230432"/>
    <x v="3"/>
    <n v="81837"/>
    <n v="15171"/>
    <s v="Capgemini LBS"/>
    <n v="6"/>
    <x v="3"/>
    <x v="4"/>
  </r>
  <r>
    <s v="Kiran A"/>
    <s v="sai S"/>
    <s v="Sandeep Sanweriya"/>
    <s v="Aditya  Raj"/>
    <n v="1"/>
    <s v="C36230433"/>
    <x v="3"/>
    <n v="42483"/>
    <n v="7483"/>
    <s v="UHG"/>
    <n v="5"/>
    <x v="0"/>
    <x v="1"/>
  </r>
  <r>
    <s v="Madhan Kumar M"/>
    <s v="Vamsi S"/>
    <s v="Mohanish Pillai"/>
    <s v="Boda Vinay Kumar "/>
    <n v="2"/>
    <s v="C36230510"/>
    <x v="8"/>
    <n v="116700"/>
    <n v="25034"/>
    <s v=" WSP"/>
    <n v="6"/>
    <x v="1"/>
    <x v="5"/>
  </r>
  <r>
    <s v="Sheetal B"/>
    <s v="Tamil C"/>
    <s v="Akshata Nayak"/>
    <s v="Kishore Babu Ganta"/>
    <n v="1"/>
    <s v="C36230434"/>
    <x v="3"/>
    <n v="118226.6"/>
    <n v="9893.6"/>
    <s v="DXC"/>
    <n v="6"/>
    <x v="1"/>
    <x v="6"/>
  </r>
  <r>
    <s v="shweta kamathgi"/>
    <s v="Dummy Record Lead"/>
    <s v="Menaka Prasad"/>
    <s v="Arvind Sharma"/>
    <n v="2"/>
    <s v="C36230407"/>
    <x v="9"/>
    <n v="132617.51999999999"/>
    <n v="32617.52"/>
    <s v="IBM -Mercedes"/>
    <n v="6"/>
    <x v="1"/>
    <x v="7"/>
  </r>
  <r>
    <s v="Sushmitha K"/>
    <s v="Fazila K"/>
    <s v="Prathap Sagar"/>
    <s v="Pradeepa S"/>
    <n v="2"/>
    <s v="C36230462"/>
    <x v="5"/>
    <n v="178500"/>
    <n v="53500"/>
    <s v="Infosys"/>
    <n v="6"/>
    <x v="2"/>
    <x v="3"/>
  </r>
  <r>
    <s v="Rajesh R"/>
    <s v="Kamlesh A"/>
    <s v="Menaka Prasad"/>
    <s v="Suhas  R"/>
    <n v="2"/>
    <s v="C36230423"/>
    <x v="3"/>
    <n v="132617.51999999999"/>
    <n v="52617.52"/>
    <s v="IBM -Mercedes"/>
    <n v="5"/>
    <x v="1"/>
    <x v="7"/>
  </r>
  <r>
    <s v="Siba Prasad"/>
    <s v="Kamlesh A"/>
    <s v="Menaka Prasad"/>
    <s v="Abhishek Giri"/>
    <n v="2"/>
    <s v="C36230482"/>
    <x v="10"/>
    <n v="99859"/>
    <n v="4026"/>
    <s v="CenturyLink Technologies India Pvt.Ltd"/>
    <n v="5"/>
    <x v="1"/>
    <x v="2"/>
  </r>
  <r>
    <s v="Lakheswari Ranjan"/>
    <s v="Sheetal B"/>
    <s v="Tamil Chelvan"/>
    <s v="Anuj Gupta"/>
    <n v="1"/>
    <s v="C36230435"/>
    <x v="3"/>
    <n v="315270.94"/>
    <n v="31937.94"/>
    <s v="DXC"/>
    <n v="6"/>
    <x v="1"/>
    <x v="6"/>
  </r>
  <r>
    <s v="Deepthi C"/>
    <s v="Anitha C"/>
    <s v="Akshata Nayak Non IT"/>
    <s v="Saritha Kumari"/>
    <n v="1"/>
    <s v="C36230468"/>
    <x v="5"/>
    <n v="67200"/>
    <n v="13034"/>
    <s v="Soc gen Ops "/>
    <n v="5"/>
    <x v="4"/>
    <x v="2"/>
  </r>
  <r>
    <s v="Moulali S"/>
    <s v="Poornachandra V"/>
    <s v="Akshata Nayak"/>
    <s v="Salla Vinay Kumar"/>
    <n v="2"/>
    <s v="C36230447"/>
    <x v="11"/>
    <n v="282240"/>
    <n v="169740"/>
    <s v="Wolters Kluwer"/>
    <n v="6"/>
    <x v="5"/>
    <x v="8"/>
  </r>
  <r>
    <s v="Kumar A"/>
    <s v="Sheetal B"/>
    <s v="Tamil Chelvan"/>
    <s v="Vikram Yeshwant"/>
    <n v="1"/>
    <s v="C36230436"/>
    <x v="3"/>
    <n v="295566.5"/>
    <n v="45566.5"/>
    <s v="DXC"/>
    <n v="6"/>
    <x v="1"/>
    <x v="6"/>
  </r>
  <r>
    <s v="Sheetal B"/>
    <s v="Tamil C"/>
    <s v="Akshata Nayak"/>
    <s v="Shivaram P.K"/>
    <n v="1"/>
    <s v="C36230437"/>
    <x v="3"/>
    <n v="216748.77"/>
    <n v="100082.77"/>
    <s v="DXC"/>
    <n v="5"/>
    <x v="1"/>
    <x v="6"/>
  </r>
  <r>
    <s v="Sheetal B"/>
    <s v="Tamil C"/>
    <s v="Akshata Nayak"/>
    <s v="Sujeet Rai"/>
    <n v="1"/>
    <s v="C36230438"/>
    <x v="3"/>
    <n v="177339.9"/>
    <n v="85673.9"/>
    <s v="DXC"/>
    <n v="6"/>
    <x v="1"/>
    <x v="6"/>
  </r>
  <r>
    <s v="Abhilash P"/>
    <s v="Kamlesh A"/>
    <s v="Menaka Prasad"/>
    <s v="Deepak  Kumar"/>
    <n v="2"/>
    <s v="C36230439"/>
    <x v="3"/>
    <n v="118788"/>
    <n v="4788"/>
    <s v="CenturyLink Technologies India Pvt.Ltd"/>
    <n v="6"/>
    <x v="1"/>
    <x v="2"/>
  </r>
  <r>
    <s v="Priya b"/>
    <s v="Prathyusha Mangalampalli"/>
    <s v="Akshata Nayak Non IT"/>
    <s v="Vignesh Babu Rv"/>
    <n v="2"/>
    <s v="C36230459"/>
    <x v="11"/>
    <n v="30000"/>
    <n v="5000"/>
    <s v="Accenture-voice"/>
    <n v="5"/>
    <x v="0"/>
    <x v="9"/>
  </r>
  <r>
    <s v="Sushmitha K"/>
    <s v="Fazila K"/>
    <s v="Prathap Sagar"/>
    <s v="Kumararaja  Muthukumarasamy"/>
    <n v="2"/>
    <s v="C36230463"/>
    <x v="5"/>
    <n v="208425"/>
    <n v="18425"/>
    <s v="Infosys"/>
    <n v="5"/>
    <x v="2"/>
    <x v="3"/>
  </r>
  <r>
    <s v="Anitha C"/>
    <s v="Jawad Ulla Khan"/>
    <s v="Jawad Ulla Khan"/>
    <s v="Zareennisa Anwar Basha"/>
    <n v="1"/>
    <s v="C36230469"/>
    <x v="5"/>
    <n v="84000"/>
    <n v="19000"/>
    <s v="Soc gen Ops "/>
    <n v="6"/>
    <x v="4"/>
    <x v="2"/>
  </r>
  <r>
    <s v="Poorvi Kundur"/>
    <s v="Monisha RR"/>
    <s v="Akshata Nayak Non IT"/>
    <s v="Mohammed Adnan Shariff "/>
    <n v="6"/>
    <s v="C36230448"/>
    <x v="11"/>
    <n v="34375"/>
    <n v="6875"/>
    <s v="HP"/>
    <n v="5"/>
    <x v="0"/>
    <x v="0"/>
  </r>
  <r>
    <s v="Keerthana S"/>
    <s v="Monisha RR"/>
    <s v="Akshata Nayak Non IT"/>
    <s v="Mariyam Ameen"/>
    <n v="6"/>
    <s v="C36230449"/>
    <x v="11"/>
    <n v="34375"/>
    <n v="6875"/>
    <s v="HP"/>
    <n v="5"/>
    <x v="0"/>
    <x v="0"/>
  </r>
  <r>
    <s v="Keerthana S"/>
    <s v="Monisha RR"/>
    <s v="Akshata Nayak Non IT"/>
    <s v="Ashwinth Singh P"/>
    <n v="6"/>
    <s v="C36230450"/>
    <x v="11"/>
    <n v="34375"/>
    <n v="6875"/>
    <s v="HP"/>
    <n v="6"/>
    <x v="0"/>
    <x v="0"/>
  </r>
  <r>
    <s v="Surekha S"/>
    <s v="Monisha RR"/>
    <s v="Akshata Nayak Non IT"/>
    <s v="Aman Kumar"/>
    <n v="6"/>
    <s v="C36230451"/>
    <x v="11"/>
    <n v="34375"/>
    <n v="6875"/>
    <s v="HP"/>
    <n v="5"/>
    <x v="0"/>
    <x v="0"/>
  </r>
  <r>
    <s v="Pinky Kumari"/>
    <s v="Mehr Hashim D"/>
    <s v="Mehr Hashim"/>
    <s v="Ghantasala Venkata Nagalakshmi Gnana Keerthi"/>
    <n v="2"/>
    <s v="C36230440"/>
    <x v="3"/>
    <n v="25566.66"/>
    <n v="3900.66"/>
    <s v="Lowes"/>
    <n v="5"/>
    <x v="5"/>
    <x v="10"/>
  </r>
  <r>
    <s v="Sutripti Mitra"/>
    <s v="Vamsi S"/>
    <s v="Mohanish Pillai"/>
    <s v="Tanmay Sharma"/>
    <n v="6"/>
    <s v="C36230514"/>
    <x v="11"/>
    <n v="34375"/>
    <n v="6875"/>
    <s v="HP"/>
    <n v="6"/>
    <x v="0"/>
    <x v="0"/>
  </r>
  <r>
    <s v="Prateek A"/>
    <s v="Mehr Hashim D"/>
    <s v="Mehr Hashim"/>
    <s v="Basanta  Kumar Sethy"/>
    <n v="2"/>
    <s v="C36230480"/>
    <x v="12"/>
    <n v="475000"/>
    <n v="91667"/>
    <s v="GE Healthcare Global Private Limited."/>
    <n v="5"/>
    <x v="5"/>
    <x v="10"/>
  </r>
  <r>
    <s v="Mehraj N"/>
    <s v="Prathyusha Mangalampalli"/>
    <s v="Akshata Nayak Non IT"/>
    <s v="Perusomula Sree Divya  "/>
    <n v="2"/>
    <s v="C36230466"/>
    <x v="11"/>
    <n v="28750"/>
    <n v="3750"/>
    <s v="Accenture_BPO"/>
    <n v="6"/>
    <x v="0"/>
    <x v="9"/>
  </r>
  <r>
    <s v="Sachin K"/>
    <s v="Prathyusha Mangalampalli"/>
    <s v="Akshata Nayak Non IT"/>
    <s v="Mark Henry Edwin"/>
    <n v="2"/>
    <s v="C36230479"/>
    <x v="11"/>
    <n v="48000"/>
    <n v="8000"/>
    <s v="Accenture-voice"/>
    <n v="5"/>
    <x v="0"/>
    <x v="9"/>
  </r>
  <r>
    <s v="Bindushree R"/>
    <s v="Prathyusha Mangalampalli"/>
    <s v="Akshata Nayak Non IT"/>
    <s v="Joe Udaya  Anisha U"/>
    <n v="2"/>
    <s v="C36230460"/>
    <x v="11"/>
    <n v="17400"/>
    <n v="2400"/>
    <s v="Accenture_BPO"/>
    <n v="5"/>
    <x v="0"/>
    <x v="9"/>
  </r>
  <r>
    <s v="Dhanush H"/>
    <s v="Mehr Hashim D"/>
    <s v="Mehr Hashim"/>
    <s v="Prasad A.Vichare "/>
    <n v="2"/>
    <s v="C36230452"/>
    <x v="11"/>
    <n v="71100"/>
    <n v="5267"/>
    <s v="OTIS"/>
    <n v="5"/>
    <x v="5"/>
    <x v="10"/>
  </r>
  <r>
    <s v="Poorvi Kundur"/>
    <s v="Monisha RR"/>
    <s v="Akshata Nayak Non IT"/>
    <s v="Varsha Poojar J"/>
    <n v="6"/>
    <s v="C36230453"/>
    <x v="6"/>
    <n v="34375"/>
    <n v="6875"/>
    <s v="HP"/>
    <n v="5"/>
    <x v="0"/>
    <x v="0"/>
  </r>
  <r>
    <s v="Surekha S"/>
    <s v="Monisha RR"/>
    <s v="Akshata Nayak Non IT"/>
    <s v="Jacintha A"/>
    <n v="6"/>
    <s v="C36230454"/>
    <x v="6"/>
    <n v="34375"/>
    <n v="6875"/>
    <s v="HP"/>
    <n v="5"/>
    <x v="0"/>
    <x v="0"/>
  </r>
  <r>
    <s v="Karthik C"/>
    <s v="Fazila K"/>
    <s v="Prathap Sagar"/>
    <s v="Shankar A"/>
    <n v="2"/>
    <s v="C36230493"/>
    <x v="8"/>
    <n v="189000"/>
    <n v="47334"/>
    <s v="Infosys"/>
    <n v="6"/>
    <x v="2"/>
    <x v="3"/>
  </r>
  <r>
    <s v="Manish Kalal"/>
    <s v="Mehr Hashim D"/>
    <s v="Mehr Hashim"/>
    <s v="Madhusudan G"/>
    <n v="2"/>
    <s v="C36230455"/>
    <x v="6"/>
    <n v="63916.66"/>
    <n v="9750.66"/>
    <s v="Lowes"/>
    <n v="6"/>
    <x v="5"/>
    <x v="10"/>
  </r>
  <r>
    <s v="Athriya Shet"/>
    <s v="Suman S"/>
    <s v="Prathap Sagar"/>
    <s v="Souvik Das  "/>
    <n v="2"/>
    <s v="C36230445"/>
    <x v="9"/>
    <n v="150000"/>
    <n v="8334"/>
    <s v="OSBI"/>
    <n v="5"/>
    <x v="2"/>
    <x v="11"/>
  </r>
  <r>
    <s v="Dhanush H"/>
    <s v="Mehr Hashim D"/>
    <s v="Mehr Hashim"/>
    <s v="Rupali Avinash Gautame"/>
    <n v="2"/>
    <s v="C36230470"/>
    <x v="5"/>
    <n v="49166.66"/>
    <n v="7500.66"/>
    <s v="Lowes"/>
    <n v="5"/>
    <x v="5"/>
    <x v="10"/>
  </r>
  <r>
    <s v="Deepthi C"/>
    <s v="Anitha C"/>
    <s v="Akshata Nayak Non IT"/>
    <s v="Amudhan Periannan"/>
    <n v="1"/>
    <s v="C36230481"/>
    <x v="12"/>
    <n v="67200"/>
    <n v="18867"/>
    <s v="Soc gen Ops "/>
    <n v="6"/>
    <x v="4"/>
    <x v="2"/>
  </r>
  <r>
    <s v="Karthik Venkatesh"/>
    <s v="Priyakantha K"/>
    <s v="Prathap Sagar"/>
    <s v="Jancita Jerald Dsouza"/>
    <n v="2"/>
    <s v="C36230575"/>
    <x v="13"/>
    <n v="30000"/>
    <n v="5000"/>
    <s v="Accenture_IDB"/>
    <n v="5"/>
    <x v="2"/>
    <x v="3"/>
  </r>
  <r>
    <s v="Deepthi C"/>
    <s v="Anitha C"/>
    <s v="Akshata Nayak Non IT"/>
    <s v="Richard Magimainathan"/>
    <n v="1"/>
    <s v="C36230488"/>
    <x v="12"/>
    <n v="67200"/>
    <n v="17200"/>
    <s v="Soc gen Ops "/>
    <n v="6"/>
    <x v="4"/>
    <x v="2"/>
  </r>
  <r>
    <s v="Varshitha P"/>
    <s v="Eugene kurian"/>
    <s v="Priyakanta Choudhary"/>
    <s v=" Prachi Jagdish Bhagat"/>
    <n v="2"/>
    <s v="C36230446"/>
    <x v="6"/>
    <n v="362880"/>
    <n v="154547"/>
    <s v="Wolters Kluwer"/>
    <n v="6"/>
    <x v="5"/>
    <x v="8"/>
  </r>
  <r>
    <s v="Jyothi HM"/>
    <s v="Suman S"/>
    <s v="Prathap Sagar"/>
    <s v="Ranjith Kumar G"/>
    <n v="2"/>
    <s v="C36230588"/>
    <x v="2"/>
    <n v="110000"/>
    <n v="18334"/>
    <s v="Accenture_IDB"/>
    <n v="5"/>
    <x v="2"/>
    <x v="3"/>
  </r>
  <r>
    <s v="Kamlesh A"/>
    <s v="Menaka Prasad"/>
    <s v="karan lalchandani"/>
    <s v="Deepa Kapa"/>
    <n v="2"/>
    <s v="C36230458"/>
    <x v="11"/>
    <n v="69467"/>
    <n v="2801"/>
    <s v="CenturyLink Technologies India Pvt.Ltd"/>
    <n v="5"/>
    <x v="1"/>
    <x v="2"/>
  </r>
  <r>
    <s v="Mehraj N"/>
    <s v="Prathyusha Mangalampalli"/>
    <s v="Akshata Nayak Non IT"/>
    <s v="Charu Latha Ravi"/>
    <n v="2"/>
    <s v="C36230506"/>
    <x v="14"/>
    <n v="17400"/>
    <n v="2400"/>
    <s v="Accenture_BPO"/>
    <n v="5"/>
    <x v="0"/>
    <x v="9"/>
  </r>
  <r>
    <s v="Ganesh M"/>
    <s v="Pooja M"/>
    <s v="Pooja MS"/>
    <s v="Goru Jitendra "/>
    <n v="2"/>
    <s v="C36230490"/>
    <x v="8"/>
    <n v="116318.16"/>
    <n v="57985.16"/>
    <s v="IBM -Mercedes"/>
    <n v="5"/>
    <x v="1"/>
    <x v="7"/>
  </r>
  <r>
    <s v="Sachin K"/>
    <s v="Prathyusha Mangalampalli"/>
    <s v="Akshata Nayak Non IT"/>
    <s v="Ashwanth  Uppu"/>
    <n v="1"/>
    <s v="C36230678"/>
    <x v="15"/>
    <n v="38377.5"/>
    <n v="13377.5"/>
    <s v="UHG(BCI &amp; SS)"/>
    <n v="6"/>
    <x v="1"/>
    <x v="1"/>
  </r>
  <r>
    <s v="Pooja K"/>
    <s v="Prathyusha Mangalampalli"/>
    <s v="Akshata Nayak Non IT"/>
    <s v="Giddaluru Bharath Chand  "/>
    <n v="1"/>
    <s v="C36230666"/>
    <x v="15"/>
    <n v="38377.5"/>
    <n v="13377.5"/>
    <s v="UHG(BCI &amp; SS)"/>
    <n v="6"/>
    <x v="1"/>
    <x v="1"/>
  </r>
  <r>
    <s v="Mehraj N"/>
    <s v="Prathyusha Mangalampalli"/>
    <s v="Akshata Nayak Non IT"/>
    <s v="Baindala Venkata Krishna"/>
    <n v="1"/>
    <s v="C36230636"/>
    <x v="15"/>
    <n v="38377.5"/>
    <n v="13377.5"/>
    <s v="UHG(BCI &amp; SS)"/>
    <n v="6"/>
    <x v="1"/>
    <x v="1"/>
  </r>
  <r>
    <s v="Sireesha K"/>
    <s v="Prathyusha Mangalampalli"/>
    <s v="Akshata Nayak Non IT"/>
    <s v="Dimpy Sharma"/>
    <n v="1"/>
    <s v="C36230494"/>
    <x v="8"/>
    <n v="42483"/>
    <n v="10817"/>
    <s v="UHG"/>
    <n v="6"/>
    <x v="0"/>
    <x v="1"/>
  </r>
  <r>
    <s v="Sachin K"/>
    <s v="Prathyusha Mangalampalli"/>
    <s v="Akshata Nayak Non IT"/>
    <s v="Meesala  Srinubabu"/>
    <n v="1"/>
    <s v="C36230725"/>
    <x v="15"/>
    <n v="38378"/>
    <n v="13378"/>
    <s v="UHG(BCI &amp; SS)"/>
    <n v="6"/>
    <x v="1"/>
    <x v="1"/>
  </r>
  <r>
    <s v="Mouli Roy"/>
    <s v="Prathyusha Mangalampalli"/>
    <s v="Akshata Nayak Non IT"/>
    <s v="Soumya Ranjan Biswal"/>
    <n v="2"/>
    <s v="C36230465"/>
    <x v="16"/>
    <n v="46000"/>
    <n v="6000"/>
    <s v="Accenture_BPO"/>
    <n v="6"/>
    <x v="0"/>
    <x v="9"/>
  </r>
  <r>
    <s v="Priya b"/>
    <s v="Prathyusha Mangalampalli"/>
    <s v="Akshata Nayak Non IT"/>
    <s v="Satyavan "/>
    <n v="1"/>
    <s v="C36230610"/>
    <x v="15"/>
    <n v="0"/>
    <n v="-25000"/>
    <s v="UHG(BCI &amp; SS)"/>
    <n v="6"/>
    <x v="1"/>
    <x v="1"/>
  </r>
  <r>
    <s v="Monika Vakati"/>
    <s v="Prathyusha Mangalampalli"/>
    <s v="Akshata Nayak Non IT"/>
    <s v="Mohammed  Nushrath Jahan"/>
    <n v="1"/>
    <s v="C36230637"/>
    <x v="15"/>
    <n v="38377.5"/>
    <n v="13377.5"/>
    <s v="UHG(BCI &amp; SS)"/>
    <n v="6"/>
    <x v="1"/>
    <x v="1"/>
  </r>
  <r>
    <s v="Bindushree R"/>
    <s v="Prathyusha Mangalampalli"/>
    <s v="Akshata Nayak Non IT"/>
    <s v="Pedakolimi Samba Siva  Rao"/>
    <n v="1"/>
    <s v="C36230667"/>
    <x v="15"/>
    <n v="0"/>
    <n v="-25000"/>
    <s v="UHG(BCI &amp; SS)"/>
    <n v="6"/>
    <x v="1"/>
    <x v="1"/>
  </r>
  <r>
    <s v="Pooja K"/>
    <s v="Prathyusha Mangalampalli"/>
    <s v="Akshata Nayak Non IT"/>
    <s v="Joga Bhuvana Sandhya"/>
    <n v="1"/>
    <s v="C36230638"/>
    <x v="15"/>
    <n v="38377.5"/>
    <n v="13377.5"/>
    <s v="UHG(BCI &amp; SS)"/>
    <n v="6"/>
    <x v="1"/>
    <x v="1"/>
  </r>
  <r>
    <s v="Mehraj N"/>
    <s v="Prathyusha Mangalampalli"/>
    <s v="Akshata Nayak Non IT"/>
    <s v="Gundlapally Ankush Reddy "/>
    <n v="1"/>
    <s v="C36230639"/>
    <x v="15"/>
    <n v="0"/>
    <n v="-25000"/>
    <s v="UHG(BCI &amp; SS)"/>
    <n v="6"/>
    <x v="1"/>
    <x v="1"/>
  </r>
  <r>
    <s v="Sharad Kiran"/>
    <s v="Prathyusha Mangalampalli"/>
    <s v="Akshata Nayak Non IT"/>
    <s v="Damodar Aakula"/>
    <n v="1"/>
    <s v="C36230704"/>
    <x v="15"/>
    <n v="38377.5"/>
    <n v="13377.5"/>
    <s v="UHG(BCI &amp; SS)"/>
    <n v="6"/>
    <x v="1"/>
    <x v="1"/>
  </r>
  <r>
    <s v="Sachin K"/>
    <s v="Prathyusha Mangalampalli"/>
    <s v="Akshata Nayak Non IT"/>
    <s v="Padarthi Mohana Chandu"/>
    <n v="1"/>
    <s v="C36230679"/>
    <x v="15"/>
    <n v="0"/>
    <n v="-25000"/>
    <s v="UHG(BCI &amp; SS)"/>
    <n v="6"/>
    <x v="1"/>
    <x v="1"/>
  </r>
  <r>
    <s v="Sowmya P"/>
    <s v="Prathyusha Mangalampalli"/>
    <s v="Akshata Nayak Non IT"/>
    <s v="Donthula  Sruthi"/>
    <n v="1"/>
    <s v="C36230680"/>
    <x v="15"/>
    <n v="0"/>
    <n v="-25000"/>
    <s v="UHG(BCI &amp; SS)"/>
    <n v="6"/>
    <x v="1"/>
    <x v="1"/>
  </r>
  <r>
    <s v="Priya b"/>
    <s v="Prathyusha Mangalampalli"/>
    <s v="Akshata Nayak Non IT"/>
    <s v="kamble vinod"/>
    <n v="1"/>
    <s v="C36230611"/>
    <x v="15"/>
    <n v="38377.5"/>
    <n v="13377.5"/>
    <s v="UHG(BCI &amp; SS)"/>
    <n v="6"/>
    <x v="1"/>
    <x v="1"/>
  </r>
  <r>
    <s v="Sowmya P"/>
    <s v="Prathyusha Mangalampalli"/>
    <s v="Akshata Nayak Non IT"/>
    <s v="Gobade Saraswathi"/>
    <n v="1"/>
    <s v="C36230740"/>
    <x v="15"/>
    <n v="38377.5"/>
    <n v="13377.5"/>
    <s v="UHG(BCI &amp; SS)"/>
    <n v="6"/>
    <x v="1"/>
    <x v="1"/>
  </r>
  <r>
    <s v="Pooja K"/>
    <s v="Prathyusha Mangalampalli"/>
    <s v="Akshata Nayak Non IT"/>
    <s v="Arigala Ranga Nayakulu"/>
    <n v="1"/>
    <s v="C36230668"/>
    <x v="15"/>
    <n v="38377.5"/>
    <n v="13377.5"/>
    <s v="UHG(BCI &amp; SS)"/>
    <n v="6"/>
    <x v="1"/>
    <x v="1"/>
  </r>
  <r>
    <s v="Priya b"/>
    <s v="Prathyusha Mangalampalli"/>
    <s v="Akshata Nayak Non IT"/>
    <s v="Medadoddi  Sony "/>
    <n v="1"/>
    <s v="C36230612"/>
    <x v="15"/>
    <n v="38377.5"/>
    <n v="13377.5"/>
    <s v="UHG(BCI &amp; SS)"/>
    <n v="6"/>
    <x v="1"/>
    <x v="1"/>
  </r>
  <r>
    <s v=" Preethi G"/>
    <s v="Prathyusha Mangalampalli"/>
    <s v="Akshata Nayak Non IT"/>
    <s v=" ch Dhanasree  "/>
    <n v="1"/>
    <s v="C36230726"/>
    <x v="15"/>
    <n v="38377.5"/>
    <n v="13377.5"/>
    <s v="UHG(BCI &amp; SS)"/>
    <n v="6"/>
    <x v="1"/>
    <x v="1"/>
  </r>
  <r>
    <s v="Faizan A"/>
    <s v="Prathyusha Mangalampalli"/>
    <s v="Akshata Nayak Non IT"/>
    <s v="Mattaparthi Sankar "/>
    <n v="1"/>
    <s v="C36230739"/>
    <x v="15"/>
    <n v="38377.5"/>
    <n v="13377.5"/>
    <s v="UHG(BCI &amp; SS)"/>
    <n v="6"/>
    <x v="1"/>
    <x v="1"/>
  </r>
  <r>
    <s v="Lokesh Reddy"/>
    <s v="Mehr Hashim D"/>
    <s v="Mehr Hashim"/>
    <s v="Vishal  Motilal Trivedi"/>
    <n v="2"/>
    <s v="C36230475"/>
    <x v="5"/>
    <n v="97000"/>
    <n v="5334"/>
    <s v="Veritas"/>
    <n v="6"/>
    <x v="5"/>
    <x v="8"/>
  </r>
  <r>
    <s v=" Preethi G"/>
    <s v="Prathyusha Mangalampalli"/>
    <s v="Akshata Nayak Non IT"/>
    <s v="Manasa Yata"/>
    <n v="1"/>
    <s v="C36230735"/>
    <x v="15"/>
    <n v="38377.5"/>
    <n v="13377.5"/>
    <s v="UHG(BCI &amp; SS)"/>
    <n v="6"/>
    <x v="1"/>
    <x v="1"/>
  </r>
  <r>
    <s v=" Preethi G"/>
    <s v="Prathyusha Mangalampalli"/>
    <s v="Akshata Nayak Non IT"/>
    <s v=" Thakur Namratha Singh"/>
    <n v="1"/>
    <s v="C36230681"/>
    <x v="15"/>
    <n v="38377.5"/>
    <n v="13377.5"/>
    <s v="UHG(BCI &amp; SS)"/>
    <n v="6"/>
    <x v="1"/>
    <x v="1"/>
  </r>
  <r>
    <s v="Gopal V"/>
    <s v="Tamil C"/>
    <s v="Akshata Nayak"/>
    <s v="Mary Sushmitha Pais "/>
    <n v="2"/>
    <s v="C36230474"/>
    <x v="5"/>
    <n v="43500"/>
    <n v="1500"/>
    <s v="Harman"/>
    <n v="5"/>
    <x v="1"/>
    <x v="12"/>
  </r>
  <r>
    <s v="Azeez Khan"/>
    <s v="Sunil KK"/>
    <s v="Priyakanta Choudhary"/>
    <s v=" Anand Verma "/>
    <n v="7"/>
    <s v="C36230700"/>
    <x v="17"/>
    <n v="57725.8"/>
    <n v="2485.8000000000002"/>
    <s v="ZTE_payroll"/>
    <n v="5"/>
    <x v="2"/>
    <x v="3"/>
  </r>
  <r>
    <s v="Keerthana S"/>
    <s v="Monisha RR"/>
    <s v="Akshata Nayak Non IT"/>
    <s v="Filbert Raphael D monty"/>
    <n v="1"/>
    <s v="C36230516"/>
    <x v="8"/>
    <n v="42483"/>
    <n v="7483"/>
    <s v="UHG"/>
    <n v="6"/>
    <x v="0"/>
    <x v="1"/>
  </r>
  <r>
    <s v="Prateek A"/>
    <s v="Mehr Hashim D"/>
    <s v="Mehr Hashim"/>
    <s v="Roopashri R V"/>
    <n v="2"/>
    <s v="C36230464"/>
    <x v="5"/>
    <n v="63916.66"/>
    <n v="9750.66"/>
    <s v="Lowes"/>
    <n v="6"/>
    <x v="5"/>
    <x v="10"/>
  </r>
  <r>
    <s v="Shashank MH"/>
    <s v="Saravana BA"/>
    <s v="Gourab S"/>
    <s v="Anagha  P Y"/>
    <n v="2"/>
    <s v="C36230530"/>
    <x v="18"/>
    <n v="256660.04"/>
    <n v="60827.040000000001"/>
    <s v="Google"/>
    <n v="5"/>
    <x v="5"/>
    <x v="10"/>
  </r>
  <r>
    <s v="Mouli Roy"/>
    <s v="Prathyusha Mangalampalli"/>
    <s v="Akshata Nayak Non IT"/>
    <s v="Boligerla Anitha  "/>
    <n v="1"/>
    <s v="C36230705"/>
    <x v="15"/>
    <n v="0"/>
    <n v="-25000"/>
    <s v="UHG(BCI &amp; SS)"/>
    <n v="6"/>
    <x v="1"/>
    <x v="1"/>
  </r>
  <r>
    <s v="Sireesha K"/>
    <s v="Prathyusha Mangalampalli"/>
    <s v="Akshata Nayak Non IT"/>
    <s v="Kammari  Aravinda Chary"/>
    <n v="1"/>
    <s v="C36230682"/>
    <x v="15"/>
    <n v="38377.5"/>
    <n v="13377.5"/>
    <s v="UHG(BCI &amp; SS)"/>
    <n v="6"/>
    <x v="1"/>
    <x v="1"/>
  </r>
  <r>
    <s v="Pooja K"/>
    <s v="Prathyusha Mangalampalli"/>
    <s v="Akshata Nayak Non IT"/>
    <s v="Akash GS"/>
    <n v="1"/>
    <s v="C36230727"/>
    <x v="15"/>
    <n v="38377.5"/>
    <n v="13377.5"/>
    <s v="UHG(BCI &amp; SS)"/>
    <n v="6"/>
    <x v="1"/>
    <x v="1"/>
  </r>
  <r>
    <s v="Sireesha K"/>
    <s v="Prathyusha Mangalampalli"/>
    <s v="Akshata Nayak Non IT"/>
    <s v="Manne Srikanth Chowdary"/>
    <n v="1"/>
    <s v="C36230683"/>
    <x v="15"/>
    <n v="38377.5"/>
    <n v="13377.5"/>
    <s v="UHG(BCI &amp; SS)"/>
    <n v="6"/>
    <x v="1"/>
    <x v="1"/>
  </r>
  <r>
    <s v="Pooja K"/>
    <s v="Prathyusha Mangalampalli"/>
    <s v="Akshata Nayak Non IT"/>
    <s v="Shoukat Ali mohiddeen khan"/>
    <n v="1"/>
    <s v="C36230684"/>
    <x v="15"/>
    <n v="0"/>
    <n v="-25000"/>
    <s v="UHG(BCI &amp; SS)"/>
    <n v="6"/>
    <x v="1"/>
    <x v="1"/>
  </r>
  <r>
    <s v="Mouli Roy"/>
    <s v="Prathyusha Mangalampalli"/>
    <s v="Akshata Nayak Non IT"/>
    <s v="Rachakonda   Saikrishna"/>
    <n v="1"/>
    <s v="C36230625"/>
    <x v="15"/>
    <n v="38377.5"/>
    <n v="13377.5"/>
    <s v="UHG(BCI &amp; SS)"/>
    <n v="6"/>
    <x v="1"/>
    <x v="1"/>
  </r>
  <r>
    <s v="Sireesha K"/>
    <s v="Prathyusha Mangalampalli"/>
    <s v="Akshata Nayak Non IT"/>
    <s v="Vempally Pranay  Goud"/>
    <n v="1"/>
    <s v="C36230685"/>
    <x v="15"/>
    <n v="38377.5"/>
    <n v="13377.5"/>
    <s v="UHG(BCI &amp; SS)"/>
    <n v="6"/>
    <x v="1"/>
    <x v="1"/>
  </r>
  <r>
    <s v="Pooja K"/>
    <s v="Prathyusha Mangalampalli"/>
    <s v="Akshata Nayak Non IT"/>
    <s v="Pedagoni Laxman"/>
    <n v="1"/>
    <s v="C36230669"/>
    <x v="15"/>
    <n v="38377.5"/>
    <n v="13377.5"/>
    <s v="UHG(BCI &amp; SS)"/>
    <n v="6"/>
    <x v="1"/>
    <x v="1"/>
  </r>
  <r>
    <s v="Sharad Kiran"/>
    <s v="Prathyusha Mangalampalli"/>
    <s v="Akshata Nayak Non IT"/>
    <s v="Rupa Challagundla"/>
    <n v="1"/>
    <s v="C36230706"/>
    <x v="15"/>
    <n v="38377.5"/>
    <n v="13377.5"/>
    <s v="UHG(BCI &amp; SS)"/>
    <n v="6"/>
    <x v="1"/>
    <x v="1"/>
  </r>
  <r>
    <s v="Gopinath S N"/>
    <s v="Mehr Hashim D"/>
    <s v="Mehr Hashim"/>
    <s v="Garima Goswami"/>
    <n v="2"/>
    <s v="C36230492"/>
    <x v="19"/>
    <n v="436800"/>
    <n v="103467"/>
    <s v="GE Healthcare Global Private Limited."/>
    <n v="6"/>
    <x v="5"/>
    <x v="10"/>
  </r>
  <r>
    <s v="Mouli Roy"/>
    <s v="Prathyusha Mangalampalli"/>
    <s v="Akshata Nayak Non IT"/>
    <s v="Mohammed  Arshadullah"/>
    <n v="1"/>
    <s v="C36230686"/>
    <x v="15"/>
    <n v="38377.5"/>
    <n v="13377.5"/>
    <s v="UHG(BCI &amp; SS)"/>
    <n v="6"/>
    <x v="1"/>
    <x v="1"/>
  </r>
  <r>
    <s v="Poorvi Kundur"/>
    <s v="Monisha RR"/>
    <s v="Akshata Nayak Non IT"/>
    <s v="Gaurav Sashikumar"/>
    <n v="6"/>
    <s v="C36230489"/>
    <x v="5"/>
    <n v="34375"/>
    <n v="6875"/>
    <s v="HP"/>
    <n v="5"/>
    <x v="0"/>
    <x v="0"/>
  </r>
  <r>
    <s v="Siddharth A"/>
    <s v="Deepika  D"/>
    <s v="Shruti Baruah"/>
    <s v="Angel Anthony "/>
    <n v="6"/>
    <s v="C36230486"/>
    <x v="5"/>
    <n v="34375"/>
    <n v="6875"/>
    <s v="HP"/>
    <n v="6"/>
    <x v="0"/>
    <x v="0"/>
  </r>
  <r>
    <s v="Deepthi C"/>
    <s v="Anitha C"/>
    <s v="Akshata Nayak Non IT"/>
    <s v="Krishna A L"/>
    <n v="1"/>
    <s v="C36230495"/>
    <x v="8"/>
    <n v="52500"/>
    <n v="6667"/>
    <s v="Soc gen Ops "/>
    <n v="5"/>
    <x v="4"/>
    <x v="2"/>
  </r>
  <r>
    <s v="Preethi B"/>
    <s v="Sravan BR"/>
    <s v="sreenivas sai"/>
    <s v="Rachit Gupta"/>
    <n v="2"/>
    <s v="C36230461"/>
    <x v="5"/>
    <n v="110000"/>
    <n v="5834"/>
    <s v="Flipkart"/>
    <n v="5"/>
    <x v="5"/>
    <x v="10"/>
  </r>
  <r>
    <s v="Gouri Priya"/>
    <s v="Pradeep P"/>
    <s v="Akshata Nayak Non IT"/>
    <s v="Pawan Solanki"/>
    <n v="1"/>
    <s v="C36230496"/>
    <x v="8"/>
    <n v="42483"/>
    <n v="8317"/>
    <s v="UHG"/>
    <n v="6"/>
    <x v="0"/>
    <x v="1"/>
  </r>
  <r>
    <s v="Gouri Priya"/>
    <s v="Pradeep P"/>
    <s v="Akshata Nayak Non IT"/>
    <s v="V Chakrapani Reddy"/>
    <n v="1"/>
    <s v="C36230613"/>
    <x v="15"/>
    <n v="0"/>
    <n v="-25000"/>
    <s v="UHG(BCI &amp; SS)"/>
    <n v="6"/>
    <x v="1"/>
    <x v="1"/>
  </r>
  <r>
    <s v="Keerthana S"/>
    <s v="Monisha RR"/>
    <s v="Akshata Nayak Non IT"/>
    <s v="Kevin Vinodh"/>
    <n v="6"/>
    <s v="C36230476"/>
    <x v="5"/>
    <n v="34375"/>
    <n v="6875"/>
    <s v="HP"/>
    <n v="5"/>
    <x v="0"/>
    <x v="0"/>
  </r>
  <r>
    <s v="Surekha S"/>
    <s v="Monisha RR"/>
    <s v="Akshata Nayak Non IT"/>
    <s v="Colin Vincent Lobo"/>
    <n v="6"/>
    <s v="C36230471"/>
    <x v="5"/>
    <n v="34375"/>
    <n v="6875"/>
    <s v="HP"/>
    <n v="5"/>
    <x v="0"/>
    <x v="0"/>
  </r>
  <r>
    <s v="Manish Kalal"/>
    <s v="Mehr Hashim D"/>
    <s v="Mehr Hashim"/>
    <s v="SrinivasaÂ ReddyÂ  Reddem "/>
    <n v="4"/>
    <s v="O36230021"/>
    <x v="9"/>
    <n v="336000"/>
    <n v="161000"/>
    <s v="Lowes"/>
    <n v="6"/>
    <x v="5"/>
    <x v="10"/>
  </r>
  <r>
    <s v="NULL"/>
    <s v="NULL"/>
    <s v="Menaka Prasad"/>
    <s v=" Michael Ajith"/>
    <n v="2"/>
    <s v="C36231215"/>
    <x v="20"/>
    <n v="80938"/>
    <n v="3854.67"/>
    <s v="FLUENCE ENERGY - PAYROLL"/>
    <n v="6"/>
    <x v="1"/>
    <x v="13"/>
  </r>
  <r>
    <s v="Maheshwari K S"/>
    <s v="Monisha RR"/>
    <s v="Akshata Nayak Non IT"/>
    <s v="Alwyn Jonathan"/>
    <n v="6"/>
    <s v="C36230477"/>
    <x v="5"/>
    <n v="34375"/>
    <n v="6875"/>
    <s v="HP"/>
    <n v="6"/>
    <x v="0"/>
    <x v="0"/>
  </r>
  <r>
    <s v="Naveen K"/>
    <s v="Mehr Hashim D"/>
    <s v="Mehr Hashim"/>
    <s v=" Munaga Krishnaveni"/>
    <n v="2"/>
    <s v="C36230483"/>
    <x v="10"/>
    <n v="268800"/>
    <n v="106300"/>
    <s v="GE Healthcare Global Private Limited."/>
    <n v="5"/>
    <x v="5"/>
    <x v="10"/>
  </r>
  <r>
    <s v="Pooja Bt"/>
    <s v="Anitha C"/>
    <s v="Akshata Nayak Non IT"/>
    <s v="Vadala Harikrishna"/>
    <n v="1"/>
    <s v="C36230670"/>
    <x v="15"/>
    <n v="38377.5"/>
    <n v="13377.5"/>
    <s v="UHG(BCI &amp; SS)"/>
    <n v="6"/>
    <x v="1"/>
    <x v="1"/>
  </r>
  <r>
    <s v="Sireesha K"/>
    <s v="Prathyusha Mangalampalli"/>
    <s v="Akshata Nayak Non IT"/>
    <s v="Elluri Venkata Dinesh Kumar Reddy"/>
    <n v="1"/>
    <s v="C36230687"/>
    <x v="15"/>
    <n v="38377.5"/>
    <n v="13377.5"/>
    <s v="UHG(BCI &amp; SS)"/>
    <n v="6"/>
    <x v="1"/>
    <x v="1"/>
  </r>
  <r>
    <s v="Sai Manish"/>
    <s v="Pradeep P"/>
    <s v="Akshata Nayak Non IT"/>
    <s v="Dharavath Gopi Naik"/>
    <n v="1"/>
    <s v="C36230671"/>
    <x v="15"/>
    <n v="38377.5"/>
    <n v="13377.5"/>
    <s v="UHG(BCI &amp; SS)"/>
    <n v="6"/>
    <x v="1"/>
    <x v="1"/>
  </r>
  <r>
    <s v="Janani Ishwarya"/>
    <s v="Monisha RR"/>
    <s v="Akshata Nayak Non IT"/>
    <s v="Harshitha P"/>
    <n v="6"/>
    <s v="C36230478"/>
    <x v="5"/>
    <n v="34375"/>
    <n v="6875"/>
    <s v="HP"/>
    <n v="6"/>
    <x v="0"/>
    <x v="0"/>
  </r>
  <r>
    <s v="Surya S"/>
    <s v="Prathap Sagar BL"/>
    <s v="Fazila Khanum"/>
    <s v="D Akhil"/>
    <n v="2"/>
    <s v="C36230497"/>
    <x v="8"/>
    <n v="140700"/>
    <n v="24034"/>
    <s v="Infosys"/>
    <n v="6"/>
    <x v="2"/>
    <x v="3"/>
  </r>
  <r>
    <s v="Poorvi Kundur"/>
    <s v="Monisha RR"/>
    <s v="Akshata Nayak Non IT"/>
    <s v="Mohammed Rehan"/>
    <n v="6"/>
    <s v="C36230487"/>
    <x v="5"/>
    <n v="34375"/>
    <n v="6875"/>
    <s v="HP"/>
    <n v="6"/>
    <x v="0"/>
    <x v="0"/>
  </r>
  <r>
    <s v="Anitha C"/>
    <s v="Jawad Ulla Khan"/>
    <s v="Jawad Ulla Khan"/>
    <s v="Aadil Sha Zeelani H S "/>
    <n v="1"/>
    <s v="C36230587"/>
    <x v="2"/>
    <n v="52500"/>
    <n v="6667"/>
    <s v="Soc gen Ops "/>
    <n v="6"/>
    <x v="4"/>
    <x v="2"/>
  </r>
  <r>
    <s v="Sindhu N"/>
    <s v="Eugene kurian"/>
    <s v="Anmol Katoch"/>
    <s v="Shivam Kumar Radheshyam Gupta"/>
    <n v="2"/>
    <s v="C36230507"/>
    <x v="21"/>
    <n v="45000"/>
    <n v="2500"/>
    <s v="Accenture_IDB"/>
    <n v="6"/>
    <x v="2"/>
    <x v="3"/>
  </r>
  <r>
    <s v="Gouri Priya"/>
    <s v="Pradeep P"/>
    <s v="Akshata Nayak Non IT"/>
    <s v="    Wajda Shaheen "/>
    <n v="1"/>
    <s v="C36230656"/>
    <x v="15"/>
    <n v="38377.5"/>
    <n v="13377.5"/>
    <s v="UHG(BCI &amp; SS)"/>
    <n v="6"/>
    <x v="1"/>
    <x v="1"/>
  </r>
  <r>
    <s v="Gouri Priya"/>
    <s v="Pradeep P"/>
    <s v="Akshata Nayak Non IT"/>
    <s v="Chalikonda Harshavardhan Pasha"/>
    <n v="1"/>
    <s v="C36230640"/>
    <x v="15"/>
    <n v="38377.5"/>
    <n v="13377.5"/>
    <s v="UHG(BCI &amp; SS)"/>
    <n v="6"/>
    <x v="1"/>
    <x v="1"/>
  </r>
  <r>
    <s v="Narendra Kumar Debariki"/>
    <s v="Pradeep P"/>
    <s v="Akshata Nayak Non IT"/>
    <s v="Monika  Agarwal"/>
    <n v="1"/>
    <s v="C36230628"/>
    <x v="15"/>
    <n v="38377.5"/>
    <n v="13377.5"/>
    <s v="UHG(BCI &amp; SS)"/>
    <n v="6"/>
    <x v="1"/>
    <x v="1"/>
  </r>
  <r>
    <s v="Sai Manish"/>
    <s v="Pradeep P"/>
    <s v="Akshata Nayak Non IT"/>
    <s v="Musku Akhila"/>
    <n v="1"/>
    <s v="C36230629"/>
    <x v="15"/>
    <n v="38377.5"/>
    <n v="13377.5"/>
    <s v="UHG(BCI &amp; SS)"/>
    <n v="6"/>
    <x v="1"/>
    <x v="1"/>
  </r>
  <r>
    <s v="Sai Manish"/>
    <s v="Pradeep P"/>
    <s v="Akshata Nayak Non IT"/>
    <s v="Karakula Gowri Priya "/>
    <n v="1"/>
    <s v="C36230672"/>
    <x v="15"/>
    <n v="38377.5"/>
    <n v="13377.5"/>
    <s v="UHG(BCI &amp; SS)"/>
    <n v="6"/>
    <x v="1"/>
    <x v="1"/>
  </r>
  <r>
    <s v="Sai Manish"/>
    <s v="Pradeep P"/>
    <s v="Akshata Nayak Non IT"/>
    <s v="ABHISHEK KASHYAP"/>
    <n v="1"/>
    <s v="C36230673"/>
    <x v="15"/>
    <n v="38377.5"/>
    <n v="13377.5"/>
    <s v="UHG(BCI &amp; SS)"/>
    <n v="6"/>
    <x v="1"/>
    <x v="1"/>
  </r>
  <r>
    <s v="Gopinath S N"/>
    <s v="Mehr Hashim D"/>
    <s v="Mehr Hashim"/>
    <s v="Menka Prasad"/>
    <n v="2"/>
    <s v="C36230484"/>
    <x v="10"/>
    <n v="336000"/>
    <n v="94334"/>
    <s v="GE Healthcare Global Private Limited."/>
    <n v="6"/>
    <x v="5"/>
    <x v="10"/>
  </r>
  <r>
    <s v="Gouri Priya"/>
    <s v="Pradeep P"/>
    <s v="Akshata Nayak Non IT"/>
    <s v="Koppala Gowthami"/>
    <n v="1"/>
    <s v="C36230646"/>
    <x v="15"/>
    <n v="38377.5"/>
    <n v="13377.5"/>
    <s v="UHG(BCI &amp; SS)"/>
    <n v="6"/>
    <x v="1"/>
    <x v="1"/>
  </r>
  <r>
    <s v="Narendra Kumar Debariki"/>
    <s v="Pradeep P"/>
    <s v="Akshata Nayak Non IT"/>
    <s v="Ambati  Bhargavi"/>
    <n v="1"/>
    <s v="C36230630"/>
    <x v="15"/>
    <n v="38377.5"/>
    <n v="13377.5"/>
    <s v="UHG(BCI &amp; SS)"/>
    <n v="6"/>
    <x v="1"/>
    <x v="1"/>
  </r>
  <r>
    <s v="Yaseen Beigh"/>
    <s v="Pradeep P"/>
    <s v="Akshata Nayak Non IT"/>
    <s v="Syed Sohail Ali"/>
    <n v="1"/>
    <s v="C36230688"/>
    <x v="15"/>
    <n v="38377.5"/>
    <n v="13377.5"/>
    <s v="UHG(BCI &amp; SS)"/>
    <n v="6"/>
    <x v="1"/>
    <x v="1"/>
  </r>
  <r>
    <s v="Mehraj N"/>
    <s v="Prathyusha Mangalampalli"/>
    <s v="Akshata Nayak Non IT"/>
    <s v="Prajwal R Patil "/>
    <n v="2"/>
    <s v="C36230508"/>
    <x v="14"/>
    <n v="48000"/>
    <n v="8000"/>
    <s v="Accenture-voice"/>
    <n v="6"/>
    <x v="0"/>
    <x v="9"/>
  </r>
  <r>
    <s v="Bindushree R"/>
    <s v="Prathyusha Mangalampalli"/>
    <s v="Akshata Nayak Non IT"/>
    <s v="Monisha Bharathidasan"/>
    <n v="2"/>
    <s v="C36230485"/>
    <x v="14"/>
    <n v="17400"/>
    <n v="2400"/>
    <s v="Accenture_BPO"/>
    <n v="6"/>
    <x v="0"/>
    <x v="9"/>
  </r>
  <r>
    <s v="Bindushree R"/>
    <s v="Prathyusha Mangalampalli"/>
    <s v="Akshata Nayak Non IT"/>
    <s v="Mahalakshmi M"/>
    <n v="2"/>
    <s v="C36230558"/>
    <x v="18"/>
    <n v="17400"/>
    <n v="2400"/>
    <s v="Accenture_BPO"/>
    <n v="6"/>
    <x v="0"/>
    <x v="9"/>
  </r>
  <r>
    <s v="Bindushree R"/>
    <s v="Prathyusha Mangalampalli"/>
    <s v="Akshata Nayak Non IT"/>
    <s v="KANIMOZHI S"/>
    <n v="2"/>
    <s v="C36230552"/>
    <x v="18"/>
    <n v="17400"/>
    <n v="2400"/>
    <s v="Accenture_BPO"/>
    <n v="5"/>
    <x v="0"/>
    <x v="9"/>
  </r>
  <r>
    <s v="Javeed Khan"/>
    <s v="Prathyusha Mangalampalli"/>
    <s v="Akshata Nayak Non IT"/>
    <s v=" M Umesh chandra  "/>
    <n v="2"/>
    <s v="C36230559"/>
    <x v="18"/>
    <n v="17400"/>
    <n v="2400"/>
    <s v="Accenture_BPO"/>
    <n v="5"/>
    <x v="0"/>
    <x v="9"/>
  </r>
  <r>
    <s v="Javeed Khan"/>
    <s v="Prathyusha Mangalampalli"/>
    <s v="Akshata Nayak Non IT"/>
    <s v="Arpitha Tembe"/>
    <n v="2"/>
    <s v="C36230574"/>
    <x v="22"/>
    <n v="48000"/>
    <n v="8000"/>
    <s v="Accenture-voice"/>
    <n v="6"/>
    <x v="0"/>
    <x v="9"/>
  </r>
  <r>
    <s v="Janani Ishwarya"/>
    <s v="Monisha RR"/>
    <s v="Akshata Nayak Non IT"/>
    <s v="Satyaprakash Kund"/>
    <n v="6"/>
    <s v="C36230491"/>
    <x v="5"/>
    <n v="34375"/>
    <n v="6875"/>
    <s v="HP"/>
    <n v="5"/>
    <x v="0"/>
    <x v="0"/>
  </r>
  <r>
    <s v="Kanthishree Shenoy"/>
    <s v="Namitha Gowda"/>
    <s v="Prathap Sagar"/>
    <s v="Nikhil Konda"/>
    <n v="1"/>
    <s v="C36230647"/>
    <x v="15"/>
    <n v="38377.5"/>
    <n v="13377.5"/>
    <s v="UHG-Non IT"/>
    <n v="6"/>
    <x v="1"/>
    <x v="1"/>
  </r>
  <r>
    <s v="Alyson Edward"/>
    <s v="Namitha Gowda"/>
    <s v="Prathap Sagar"/>
    <s v="Paravasthu Pragnya"/>
    <n v="1"/>
    <s v="C36230689"/>
    <x v="15"/>
    <n v="38377.5"/>
    <n v="13377.5"/>
    <s v="UHG-Non IT"/>
    <n v="6"/>
    <x v="1"/>
    <x v="1"/>
  </r>
  <r>
    <s v="Venisha Britto"/>
    <s v="Namitha Gowda"/>
    <s v="Prathap Sagar"/>
    <s v="Guthula Durga Madhusudhan Rao"/>
    <n v="1"/>
    <s v="C36230648"/>
    <x v="15"/>
    <n v="0"/>
    <n v="-25000"/>
    <s v="UHG-Non IT"/>
    <n v="6"/>
    <x v="1"/>
    <x v="1"/>
  </r>
  <r>
    <s v="Sireesha K"/>
    <s v="Prathyusha Mangalampalli"/>
    <s v="Akshata Nayak Non IT"/>
    <s v="Mohan Naga Krishna Mattaparthi"/>
    <n v="1"/>
    <s v="C36230690"/>
    <x v="15"/>
    <n v="38377.5"/>
    <n v="13377.5"/>
    <s v="UHG(BCI &amp; SS)"/>
    <n v="6"/>
    <x v="1"/>
    <x v="1"/>
  </r>
  <r>
    <s v="Gopinath S N"/>
    <s v="Mehr Hashim D"/>
    <s v="Mehr Hashim"/>
    <s v="Akshay Kumar"/>
    <n v="2"/>
    <s v="C36230498"/>
    <x v="8"/>
    <n v="285600"/>
    <n v="85600"/>
    <s v="Lowes"/>
    <n v="6"/>
    <x v="5"/>
    <x v="10"/>
  </r>
  <r>
    <s v="Sachin K"/>
    <s v="Prathyusha Mangalampalli"/>
    <s v="Akshata Nayak Non IT"/>
    <s v="Rakki Rohith Reddy"/>
    <n v="1"/>
    <s v="C36230691"/>
    <x v="15"/>
    <n v="38377.5"/>
    <n v="13377.5"/>
    <s v="UHG(BCI &amp; SS)"/>
    <n v="6"/>
    <x v="1"/>
    <x v="1"/>
  </r>
  <r>
    <s v="Sharmila P"/>
    <s v="Sabreena Jabeen"/>
    <s v="Sabreena Jabeen"/>
    <s v="SEELAM SASIKANTH"/>
    <n v="2"/>
    <s v="C36230523"/>
    <x v="8"/>
    <n v="186900"/>
    <n v="16067"/>
    <s v="Mercedes benz"/>
    <n v="6"/>
    <x v="6"/>
    <x v="14"/>
  </r>
  <r>
    <s v="Javeed Khan"/>
    <s v="Prathyusha Mangalampalli"/>
    <s v="Akshata Nayak Non IT"/>
    <s v="Gayathri Yanduri "/>
    <n v="1"/>
    <s v="C36230707"/>
    <x v="15"/>
    <n v="38377.5"/>
    <n v="13377.5"/>
    <s v="UHG(BCI &amp; SS)"/>
    <n v="6"/>
    <x v="1"/>
    <x v="1"/>
  </r>
  <r>
    <s v="Santhosham A"/>
    <s v="Prathyusha Mangalampalli"/>
    <s v="Akshata Nayak Non IT"/>
    <s v="Sridhar V"/>
    <n v="2"/>
    <s v="C36230505"/>
    <x v="12"/>
    <n v="17400"/>
    <n v="2400"/>
    <s v="Accenture_BPO"/>
    <n v="5"/>
    <x v="0"/>
    <x v="9"/>
  </r>
  <r>
    <s v="Sai Manish"/>
    <s v="Pradeep P"/>
    <s v="Akshata Nayak Non IT"/>
    <s v=" Ayyalasomayajula  Manasvini"/>
    <n v="1"/>
    <s v="C36230631"/>
    <x v="15"/>
    <n v="0"/>
    <n v="-25000"/>
    <s v="UHG(BCI &amp; SS)"/>
    <n v="6"/>
    <x v="1"/>
    <x v="1"/>
  </r>
  <r>
    <s v="Sachin K"/>
    <s v="Prathyusha Mangalampalli"/>
    <s v="Akshata Nayak Non IT"/>
    <s v="Pavan Kalyan P"/>
    <n v="1"/>
    <s v="C36230692"/>
    <x v="15"/>
    <n v="38377.5"/>
    <n v="13377.5"/>
    <s v="UHG(BCI &amp; SS)"/>
    <n v="6"/>
    <x v="1"/>
    <x v="1"/>
  </r>
  <r>
    <s v="Yaseen Beigh"/>
    <s v="Pradeep P"/>
    <s v="Akshata Nayak Non IT"/>
    <s v="Tonne Nandini "/>
    <n v="1"/>
    <s v="C36230634"/>
    <x v="15"/>
    <n v="38377.5"/>
    <n v="13377.5"/>
    <s v="UHG(BCI &amp; SS)"/>
    <n v="6"/>
    <x v="1"/>
    <x v="1"/>
  </r>
  <r>
    <s v="Gouri Priya"/>
    <s v="Pradeep P"/>
    <s v="Akshata Nayak Non IT"/>
    <s v="Masuram Ashwini"/>
    <n v="1"/>
    <s v="C36230649"/>
    <x v="15"/>
    <n v="38377.5"/>
    <n v="13377.5"/>
    <s v="UHG(BCI &amp; SS)"/>
    <n v="6"/>
    <x v="1"/>
    <x v="1"/>
  </r>
  <r>
    <s v="Narendra Kumar Debariki"/>
    <s v="Pradeep P"/>
    <s v="Akshata Nayak Non IT"/>
    <s v="Sonal  Vyas"/>
    <n v="1"/>
    <s v="C36230657"/>
    <x v="15"/>
    <n v="38377.5"/>
    <n v="13377.5"/>
    <s v="UHG(BCI &amp; SS)"/>
    <n v="6"/>
    <x v="1"/>
    <x v="1"/>
  </r>
  <r>
    <s v="Gouri Priya"/>
    <s v="Pradeep P"/>
    <s v="Akshata Nayak Non IT"/>
    <s v="Bommisetti Pravallika"/>
    <n v="1"/>
    <s v="C36230658"/>
    <x v="15"/>
    <n v="38377.5"/>
    <n v="13377.5"/>
    <s v="UHG(BCI &amp; SS)"/>
    <n v="6"/>
    <x v="1"/>
    <x v="1"/>
  </r>
  <r>
    <s v="Narendra Kumar Debariki"/>
    <s v="Pradeep P"/>
    <s v="Akshata Nayak Non IT"/>
    <s v="Noothi  Ajay Kumar"/>
    <n v="1"/>
    <s v="C36230641"/>
    <x v="15"/>
    <n v="0"/>
    <n v="-25000"/>
    <s v="UHG(BCI &amp; SS)"/>
    <n v="6"/>
    <x v="1"/>
    <x v="1"/>
  </r>
  <r>
    <s v="Azeez Khan"/>
    <s v="Sunil KK"/>
    <s v="Priyakanta Choudhary"/>
    <s v="Depesh Gupta   "/>
    <n v="2"/>
    <s v="C36230524"/>
    <x v="23"/>
    <n v="42207"/>
    <n v="1817"/>
    <s v="ZTE_payroll"/>
    <n v="6"/>
    <x v="2"/>
    <x v="3"/>
  </r>
  <r>
    <s v="Sumanth VM"/>
    <s v="Suman S"/>
    <s v="Prathap Sagar"/>
    <s v="Santosh Kumar Bind"/>
    <n v="2"/>
    <s v="C36230520"/>
    <x v="23"/>
    <n v="71363"/>
    <n v="3073"/>
    <s v="ZTE_payroll"/>
    <n v="5"/>
    <x v="2"/>
    <x v="3"/>
  </r>
  <r>
    <s v="Rajesh R"/>
    <s v="Kamlesh A"/>
    <s v="Menaka Prasad"/>
    <s v="Sahadev Tandur"/>
    <n v="2"/>
    <s v="C36230512"/>
    <x v="24"/>
    <n v="132617.51999999999"/>
    <n v="11784.52"/>
    <s v="IBM -Mercedes"/>
    <n v="5"/>
    <x v="1"/>
    <x v="7"/>
  </r>
  <r>
    <s v="Sai Manish"/>
    <s v="Pradeep P"/>
    <s v="Akshata Nayak Non IT"/>
    <s v="Vanjari Rajesh"/>
    <n v="1"/>
    <s v="C36230650"/>
    <x v="15"/>
    <n v="38377.5"/>
    <n v="13377.5"/>
    <s v="UHG(BCI &amp; SS)"/>
    <n v="6"/>
    <x v="1"/>
    <x v="1"/>
  </r>
  <r>
    <s v="Deepthi C"/>
    <s v="Anitha C"/>
    <s v="Akshata Nayak Non IT"/>
    <s v="Nikitha U"/>
    <n v="1"/>
    <s v="C36230525"/>
    <x v="23"/>
    <n v="52500"/>
    <n v="12500"/>
    <s v="Soc gen Ops "/>
    <n v="6"/>
    <x v="4"/>
    <x v="2"/>
  </r>
  <r>
    <s v="shweta kamathgi"/>
    <s v="Dummy Record Lead"/>
    <s v="Menaka Prasad"/>
    <s v="Deepika Ramesh Pede "/>
    <n v="2"/>
    <s v="C36230554"/>
    <x v="25"/>
    <n v="157248"/>
    <n v="90582"/>
    <s v="IBM -Mercedes"/>
    <n v="6"/>
    <x v="1"/>
    <x v="7"/>
  </r>
  <r>
    <s v="Chaitra BR"/>
    <s v="Fazila K"/>
    <s v="Prathap Sagar"/>
    <s v="Arjun Nepal "/>
    <n v="7"/>
    <s v="C36230699"/>
    <x v="4"/>
    <n v="98010.55"/>
    <n v="4220.55"/>
    <s v="ZTE_payroll"/>
    <n v="5"/>
    <x v="2"/>
    <x v="3"/>
  </r>
  <r>
    <s v="Chaithra M"/>
    <s v="Vamsi S"/>
    <s v="Mohanish Pillai"/>
    <s v="Harikrishna "/>
    <n v="2"/>
    <s v="C36230499"/>
    <x v="8"/>
    <n v="157920"/>
    <n v="62087"/>
    <s v="Infosys"/>
    <n v="6"/>
    <x v="2"/>
    <x v="3"/>
  </r>
  <r>
    <s v="Pooja Bt"/>
    <s v="Anitha C"/>
    <s v="Akshata Nayak Non IT"/>
    <s v="    Thirunagaram Sathish Kumar "/>
    <n v="1"/>
    <s v="C36230553"/>
    <x v="18"/>
    <n v="84000"/>
    <n v="13167"/>
    <s v="Soc gen Ops "/>
    <n v="6"/>
    <x v="4"/>
    <x v="2"/>
  </r>
  <r>
    <s v="Sushmitha K"/>
    <s v="Fazila K"/>
    <s v="Prathap Sagar"/>
    <s v=" Lakkireddipalli Mahesh Babu"/>
    <n v="2"/>
    <s v="C36230531"/>
    <x v="18"/>
    <n v="168000"/>
    <n v="76334"/>
    <s v="Infosys"/>
    <n v="6"/>
    <x v="2"/>
    <x v="3"/>
  </r>
  <r>
    <s v="Pooja K"/>
    <s v="Prathyusha Mangalampalli"/>
    <s v="Akshata Nayak Non IT"/>
    <s v="Gudla Sai Kumar "/>
    <n v="1"/>
    <s v="C36230693"/>
    <x v="15"/>
    <n v="38377.5"/>
    <n v="13377.5"/>
    <s v="UHG(BCI &amp; SS)"/>
    <n v="6"/>
    <x v="1"/>
    <x v="1"/>
  </r>
  <r>
    <s v="Prathap S"/>
    <s v="Prathap Sagar BL"/>
    <s v="Prathap S"/>
    <s v="Gudiganla Hemavathi "/>
    <n v="1"/>
    <s v="C36230651"/>
    <x v="15"/>
    <n v="38377.5"/>
    <n v="13377.5"/>
    <s v="UHG-Non IT"/>
    <n v="6"/>
    <x v="1"/>
    <x v="1"/>
  </r>
  <r>
    <s v="Naveen K"/>
    <s v="Mehr Hashim D"/>
    <s v="Mehr Hashim"/>
    <s v="Krunali Patel"/>
    <n v="2"/>
    <s v="C36230500"/>
    <x v="8"/>
    <n v="268800"/>
    <n v="118800"/>
    <s v="GE Healthcare Global Private Limited."/>
    <n v="5"/>
    <x v="5"/>
    <x v="10"/>
  </r>
  <r>
    <s v="Maheshwari K S"/>
    <s v="Monisha RR"/>
    <s v="Akshata Nayak Non IT"/>
    <s v="Akarsh Naik"/>
    <n v="6"/>
    <s v="C36230502"/>
    <x v="10"/>
    <n v="34375"/>
    <n v="6875"/>
    <s v="HP"/>
    <n v="5"/>
    <x v="0"/>
    <x v="0"/>
  </r>
  <r>
    <s v="Sachin K"/>
    <s v="Prathyusha Mangalampalli"/>
    <s v="Akshata Nayak Non IT"/>
    <s v="Mulagada Harsha Nagendra "/>
    <n v="1"/>
    <s v="C36230694"/>
    <x v="15"/>
    <n v="38377.5"/>
    <n v="13377.5"/>
    <s v="UHG(BCI &amp; SS)"/>
    <n v="6"/>
    <x v="1"/>
    <x v="1"/>
  </r>
  <r>
    <s v="Karthik AK"/>
    <s v="Rashmi N"/>
    <s v="Suraj T"/>
    <s v="Pavan M S"/>
    <n v="2"/>
    <s v="C36230501"/>
    <x v="8"/>
    <n v="122000"/>
    <n v="22000"/>
    <s v="Alliance Data"/>
    <n v="6"/>
    <x v="5"/>
    <x v="8"/>
  </r>
  <r>
    <s v="Sachin K"/>
    <s v="Prathyusha Mangalampalli"/>
    <s v="Akshata Nayak Non IT"/>
    <s v="Rishabh Sharma"/>
    <n v="2"/>
    <s v="C36230511"/>
    <x v="8"/>
    <n v="51600"/>
    <n v="8600"/>
    <s v="Accenture-voice"/>
    <n v="6"/>
    <x v="0"/>
    <x v="9"/>
  </r>
  <r>
    <s v="Sireesha K"/>
    <s v="Prathyusha Mangalampalli"/>
    <s v="Akshata Nayak Non IT"/>
    <s v="Sapana Kumari"/>
    <n v="1"/>
    <s v="C36230590"/>
    <x v="2"/>
    <n v="42483"/>
    <n v="9150"/>
    <s v="UHG"/>
    <n v="6"/>
    <x v="0"/>
    <x v="1"/>
  </r>
  <r>
    <s v="Sai Vineeth"/>
    <s v="Pradeep P"/>
    <s v="Akshata Nayak Non IT"/>
    <s v="Kunchanapalli J N M Siva Sai Srinivas"/>
    <n v="1"/>
    <s v="C36230659"/>
    <x v="15"/>
    <n v="38377.5"/>
    <n v="13377.5"/>
    <s v="UHG(BCI &amp; SS)"/>
    <n v="6"/>
    <x v="1"/>
    <x v="1"/>
  </r>
  <r>
    <s v="Rajesh R"/>
    <s v="Kamlesh A"/>
    <s v="Menaka Prasad"/>
    <s v="Priya  Kumari"/>
    <n v="2"/>
    <s v="C36230503"/>
    <x v="8"/>
    <n v="52100"/>
    <n v="2100"/>
    <s v="CenturyLink Technologies India Pvt.Ltd"/>
    <n v="6"/>
    <x v="1"/>
    <x v="2"/>
  </r>
  <r>
    <s v="Ram Praveen B"/>
    <s v="Fazila K"/>
    <s v="Prathap Sagar"/>
    <s v="R Kalpana"/>
    <n v="2"/>
    <s v="C36230532"/>
    <x v="18"/>
    <n v="112329"/>
    <n v="12329"/>
    <s v="Infosys"/>
    <n v="5"/>
    <x v="2"/>
    <x v="3"/>
  </r>
  <r>
    <s v="Pinky Kumari"/>
    <s v="Mehr Hashim D"/>
    <s v="Mehr Hashim"/>
    <s v="Amrit  Agrawal"/>
    <n v="2"/>
    <s v="C36230504"/>
    <x v="8"/>
    <n v="268800"/>
    <n v="52134"/>
    <s v="GE Healthcare Global Private Limited."/>
    <n v="6"/>
    <x v="5"/>
    <x v="10"/>
  </r>
  <r>
    <s v="Yashwanth Ranjan"/>
    <s v="Vamsi S"/>
    <s v="Mohanish Pillai"/>
    <s v="Kandepu Venkata Naga Sudha Vyshnavi"/>
    <n v="2"/>
    <s v="C36230545"/>
    <x v="0"/>
    <n v="82404"/>
    <n v="7404"/>
    <s v="Capgemini LBS"/>
    <n v="6"/>
    <x v="3"/>
    <x v="4"/>
  </r>
  <r>
    <s v="Yashwanth Ranjan"/>
    <s v="Vamsi S"/>
    <s v="Mohanish Pillai"/>
    <s v="Guru  G"/>
    <n v="2"/>
    <s v="C36230535"/>
    <x v="18"/>
    <n v="73143"/>
    <n v="6477"/>
    <s v="Capgemini LBS"/>
    <n v="6"/>
    <x v="3"/>
    <x v="4"/>
  </r>
  <r>
    <s v="Kamlesh A"/>
    <s v="Menaka Prasad"/>
    <s v="karan lalchandani"/>
    <s v="Shilpa Murthy"/>
    <n v="2"/>
    <s v="C36230614"/>
    <x v="15"/>
    <n v="147617"/>
    <n v="5951"/>
    <s v="CenturyLink Technologies India Pvt.Ltd"/>
    <n v="6"/>
    <x v="1"/>
    <x v="2"/>
  </r>
  <r>
    <s v="Prathap S"/>
    <s v="Prathap Sagar BL"/>
    <s v="Prathap S"/>
    <s v="Sunil Naganath Biradar"/>
    <n v="1"/>
    <s v="C36230708"/>
    <x v="15"/>
    <n v="38378"/>
    <n v="13378"/>
    <s v="UHG-Non IT"/>
    <n v="6"/>
    <x v="1"/>
    <x v="1"/>
  </r>
  <r>
    <s v="Pearl Melita"/>
    <s v="Namitha Gowda"/>
    <s v="Prathap Sagar"/>
    <s v="Chilukuri  Devika"/>
    <n v="1"/>
    <s v="C36230775"/>
    <x v="26"/>
    <n v="38377.5"/>
    <n v="13377.5"/>
    <s v="UHG-Non IT"/>
    <n v="6"/>
    <x v="1"/>
    <x v="1"/>
  </r>
  <r>
    <s v="Narendra Kumar Debariki"/>
    <s v="Pradeep P"/>
    <s v="Akshata Nayak Non IT"/>
    <s v="Swapneel  Rangnath Jadhav"/>
    <n v="1"/>
    <s v="C36230660"/>
    <x v="15"/>
    <n v="38377.5"/>
    <n v="13377.5"/>
    <s v="UHG(BCI &amp; SS)"/>
    <n v="6"/>
    <x v="1"/>
    <x v="1"/>
  </r>
  <r>
    <s v="Maheshwari K S"/>
    <s v="Monisha RR"/>
    <s v="Akshata Nayak Non IT"/>
    <s v="Salman Khan"/>
    <n v="6"/>
    <s v="C36230509"/>
    <x v="21"/>
    <n v="34375"/>
    <n v="6875"/>
    <s v="HP"/>
    <n v="6"/>
    <x v="0"/>
    <x v="0"/>
  </r>
  <r>
    <s v="Poorvi Kundur"/>
    <s v="Monisha RR"/>
    <s v="Akshata Nayak Non IT"/>
    <s v="Archit Gaur"/>
    <n v="6"/>
    <s v="C36230518"/>
    <x v="21"/>
    <n v="34375"/>
    <n v="6875"/>
    <s v="HP"/>
    <n v="6"/>
    <x v="0"/>
    <x v="0"/>
  </r>
  <r>
    <s v="Narendra Kumar Debariki"/>
    <s v="Pradeep P"/>
    <s v="Akshata Nayak Non IT"/>
    <s v="Bathula  Sree Lakshmi"/>
    <n v="1"/>
    <s v="C36230632"/>
    <x v="15"/>
    <n v="38377.5"/>
    <n v="13377.5"/>
    <s v="UHG(BCI &amp; SS)"/>
    <n v="6"/>
    <x v="1"/>
    <x v="1"/>
  </r>
  <r>
    <s v="Poorvi Kundur"/>
    <s v="Monisha RR"/>
    <s v="Akshata Nayak Non IT"/>
    <s v="Sarah T"/>
    <n v="6"/>
    <s v="C36230513"/>
    <x v="21"/>
    <n v="34375"/>
    <n v="6875"/>
    <s v="HP"/>
    <n v="6"/>
    <x v="0"/>
    <x v="0"/>
  </r>
  <r>
    <s v="Madhan Kumar M"/>
    <s v="Vamsi S"/>
    <s v="Mohanish Pillai"/>
    <s v="Priyadharshini S "/>
    <n v="2"/>
    <s v="C36230570"/>
    <x v="25"/>
    <n v="157437"/>
    <n v="15771"/>
    <s v="Capgemini LBS"/>
    <n v="6"/>
    <x v="3"/>
    <x v="4"/>
  </r>
  <r>
    <s v="Anitha C"/>
    <s v="Jawad Ulla Khan"/>
    <s v="Jawad Ulla Khan"/>
    <s v="Pallela Kushal Kumar"/>
    <n v="1"/>
    <s v="C36230633"/>
    <x v="15"/>
    <n v="38377.5"/>
    <n v="13377.5"/>
    <s v="UHG(BCI &amp; SS)"/>
    <n v="6"/>
    <x v="1"/>
    <x v="1"/>
  </r>
  <r>
    <s v="Naveen K"/>
    <s v="Mehr Hashim D"/>
    <s v="Mehr Hashim"/>
    <s v="Mandeep  Rana"/>
    <n v="2"/>
    <s v="C36230521"/>
    <x v="23"/>
    <n v="86730"/>
    <n v="49230"/>
    <s v="Flipkart"/>
    <n v="5"/>
    <x v="5"/>
    <x v="10"/>
  </r>
  <r>
    <s v="Sowmya P"/>
    <s v="Prathyusha Mangalampalli"/>
    <s v="Akshata Nayak Non IT"/>
    <s v="Swetha  Maruthan"/>
    <n v="2"/>
    <s v="C36230566"/>
    <x v="18"/>
    <n v="17400"/>
    <n v="2400"/>
    <s v="Accenture_BPO"/>
    <n v="5"/>
    <x v="0"/>
    <x v="9"/>
  </r>
  <r>
    <s v="Gopal V"/>
    <s v="Tamil C"/>
    <s v="Akshata Nayak"/>
    <s v=" Naresh Kumar "/>
    <n v="1"/>
    <s v="C36230515"/>
    <x v="23"/>
    <n v="125000"/>
    <n v="8334"/>
    <s v="DXC"/>
    <n v="6"/>
    <x v="1"/>
    <x v="6"/>
  </r>
  <r>
    <s v="Javeed Khan"/>
    <s v="Prathyusha Mangalampalli"/>
    <s v="Akshata Nayak Non IT"/>
    <s v="Anjali  s"/>
    <n v="2"/>
    <s v="C36230526"/>
    <x v="23"/>
    <n v="24265"/>
    <n v="3165"/>
    <s v="Accenture_BPO"/>
    <n v="5"/>
    <x v="0"/>
    <x v="9"/>
  </r>
  <r>
    <s v="Bindushree R"/>
    <s v="Prathyusha Mangalampalli"/>
    <s v="Akshata Nayak Non IT"/>
    <s v="ALETIPALLI Naveen kumar "/>
    <n v="1"/>
    <s v="C36230674"/>
    <x v="15"/>
    <n v="38377.5"/>
    <n v="13377.5"/>
    <s v="UHG(BCI &amp; SS)"/>
    <n v="6"/>
    <x v="1"/>
    <x v="1"/>
  </r>
  <r>
    <s v="Mohammed hamza"/>
    <s v="Mehr Hashim D"/>
    <s v="Mehr Hashim"/>
    <s v="Hemantha  Babu"/>
    <n v="2"/>
    <s v="C36230527"/>
    <x v="23"/>
    <n v="268800"/>
    <n v="127134"/>
    <s v="GE Healthcare Global Private Limited."/>
    <n v="5"/>
    <x v="5"/>
    <x v="10"/>
  </r>
  <r>
    <s v="Tamilarasan S"/>
    <s v="Mehr Hashim D"/>
    <s v="Mehr Hashim"/>
    <s v="Shreyas S"/>
    <n v="2"/>
    <s v="C36230522"/>
    <x v="23"/>
    <n v="86730"/>
    <n v="36730"/>
    <s v="Flipkart"/>
    <n v="5"/>
    <x v="5"/>
    <x v="10"/>
  </r>
  <r>
    <s v="Maheshwari K S"/>
    <s v="Monisha RR"/>
    <s v="Akshata Nayak Non IT"/>
    <s v="Younitha D"/>
    <n v="6"/>
    <s v="C36230571"/>
    <x v="0"/>
    <n v="34375"/>
    <n v="6875"/>
    <s v="HP"/>
    <n v="5"/>
    <x v="0"/>
    <x v="0"/>
  </r>
  <r>
    <s v="Sowmya P"/>
    <s v="Prathyusha Mangalampalli"/>
    <s v="Akshata Nayak Non IT"/>
    <s v="Eslavath Sunil Naik"/>
    <n v="1"/>
    <s v="C36230695"/>
    <x v="15"/>
    <n v="38377.5"/>
    <n v="13377.5"/>
    <s v="UHG(BCI &amp; SS)"/>
    <n v="6"/>
    <x v="1"/>
    <x v="1"/>
  </r>
  <r>
    <s v="Lakheswari Ranjan"/>
    <s v="Sheetal B"/>
    <s v="Tamil Chelvan"/>
    <s v="Vimal Joshwa"/>
    <n v="2"/>
    <s v="C36230573"/>
    <x v="17"/>
    <n v="27500"/>
    <n v="2500"/>
    <s v="Harman"/>
    <n v="6"/>
    <x v="1"/>
    <x v="12"/>
  </r>
  <r>
    <s v="Pooja K"/>
    <s v="Prathyusha Mangalampalli"/>
    <s v="Akshata Nayak Non IT"/>
    <s v="Chandana Venkateswara Rao "/>
    <n v="1"/>
    <s v="C36230709"/>
    <x v="15"/>
    <n v="38377.5"/>
    <n v="13377.5"/>
    <s v="UHG(BCI &amp; SS)"/>
    <n v="6"/>
    <x v="1"/>
    <x v="1"/>
  </r>
  <r>
    <s v="Pooja K"/>
    <s v="Prathyusha Mangalampalli"/>
    <s v="Akshata Nayak Non IT"/>
    <s v="Putta  Ranjith"/>
    <n v="1"/>
    <s v="C36230652"/>
    <x v="15"/>
    <n v="38377.5"/>
    <n v="13377.5"/>
    <s v="UHG(BCI &amp; SS)"/>
    <n v="6"/>
    <x v="1"/>
    <x v="1"/>
  </r>
  <r>
    <s v="Gopinath S N"/>
    <s v="Mehr Hashim D"/>
    <s v="Mehr Hashim"/>
    <s v="Narashimha Reddy P"/>
    <n v="2"/>
    <s v="C36230519"/>
    <x v="23"/>
    <n v="268800"/>
    <n v="102134"/>
    <s v="GE Healthcare Global Private Limited."/>
    <n v="5"/>
    <x v="5"/>
    <x v="10"/>
  </r>
  <r>
    <s v="Gouri Priya"/>
    <s v="Pradeep P"/>
    <s v="Akshata Nayak Non IT"/>
    <s v="Allam Sandeep Reddy"/>
    <n v="1"/>
    <s v="C36230661"/>
    <x v="15"/>
    <n v="38377.5"/>
    <n v="13377.5"/>
    <s v="UHG(BCI &amp; SS)"/>
    <n v="6"/>
    <x v="1"/>
    <x v="1"/>
  </r>
  <r>
    <s v="Sachin K"/>
    <s v="Prathyusha Mangalampalli"/>
    <s v="Akshata Nayak Non IT"/>
    <s v="Bollampally Sai Divya"/>
    <n v="1"/>
    <s v="C36230696"/>
    <x v="15"/>
    <n v="0"/>
    <n v="-25000"/>
    <s v="UHG(BCI &amp; SS)"/>
    <n v="6"/>
    <x v="1"/>
    <x v="1"/>
  </r>
  <r>
    <s v="Gouri Priya"/>
    <s v="Pradeep P"/>
    <s v="Akshata Nayak Non IT"/>
    <s v="MD MUZAMMIL HAYAT"/>
    <n v="1"/>
    <s v="C36230817"/>
    <x v="26"/>
    <n v="38377.5"/>
    <n v="13377.5"/>
    <s v="UHG(BCI &amp; SS)"/>
    <n v="6"/>
    <x v="1"/>
    <x v="1"/>
  </r>
  <r>
    <s v="Gouri Priya"/>
    <s v="Pradeep P"/>
    <s v="Akshata Nayak Non IT"/>
    <s v="Gulipalli Latha"/>
    <n v="1"/>
    <s v="C36230830"/>
    <x v="26"/>
    <n v="32130"/>
    <n v="12130"/>
    <s v="UHG(BCI &amp; SS)"/>
    <n v="6"/>
    <x v="1"/>
    <x v="1"/>
  </r>
  <r>
    <s v="Mouli Roy"/>
    <s v="Prathyusha Mangalampalli"/>
    <s v="Akshata Nayak Non IT"/>
    <s v="Vadlamudi Anil  Kumar"/>
    <n v="1"/>
    <s v="C36230710"/>
    <x v="15"/>
    <n v="38378"/>
    <n v="13378"/>
    <s v="UHG(BCI &amp; SS)"/>
    <n v="6"/>
    <x v="1"/>
    <x v="1"/>
  </r>
  <r>
    <s v="Pooja K"/>
    <s v="Prathyusha Mangalampalli"/>
    <s v="Akshata Nayak Non IT"/>
    <s v="Hariharan Koleti "/>
    <n v="1"/>
    <s v="C36230728"/>
    <x v="15"/>
    <n v="38377.5"/>
    <n v="13377.5"/>
    <s v="UHG(BCI &amp; SS)"/>
    <n v="6"/>
    <x v="1"/>
    <x v="1"/>
  </r>
  <r>
    <s v="Pooja K"/>
    <s v="Prathyusha Mangalampalli"/>
    <s v="Akshata Nayak Non IT"/>
    <s v="Anaparthi Sagar Babu"/>
    <n v="1"/>
    <s v="C36230711"/>
    <x v="15"/>
    <n v="38377.5"/>
    <n v="13377.5"/>
    <s v="UHG(BCI &amp; SS)"/>
    <n v="6"/>
    <x v="1"/>
    <x v="1"/>
  </r>
  <r>
    <s v="Pooja K"/>
    <s v="Prathyusha Mangalampalli"/>
    <s v="Akshata Nayak Non IT"/>
    <s v="Kolusu Vamsi Krishna "/>
    <n v="1"/>
    <s v="C36230712"/>
    <x v="15"/>
    <n v="38377.5"/>
    <n v="13377.5"/>
    <s v="UHG(BCI &amp; SS)"/>
    <n v="6"/>
    <x v="1"/>
    <x v="1"/>
  </r>
  <r>
    <s v="Hemanth SM"/>
    <s v="Priyakantha K"/>
    <s v="Prathap Sagar"/>
    <s v="R Suhaas Gaikwad"/>
    <n v="2"/>
    <s v="C36230556"/>
    <x v="27"/>
    <n v="30000"/>
    <n v="5000"/>
    <s v="Accenture_IDB"/>
    <n v="5"/>
    <x v="2"/>
    <x v="3"/>
  </r>
  <r>
    <s v="Monika Vakati"/>
    <s v="Prathyusha Mangalampalli"/>
    <s v="Akshata Nayak Non IT"/>
    <s v="Rajender Khatravath "/>
    <n v="1"/>
    <s v="C36230697"/>
    <x v="15"/>
    <n v="38377.5"/>
    <n v="13377.5"/>
    <s v="UHG(BCI &amp; SS)"/>
    <n v="6"/>
    <x v="1"/>
    <x v="1"/>
  </r>
  <r>
    <s v="Pooja Bt"/>
    <s v="Anitha C"/>
    <s v="Akshata Nayak Non IT"/>
    <s v=" Madhusudhan  Yadav Kovuri"/>
    <n v="1"/>
    <s v="C36230729"/>
    <x v="15"/>
    <n v="38377.5"/>
    <n v="13377.5"/>
    <s v="UHG(BCI &amp; SS)"/>
    <n v="6"/>
    <x v="1"/>
    <x v="1"/>
  </r>
  <r>
    <s v="Monika Vakati"/>
    <s v="Prathyusha Mangalampalli"/>
    <s v="Akshata Nayak Non IT"/>
    <s v="Srikanth Jelly "/>
    <n v="1"/>
    <s v="C36230857"/>
    <x v="26"/>
    <n v="0"/>
    <n v="-25000"/>
    <s v="UHG(BCI &amp; SS)"/>
    <n v="6"/>
    <x v="1"/>
    <x v="1"/>
  </r>
  <r>
    <s v="Monika Vakati"/>
    <s v="Prathyusha Mangalampalli"/>
    <s v="Akshata Nayak Non IT"/>
    <s v="Malchalam Mounika"/>
    <n v="1"/>
    <s v="C36230868"/>
    <x v="26"/>
    <n v="38377.5"/>
    <n v="13377.5"/>
    <s v="UHG(BCI &amp; SS)"/>
    <n v="6"/>
    <x v="1"/>
    <x v="1"/>
  </r>
  <r>
    <s v="Deepthi C"/>
    <s v="Anitha C"/>
    <s v="Akshata Nayak Non IT"/>
    <s v="Turaka Siva Parvathi"/>
    <n v="1"/>
    <s v="C36230635"/>
    <x v="15"/>
    <n v="38377.5"/>
    <n v="13377.5"/>
    <s v="UHG(BCI &amp; SS)"/>
    <n v="6"/>
    <x v="1"/>
    <x v="1"/>
  </r>
  <r>
    <s v="Poorvi Kundur"/>
    <s v="Monisha RR"/>
    <s v="Akshata Nayak Non IT"/>
    <s v="Rohit Ajay"/>
    <n v="6"/>
    <s v="C36230548"/>
    <x v="0"/>
    <n v="34375"/>
    <n v="6875"/>
    <s v="HP"/>
    <n v="6"/>
    <x v="0"/>
    <x v="0"/>
  </r>
  <r>
    <s v="Shruthi R"/>
    <s v="Mehr Hashim D"/>
    <s v="Mehr Hashim"/>
    <s v="Deepa M_x0009_ "/>
    <n v="2"/>
    <s v="C36230517"/>
    <x v="24"/>
    <n v="336000"/>
    <n v="144334"/>
    <s v="GE Healthcare Global Private Limited."/>
    <n v="5"/>
    <x v="5"/>
    <x v="10"/>
  </r>
  <r>
    <s v="Shruthi R"/>
    <s v="Mehr Hashim D"/>
    <s v="Mehr Hashim"/>
    <s v=" Balineni Tulasiram "/>
    <n v="2"/>
    <s v="C36230546"/>
    <x v="18"/>
    <n v="281008"/>
    <n v="156008"/>
    <s v="GE Healthcare Global Private Limited."/>
    <n v="6"/>
    <x v="5"/>
    <x v="10"/>
  </r>
  <r>
    <s v="Gouri Priya"/>
    <s v="Pradeep P"/>
    <s v="Akshata Nayak Non IT"/>
    <s v=" Neeli Yamini Sreedevi"/>
    <n v="1"/>
    <s v="C36231369"/>
    <x v="28"/>
    <n v="32130"/>
    <n v="12130"/>
    <s v="UHG(BCI &amp; SS)"/>
    <n v="6"/>
    <x v="1"/>
    <x v="1"/>
  </r>
  <r>
    <s v="Gouri Priya"/>
    <s v="Pradeep P"/>
    <s v="Akshata Nayak Non IT"/>
    <s v="Kethavath Anusha Rathod"/>
    <n v="1"/>
    <s v="C36230786"/>
    <x v="26"/>
    <n v="32130"/>
    <n v="12130"/>
    <s v="UHG(BCI &amp; SS)"/>
    <n v="6"/>
    <x v="1"/>
    <x v="1"/>
  </r>
  <r>
    <s v="Gouri Priya"/>
    <s v="Pradeep P"/>
    <s v="Akshata Nayak Non IT"/>
    <s v="Kota Bhargav Naga Venkata Sai"/>
    <n v="1"/>
    <s v="C36230818"/>
    <x v="26"/>
    <n v="32130"/>
    <n v="12130"/>
    <s v="UHG(BCI &amp; SS)"/>
    <n v="6"/>
    <x v="1"/>
    <x v="1"/>
  </r>
  <r>
    <s v="Pradeep S"/>
    <s v="Monisha RR"/>
    <s v="Akshata Nayak Non IT"/>
    <s v="Soundarya S"/>
    <n v="6"/>
    <s v="C36230582"/>
    <x v="0"/>
    <n v="34375"/>
    <n v="6875"/>
    <s v="HP"/>
    <n v="6"/>
    <x v="0"/>
    <x v="0"/>
  </r>
  <r>
    <s v="Maheshwari K S"/>
    <s v="Monisha RR"/>
    <s v="Akshata Nayak Non IT"/>
    <s v="Sreeraj K R"/>
    <n v="6"/>
    <s v="C36230541"/>
    <x v="0"/>
    <n v="34375"/>
    <n v="6875"/>
    <s v="HP"/>
    <n v="5"/>
    <x v="0"/>
    <x v="0"/>
  </r>
  <r>
    <s v="Sireesha K"/>
    <s v="Prathyusha Mangalampalli"/>
    <s v="Akshata Nayak Non IT"/>
    <s v="B C Sai Kiran"/>
    <n v="1"/>
    <s v="C36230811"/>
    <x v="26"/>
    <n v="38377.5"/>
    <n v="13377.5"/>
    <s v="UHG(BCI &amp; SS)"/>
    <n v="6"/>
    <x v="1"/>
    <x v="1"/>
  </r>
  <r>
    <s v="Pooja K"/>
    <s v="Prathyusha Mangalampalli"/>
    <s v="Akshata Nayak Non IT"/>
    <s v="Preethi S"/>
    <n v="2"/>
    <s v="C36230537"/>
    <x v="29"/>
    <n v="17400"/>
    <n v="2400"/>
    <s v="Accenture_BPO"/>
    <n v="5"/>
    <x v="0"/>
    <x v="9"/>
  </r>
  <r>
    <s v="Sowmya P"/>
    <s v="Prathyusha Mangalampalli"/>
    <s v="Akshata Nayak Non IT"/>
    <s v="   Etikala  Architha   "/>
    <n v="2"/>
    <s v="C36230550"/>
    <x v="18"/>
    <n v="19550"/>
    <n v="2550"/>
    <s v="Accenture_BPO"/>
    <n v="6"/>
    <x v="0"/>
    <x v="9"/>
  </r>
  <r>
    <s v="Sagar CM"/>
    <s v="Suman S"/>
    <s v="Prathap Sagar"/>
    <s v="Prajakta R. Kusumkar "/>
    <n v="2"/>
    <s v="C36230542"/>
    <x v="27"/>
    <n v="278208"/>
    <n v="3208"/>
    <s v="Capgemini LBS"/>
    <n v="5"/>
    <x v="3"/>
    <x v="4"/>
  </r>
  <r>
    <s v="Tanzeel Ahmed"/>
    <s v="Mehr Hashim D"/>
    <s v="Mehr Hashim"/>
    <s v="Pallapothu Roja "/>
    <n v="2"/>
    <s v="C36230533"/>
    <x v="18"/>
    <n v="268800"/>
    <n v="160467"/>
    <s v="GE Healthcare Global Private Limited."/>
    <n v="5"/>
    <x v="5"/>
    <x v="10"/>
  </r>
  <r>
    <s v="Lahari Likitha"/>
    <s v="Menaka Prasad"/>
    <s v="karan lalchandani"/>
    <s v="Sneha Jha "/>
    <n v="2"/>
    <s v="C36231158"/>
    <x v="30"/>
    <n v="87500"/>
    <n v="4167"/>
    <s v="FLUENCE ENERGY - PAYROLL"/>
    <n v="5"/>
    <x v="1"/>
    <x v="13"/>
  </r>
  <r>
    <s v="Sindhu N"/>
    <s v="Eugene kurian"/>
    <s v="Anmol Katoch"/>
    <s v="Ashwini Kekan  "/>
    <n v="2"/>
    <s v="C36230738"/>
    <x v="31"/>
    <n v="45000"/>
    <n v="10000"/>
    <s v="Accenture_IDB"/>
    <n v="5"/>
    <x v="2"/>
    <x v="3"/>
  </r>
  <r>
    <s v="Akshata AA"/>
    <s v="Rashmi N"/>
    <s v="Suraj T"/>
    <s v="  Amit Kurhe "/>
    <n v="2"/>
    <s v="C36230536"/>
    <x v="18"/>
    <n v="165000"/>
    <n v="73334"/>
    <s v="DBS bank"/>
    <n v="5"/>
    <x v="5"/>
    <x v="10"/>
  </r>
  <r>
    <s v="Pooja Bt"/>
    <s v="Anitha C"/>
    <s v="Akshata Nayak Non IT"/>
    <s v="Sudia Susritha  "/>
    <n v="1"/>
    <s v="C36230675"/>
    <x v="15"/>
    <n v="38377.5"/>
    <n v="13377.5"/>
    <s v="UHG(BCI &amp; SS)"/>
    <n v="6"/>
    <x v="1"/>
    <x v="1"/>
  </r>
  <r>
    <s v="Dhruthi M"/>
    <s v="Eugene kurian"/>
    <s v="Anmol Katoch"/>
    <s v=" Paladugu Spandana"/>
    <n v="2"/>
    <s v="C36230539"/>
    <x v="0"/>
    <n v="39000"/>
    <n v="7334"/>
    <s v="Accenture_IDB"/>
    <n v="6"/>
    <x v="2"/>
    <x v="3"/>
  </r>
  <r>
    <s v="Sharad Kiran"/>
    <s v="Prathyusha Mangalampalli"/>
    <s v="Akshata Nayak Non IT"/>
    <s v=" N Poornachander Reddy "/>
    <n v="1"/>
    <s v="C36230713"/>
    <x v="15"/>
    <n v="0"/>
    <n v="-25000"/>
    <s v="UHG"/>
    <n v="6"/>
    <x v="0"/>
    <x v="1"/>
  </r>
  <r>
    <s v="Surabhi K"/>
    <s v="Mehr Hashim D"/>
    <s v="Mehr Hashim"/>
    <s v="Sree Harsha  K"/>
    <n v="2"/>
    <s v="C36230534"/>
    <x v="18"/>
    <n v="53100"/>
    <n v="8100"/>
    <s v="Lowes"/>
    <n v="5"/>
    <x v="5"/>
    <x v="10"/>
  </r>
  <r>
    <s v="Bindushree R"/>
    <s v="Prathyusha Mangalampalli"/>
    <s v="Akshata Nayak Non IT"/>
    <s v="Nagma  Arikadass"/>
    <n v="2"/>
    <s v="C36230572"/>
    <x v="32"/>
    <n v="17400"/>
    <n v="2400"/>
    <s v="Accenture_BPO"/>
    <n v="5"/>
    <x v="0"/>
    <x v="9"/>
  </r>
  <r>
    <s v="Keerthana S"/>
    <s v="Monisha RR"/>
    <s v="Akshata Nayak Non IT"/>
    <s v="Edwin Jude"/>
    <n v="6"/>
    <s v="C36230580"/>
    <x v="0"/>
    <n v="34375"/>
    <n v="6875"/>
    <s v="HP"/>
    <n v="5"/>
    <x v="0"/>
    <x v="0"/>
  </r>
  <r>
    <s v="Pooja K"/>
    <s v="Prathyusha Mangalampalli"/>
    <s v="Akshata Nayak Non IT"/>
    <s v="Anju Molugu"/>
    <n v="1"/>
    <s v="C36230858"/>
    <x v="26"/>
    <n v="38377.5"/>
    <n v="13377.5"/>
    <s v="UHG(BCI &amp; SS)"/>
    <n v="6"/>
    <x v="1"/>
    <x v="1"/>
  </r>
  <r>
    <s v="Priya b"/>
    <s v="Prathyusha Mangalampalli"/>
    <s v="Akshata Nayak Non IT"/>
    <s v="Mucherla Saikrishna"/>
    <n v="1"/>
    <s v="C36230819"/>
    <x v="26"/>
    <n v="38377.5"/>
    <n v="13377.5"/>
    <s v="UHG(BCI &amp; SS)"/>
    <n v="6"/>
    <x v="1"/>
    <x v="1"/>
  </r>
  <r>
    <s v="Mouli Roy"/>
    <s v="Prathyusha Mangalampalli"/>
    <s v="Akshata Nayak Non IT"/>
    <s v="Anisha Kongari"/>
    <n v="1"/>
    <s v="C36230820"/>
    <x v="26"/>
    <n v="38377.5"/>
    <n v="13377.5"/>
    <s v="UHG(BCI &amp; SS)"/>
    <n v="6"/>
    <x v="1"/>
    <x v="1"/>
  </r>
  <r>
    <s v="Jyothi HM"/>
    <s v="Suman S"/>
    <s v="Prathap Sagar"/>
    <s v="Dimple Pandey"/>
    <n v="2"/>
    <s v="C36230543"/>
    <x v="0"/>
    <n v="30000"/>
    <n v="5000"/>
    <s v="Accenture_IDB"/>
    <n v="5"/>
    <x v="2"/>
    <x v="3"/>
  </r>
  <r>
    <s v="Madhuri Ps"/>
    <s v="Menaka Prasad"/>
    <s v="karan lalchandani"/>
    <s v=" Bhuvana Shree  Rao K V"/>
    <n v="2"/>
    <s v="C36230551"/>
    <x v="18"/>
    <n v="65125"/>
    <n v="2625"/>
    <s v="CenturyLink Technologies India Pvt.Ltd"/>
    <n v="5"/>
    <x v="1"/>
    <x v="2"/>
  </r>
  <r>
    <s v="Priya b"/>
    <s v="Prathyusha Mangalampalli"/>
    <s v="Akshata Nayak Non IT"/>
    <s v="Sharath  Kumar M S"/>
    <n v="2"/>
    <s v="C36230576"/>
    <x v="13"/>
    <n v="48000"/>
    <n v="8000"/>
    <s v="Accenture-voice"/>
    <n v="6"/>
    <x v="0"/>
    <x v="9"/>
  </r>
  <r>
    <s v="Priya b"/>
    <s v="Prathyusha Mangalampalli"/>
    <s v="Akshata Nayak Non IT"/>
    <s v="Rahul C"/>
    <n v="2"/>
    <s v="C36230564"/>
    <x v="22"/>
    <n v="48000"/>
    <n v="8000"/>
    <s v="Accenture-voice"/>
    <n v="5"/>
    <x v="0"/>
    <x v="9"/>
  </r>
  <r>
    <s v="Surekha S"/>
    <s v="Monisha RR"/>
    <s v="Akshata Nayak Non IT"/>
    <s v="Santhosh G"/>
    <n v="6"/>
    <s v="C36230561"/>
    <x v="0"/>
    <n v="34375"/>
    <n v="6875"/>
    <s v="HP"/>
    <n v="5"/>
    <x v="0"/>
    <x v="0"/>
  </r>
  <r>
    <s v="Sireesha K"/>
    <s v="Prathyusha Mangalampalli"/>
    <s v="Akshata Nayak Non IT"/>
    <s v="Gattu Sowmya"/>
    <n v="1"/>
    <s v="C36230821"/>
    <x v="26"/>
    <n v="38377.5"/>
    <n v="13377.5"/>
    <s v="UHG(BCI &amp; SS)"/>
    <n v="6"/>
    <x v="1"/>
    <x v="1"/>
  </r>
  <r>
    <s v="Abhilash P"/>
    <s v="Kamlesh A"/>
    <s v="Menaka Prasad"/>
    <s v="MURABOOYENA SUBBARAO"/>
    <n v="2"/>
    <s v="C36231318"/>
    <x v="28"/>
    <n v="110016"/>
    <n v="5242.67"/>
    <s v="FLUENCE ENERGY - PAYROLL"/>
    <n v="5"/>
    <x v="1"/>
    <x v="13"/>
  </r>
  <r>
    <s v="Sireesha K"/>
    <s v="Prathyusha Mangalampalli"/>
    <s v="Akshata Nayak Non IT"/>
    <s v="Akash Aleti"/>
    <n v="1"/>
    <s v="C36230812"/>
    <x v="26"/>
    <n v="38377.5"/>
    <n v="13377.5"/>
    <s v="UHG(BCI &amp; SS)"/>
    <n v="6"/>
    <x v="1"/>
    <x v="1"/>
  </r>
  <r>
    <s v="Gouri Priya"/>
    <s v="Pradeep P"/>
    <s v="Akshata Nayak Non IT"/>
    <s v="Jetty Shashank"/>
    <n v="1"/>
    <s v="C36230662"/>
    <x v="15"/>
    <n v="0"/>
    <n v="-25000"/>
    <s v="UHG(BCI &amp; SS)"/>
    <n v="6"/>
    <x v="1"/>
    <x v="1"/>
  </r>
  <r>
    <s v="Gouri Priya"/>
    <s v="Pradeep P"/>
    <s v="Akshata Nayak Non IT"/>
    <s v="Ooradi Jeshwanth "/>
    <n v="1"/>
    <s v="C36230663"/>
    <x v="15"/>
    <n v="38377.5"/>
    <n v="13377.5"/>
    <s v="UHG(BCI &amp; SS)"/>
    <n v="6"/>
    <x v="1"/>
    <x v="1"/>
  </r>
  <r>
    <s v="Surekha S"/>
    <s v="Monisha RR"/>
    <s v="Akshata Nayak Non IT"/>
    <s v="Navin Koncheri"/>
    <n v="6"/>
    <s v="C36230544"/>
    <x v="0"/>
    <n v="34375"/>
    <n v="6875"/>
    <s v="HP"/>
    <n v="5"/>
    <x v="0"/>
    <x v="0"/>
  </r>
  <r>
    <s v="Jyothi HM"/>
    <s v="Suman S"/>
    <s v="Prathap Sagar"/>
    <s v="Avinash Gautam Sapkal "/>
    <n v="2"/>
    <s v="C36230577"/>
    <x v="13"/>
    <n v="110000"/>
    <n v="18334"/>
    <s v="Accenture_IDB"/>
    <n v="5"/>
    <x v="2"/>
    <x v="3"/>
  </r>
  <r>
    <s v="Kamlesh A"/>
    <s v="Menaka Prasad"/>
    <s v="karan lalchandani"/>
    <s v="Divya Teja Jagabattina"/>
    <n v="2"/>
    <s v="C36230557"/>
    <x v="27"/>
    <n v="56443"/>
    <n v="2277"/>
    <s v="CenturyLink Technologies India Pvt.Ltd"/>
    <n v="5"/>
    <x v="1"/>
    <x v="2"/>
  </r>
  <r>
    <s v="Bindushree R"/>
    <s v="Prathyusha Mangalampalli"/>
    <s v="Akshata Nayak Non IT"/>
    <s v="Abiinaya Vijayakumar"/>
    <n v="2"/>
    <s v="C36230579"/>
    <x v="32"/>
    <n v="17400"/>
    <n v="2400"/>
    <s v="Accenture_BPO"/>
    <n v="6"/>
    <x v="0"/>
    <x v="9"/>
  </r>
  <r>
    <s v="Uma Sree"/>
    <s v="Mehr Hashim D"/>
    <s v="Mehr Hashim"/>
    <s v="Jyoti Vashishtha"/>
    <n v="2"/>
    <s v="C36230597"/>
    <x v="33"/>
    <n v="336000"/>
    <n v="127667"/>
    <s v="GE Healthcare Global Private Limited."/>
    <n v="5"/>
    <x v="5"/>
    <x v="10"/>
  </r>
  <r>
    <s v="Pinky Kumari"/>
    <s v="Mehr Hashim D"/>
    <s v="Mehr Hashim"/>
    <s v="Manoj Chikkamari"/>
    <n v="2"/>
    <s v="C36230565"/>
    <x v="22"/>
    <n v="268800"/>
    <n v="152134"/>
    <s v="GE Healthcare Global Private Limited."/>
    <n v="5"/>
    <x v="5"/>
    <x v="10"/>
  </r>
  <r>
    <s v="Sachin K"/>
    <s v="Prathyusha Mangalampalli"/>
    <s v="Akshata Nayak Non IT"/>
    <s v="Tenugula Soniya"/>
    <n v="1"/>
    <s v="C36230787"/>
    <x v="26"/>
    <n v="38377.5"/>
    <n v="13377.5"/>
    <s v="UHG(BCI &amp; SS)"/>
    <n v="6"/>
    <x v="1"/>
    <x v="1"/>
  </r>
  <r>
    <s v="Mouli Roy"/>
    <s v="Prathyusha Mangalampalli"/>
    <s v="Akshata Nayak Non IT"/>
    <s v="Karre Jaya "/>
    <n v="1"/>
    <s v="C36231005"/>
    <x v="34"/>
    <n v="38377.5"/>
    <n v="13377.5"/>
    <s v="UHG(BCI &amp; SS)"/>
    <n v="6"/>
    <x v="1"/>
    <x v="1"/>
  </r>
  <r>
    <s v="Uma Sree"/>
    <s v="Mehr Hashim D"/>
    <s v="Mehr Hashim"/>
    <s v="rajesh budihal"/>
    <n v="2"/>
    <s v="C36230560"/>
    <x v="27"/>
    <n v="230000"/>
    <n v="50834"/>
    <s v="SONY Software Development Centre"/>
    <n v="5"/>
    <x v="5"/>
    <x v="10"/>
  </r>
  <r>
    <s v="Sachin K"/>
    <s v="Prathyusha Mangalampalli"/>
    <s v="Akshata Nayak Non IT"/>
    <s v=" Dhanalakota Meghana Varma"/>
    <n v="1"/>
    <s v="C36230730"/>
    <x v="15"/>
    <n v="38377.5"/>
    <n v="13377.5"/>
    <s v="UHG(BCI &amp; SS)"/>
    <n v="6"/>
    <x v="1"/>
    <x v="1"/>
  </r>
  <r>
    <s v="Deepthi C"/>
    <s v="Anitha C"/>
    <s v="Akshata Nayak Non IT"/>
    <s v=" Doddi Someswari"/>
    <n v="1"/>
    <s v="C36230788"/>
    <x v="26"/>
    <n v="38377.5"/>
    <n v="13377.5"/>
    <s v="UHG(BCI &amp; SS)"/>
    <n v="6"/>
    <x v="1"/>
    <x v="1"/>
  </r>
  <r>
    <s v="Sheetal AT"/>
    <s v="Suman S"/>
    <s v="Prathap Sagar"/>
    <s v="Kondepati Satya Anusha "/>
    <n v="2"/>
    <s v="C36230555"/>
    <x v="25"/>
    <n v="120000"/>
    <n v="53334"/>
    <s v="Accenture_IDB"/>
    <n v="6"/>
    <x v="2"/>
    <x v="3"/>
  </r>
  <r>
    <s v="Tamilarasan S"/>
    <s v="Mehr Hashim D"/>
    <s v="Mehr Hashim"/>
    <s v="Ritesh Kumar Mishra"/>
    <n v="2"/>
    <s v="C36230567"/>
    <x v="35"/>
    <n v="336000"/>
    <n v="102667"/>
    <s v="GE Healthcare Global Private Limited."/>
    <n v="5"/>
    <x v="5"/>
    <x v="10"/>
  </r>
  <r>
    <s v="Tanzeel Ahmed"/>
    <s v="Mehr Hashim D"/>
    <s v="Mehr Hashim"/>
    <s v="Vikash Kumar"/>
    <n v="4"/>
    <s v="O36230022"/>
    <x v="22"/>
    <n v="268800"/>
    <n v="202134"/>
    <s v="GE Healthcare Global Private Limited."/>
    <n v="6"/>
    <x v="5"/>
    <x v="10"/>
  </r>
  <r>
    <s v="Sharmila P"/>
    <s v="Sabreena Jabeen"/>
    <s v="Sabreena Jabeen"/>
    <s v="Mohammad Osman Khan"/>
    <n v="2"/>
    <s v="C36230622"/>
    <x v="32"/>
    <n v="107856"/>
    <n v="16190"/>
    <s v="Mercedes benz"/>
    <n v="5"/>
    <x v="6"/>
    <x v="14"/>
  </r>
  <r>
    <s v="Tamilarasan S"/>
    <s v="Mehr Hashim D"/>
    <s v="Mehr Hashim"/>
    <s v="Durga Prasad"/>
    <n v="2"/>
    <s v="C36230568"/>
    <x v="35"/>
    <n v="336000"/>
    <n v="177667"/>
    <s v="GE Healthcare Global Private Limited."/>
    <n v="6"/>
    <x v="5"/>
    <x v="10"/>
  </r>
  <r>
    <s v="Shruthi R"/>
    <s v="Mehr Hashim D"/>
    <s v="Mehr Hashim"/>
    <s v=" Anithasree Eswaramoorthi "/>
    <n v="2"/>
    <s v="C36230569"/>
    <x v="22"/>
    <n v="279000"/>
    <n v="70667"/>
    <s v="SONY Software Development Centre"/>
    <n v="5"/>
    <x v="5"/>
    <x v="10"/>
  </r>
  <r>
    <s v="Bindushree R"/>
    <s v="Prathyusha Mangalampalli"/>
    <s v="Akshata Nayak Non IT"/>
    <s v="Vuppu Divya"/>
    <n v="1"/>
    <s v="C36230789"/>
    <x v="26"/>
    <n v="0"/>
    <n v="-25000"/>
    <s v="UHG(BCI &amp; SS)"/>
    <n v="6"/>
    <x v="1"/>
    <x v="1"/>
  </r>
  <r>
    <s v="Gouri Priya"/>
    <s v="Pradeep P"/>
    <s v="Akshata Nayak Non IT"/>
    <s v="Bantu Anjali"/>
    <n v="1"/>
    <s v="C36230822"/>
    <x v="26"/>
    <n v="32130"/>
    <n v="12130"/>
    <s v="UHG(BCI &amp; SS)"/>
    <n v="6"/>
    <x v="1"/>
    <x v="1"/>
  </r>
  <r>
    <s v="Gouri Priya"/>
    <s v="Pradeep P"/>
    <s v="Akshata Nayak Non IT"/>
    <s v="Bandi Geetha"/>
    <n v="1"/>
    <s v="C36230790"/>
    <x v="26"/>
    <n v="38377.5"/>
    <n v="13377.5"/>
    <s v="UHG(BCI &amp; SS)"/>
    <n v="6"/>
    <x v="1"/>
    <x v="1"/>
  </r>
  <r>
    <s v="Gouri Priya"/>
    <s v="Pradeep P"/>
    <s v="Akshata Nayak Non IT"/>
    <s v="Azmeera Naveen "/>
    <n v="1"/>
    <s v="C36230823"/>
    <x v="26"/>
    <n v="32130"/>
    <n v="12130"/>
    <s v="UHG(BCI &amp; SS)"/>
    <n v="6"/>
    <x v="1"/>
    <x v="1"/>
  </r>
  <r>
    <s v="Siva Naga"/>
    <s v="Dummy Record Lead"/>
    <s v="Antati Deekshith"/>
    <s v="Sandeep S L"/>
    <n v="1"/>
    <s v="C36230773"/>
    <x v="26"/>
    <n v="250740"/>
    <n v="125740"/>
    <s v="Deloitte - Advisory"/>
    <n v="6"/>
    <x v="1"/>
    <x v="15"/>
  </r>
  <r>
    <s v="Anitha C"/>
    <s v="Jawad Ulla Khan"/>
    <s v="Jawad Ulla Khan"/>
    <s v="Sachin Virupaksha Naik "/>
    <n v="1"/>
    <s v="C36230601"/>
    <x v="36"/>
    <n v="67200"/>
    <n v="13034"/>
    <s v="Soc gen Ops "/>
    <n v="6"/>
    <x v="4"/>
    <x v="2"/>
  </r>
  <r>
    <s v="Keerthana S"/>
    <s v="Monisha RR"/>
    <s v="Akshata Nayak Non IT"/>
    <s v="Riya Sharma"/>
    <n v="6"/>
    <s v="C36230653"/>
    <x v="32"/>
    <n v="27500"/>
    <n v="4584"/>
    <s v="HP"/>
    <n v="5"/>
    <x v="0"/>
    <x v="0"/>
  </r>
  <r>
    <s v="Dhruthi M"/>
    <s v="Eugene kurian"/>
    <s v="Anmol Katoch"/>
    <s v="Suresh Bhagam "/>
    <n v="2"/>
    <s v="C36230578"/>
    <x v="13"/>
    <n v="169500"/>
    <n v="15334"/>
    <s v="Accenture_IDB"/>
    <n v="5"/>
    <x v="2"/>
    <x v="3"/>
  </r>
  <r>
    <s v="Sachin K"/>
    <s v="Prathyusha Mangalampalli"/>
    <s v="Akshata Nayak Non IT"/>
    <s v="Priyanka Vaskula "/>
    <n v="1"/>
    <s v="C36230791"/>
    <x v="26"/>
    <n v="38377.5"/>
    <n v="13377.5"/>
    <s v="UHG(BCI &amp; SS)"/>
    <n v="6"/>
    <x v="1"/>
    <x v="1"/>
  </r>
  <r>
    <s v="Bindushree R"/>
    <s v="Prathyusha Mangalampalli"/>
    <s v="Akshata Nayak Non IT"/>
    <s v="Surya  Udhayan"/>
    <n v="2"/>
    <s v="C36230581"/>
    <x v="13"/>
    <n v="17400"/>
    <n v="2400"/>
    <s v="Accenture_BPO"/>
    <n v="5"/>
    <x v="0"/>
    <x v="9"/>
  </r>
  <r>
    <s v="Guru Priya"/>
    <s v="Geethika Ch"/>
    <s v="Jawad Ulla Khan"/>
    <s v=" T Pavitra "/>
    <n v="2"/>
    <s v="C36230596"/>
    <x v="13"/>
    <n v="17400"/>
    <n v="2400"/>
    <s v="Accenture_BPO"/>
    <n v="6"/>
    <x v="0"/>
    <x v="9"/>
  </r>
  <r>
    <s v="Sumanth VM"/>
    <s v="Suman S"/>
    <s v="Prathap Sagar"/>
    <s v="Kartik Juneja"/>
    <n v="2"/>
    <s v="C36230716"/>
    <x v="31"/>
    <n v="220500"/>
    <n v="33000"/>
    <s v="Infosys"/>
    <n v="6"/>
    <x v="2"/>
    <x v="3"/>
  </r>
  <r>
    <s v="Sachin K"/>
    <s v="Prathyusha Mangalampalli"/>
    <s v="Akshata Nayak Non IT"/>
    <s v="Pallakonda  Manasa"/>
    <n v="1"/>
    <s v="C36230792"/>
    <x v="26"/>
    <n v="0"/>
    <n v="-25000"/>
    <s v="UHG(BCI &amp; SS)"/>
    <n v="6"/>
    <x v="1"/>
    <x v="1"/>
  </r>
  <r>
    <s v="Sachin K"/>
    <s v="Prathyusha Mangalampalli"/>
    <s v="Akshata Nayak Non IT"/>
    <s v="Mohammed Shanoor baba "/>
    <n v="1"/>
    <s v="C36230803"/>
    <x v="26"/>
    <n v="38377.5"/>
    <n v="13377.5"/>
    <s v="UHG(BCI &amp; SS)"/>
    <n v="6"/>
    <x v="1"/>
    <x v="1"/>
  </r>
  <r>
    <s v="Mehraj N"/>
    <s v="Prathyusha Mangalampalli"/>
    <s v="Akshata Nayak Non IT"/>
    <s v="Basiri Sravanthi "/>
    <n v="1"/>
    <s v="C36230642"/>
    <x v="15"/>
    <n v="0"/>
    <n v="-25000"/>
    <s v="UHG(BCI &amp; SS)"/>
    <n v="6"/>
    <x v="1"/>
    <x v="1"/>
  </r>
  <r>
    <s v="Naveen K"/>
    <s v="Mehr Hashim D"/>
    <s v="Mehr Hashim"/>
    <s v="Shaik Nazeema"/>
    <n v="2"/>
    <s v="C36230583"/>
    <x v="37"/>
    <n v="268800"/>
    <n v="102134"/>
    <s v="GE Healthcare Global Private Limited."/>
    <n v="6"/>
    <x v="5"/>
    <x v="10"/>
  </r>
  <r>
    <s v="Tamilarasan S"/>
    <s v="Mehr Hashim D"/>
    <s v="Mehr Hashim"/>
    <s v="Arun K"/>
    <n v="4"/>
    <s v="O36230024"/>
    <x v="37"/>
    <n v="336000"/>
    <n v="86000"/>
    <s v="Lowes"/>
    <n v="5"/>
    <x v="5"/>
    <x v="10"/>
  </r>
  <r>
    <s v="Surekha S"/>
    <s v="Monisha RR"/>
    <s v="Akshata Nayak Non IT"/>
    <s v="Nikitha N"/>
    <n v="6"/>
    <s v="C36230771"/>
    <x v="32"/>
    <n v="27500"/>
    <n v="4584"/>
    <s v="HP"/>
    <n v="5"/>
    <x v="0"/>
    <x v="0"/>
  </r>
  <r>
    <s v="Pooja K"/>
    <s v="Prathyusha Mangalampalli"/>
    <s v="Akshata Nayak Non IT"/>
    <s v="Dhanushree K"/>
    <n v="2"/>
    <s v="C36230584"/>
    <x v="37"/>
    <n v="33120"/>
    <n v="4320"/>
    <s v="Accenture_BPO"/>
    <n v="6"/>
    <x v="0"/>
    <x v="9"/>
  </r>
  <r>
    <s v="Sushmitha K"/>
    <s v="Fazila K"/>
    <s v="Prathap Sagar"/>
    <s v="Gurpreet  Singh"/>
    <n v="2"/>
    <s v="C36230598"/>
    <x v="1"/>
    <n v="214200"/>
    <n v="39200"/>
    <s v="Infosys"/>
    <n v="6"/>
    <x v="2"/>
    <x v="3"/>
  </r>
  <r>
    <s v="Sai Vineeth"/>
    <s v="Pradeep P"/>
    <s v="Akshata Nayak Non IT"/>
    <s v="Arun kumar "/>
    <n v="1"/>
    <s v="C36230615"/>
    <x v="15"/>
    <n v="72292.5"/>
    <n v="9792.5"/>
    <s v="UHG(BCI &amp; SS)"/>
    <n v="6"/>
    <x v="1"/>
    <x v="1"/>
  </r>
  <r>
    <s v="Krishna priya"/>
    <s v="Suman S"/>
    <s v="Prathap Sagar"/>
    <s v="Rucha Dilip Dasalkar"/>
    <n v="2"/>
    <s v="C36230591"/>
    <x v="38"/>
    <n v="30000"/>
    <n v="5000"/>
    <s v="Accenture_IDB"/>
    <n v="5"/>
    <x v="2"/>
    <x v="3"/>
  </r>
  <r>
    <s v="Priya b"/>
    <s v="Prathyusha Mangalampalli"/>
    <s v="Akshata Nayak Non IT"/>
    <s v="Ishan  Pachauri"/>
    <n v="2"/>
    <s v="C36230593"/>
    <x v="37"/>
    <n v="48000"/>
    <n v="8000"/>
    <s v="Accenture-voice"/>
    <n v="6"/>
    <x v="0"/>
    <x v="9"/>
  </r>
  <r>
    <s v="Javeed Khan"/>
    <s v="Prathyusha Mangalampalli"/>
    <s v="Akshata Nayak Non IT"/>
    <s v="Radha Thapa"/>
    <n v="2"/>
    <s v="C36230714"/>
    <x v="37"/>
    <n v="40020"/>
    <n v="5238"/>
    <s v="Accenture_BPO"/>
    <n v="6"/>
    <x v="0"/>
    <x v="9"/>
  </r>
  <r>
    <s v="Sai Manish"/>
    <s v="Pradeep P"/>
    <s v="Akshata Nayak Non IT"/>
    <s v=" Koluguri Sreeja "/>
    <n v="1"/>
    <s v="C36230907"/>
    <x v="26"/>
    <n v="0"/>
    <n v="-20000"/>
    <s v="UHG(BCI &amp; SS)"/>
    <n v="6"/>
    <x v="1"/>
    <x v="1"/>
  </r>
  <r>
    <s v="Naveen K"/>
    <s v="Mehr Hashim D"/>
    <s v="Mehr Hashim"/>
    <s v="Prachi "/>
    <n v="2"/>
    <s v="C36230604"/>
    <x v="1"/>
    <n v="336000"/>
    <n v="86000"/>
    <s v="GE Healthcare Global Private Limited."/>
    <n v="6"/>
    <x v="5"/>
    <x v="10"/>
  </r>
  <r>
    <s v="Preethi Hindu"/>
    <s v="Sabreena Jabeen"/>
    <s v="Sabreena Jabeen"/>
    <s v="M Bharathi"/>
    <n v="2"/>
    <s v="C36230621"/>
    <x v="2"/>
    <n v="140280"/>
    <n v="31946.67"/>
    <s v="Mercedes benz"/>
    <n v="6"/>
    <x v="6"/>
    <x v="14"/>
  </r>
  <r>
    <s v="Sindhu N"/>
    <s v="Eugene kurian"/>
    <s v="Anmol Katoch"/>
    <s v="Vikash Kumar"/>
    <n v="2"/>
    <s v="C36230748"/>
    <x v="39"/>
    <n v="108000"/>
    <n v="8000"/>
    <s v="Accenture_IDB"/>
    <n v="5"/>
    <x v="2"/>
    <x v="3"/>
  </r>
  <r>
    <s v="Vinith M"/>
    <s v="Tamil C"/>
    <s v="Akshata Nayak"/>
    <s v="Venkata Pemmaka"/>
    <n v="4"/>
    <s v="O36230023"/>
    <x v="37"/>
    <n v="261083.74"/>
    <n v="44417.74"/>
    <s v="DXC"/>
    <n v="6"/>
    <x v="1"/>
    <x v="6"/>
  </r>
  <r>
    <s v="Mehraj N"/>
    <s v="Prathyusha Mangalampalli"/>
    <s v="Akshata Nayak Non IT"/>
    <s v="Sukanta Kumar Khadanga"/>
    <n v="2"/>
    <s v="C36230585"/>
    <x v="37"/>
    <n v="30475"/>
    <n v="3975"/>
    <s v="Accenture_BPO"/>
    <n v="5"/>
    <x v="0"/>
    <x v="9"/>
  </r>
  <r>
    <s v="Monika Vakati"/>
    <s v="Prathyusha Mangalampalli"/>
    <s v="Akshata Nayak Non IT"/>
    <s v="Syed Wasif  Sabzwari"/>
    <n v="2"/>
    <s v="C36230586"/>
    <x v="37"/>
    <n v="51600"/>
    <n v="8600"/>
    <s v="Accenture-voice"/>
    <n v="5"/>
    <x v="0"/>
    <x v="9"/>
  </r>
  <r>
    <s v="Deepthi C"/>
    <s v="Anitha C"/>
    <s v="Akshata Nayak Non IT"/>
    <s v="Ponnanna K M"/>
    <n v="1"/>
    <s v="C36230602"/>
    <x v="36"/>
    <n v="52500"/>
    <n v="15000"/>
    <s v="Soc gen Ops "/>
    <n v="5"/>
    <x v="4"/>
    <x v="2"/>
  </r>
  <r>
    <s v="Tanzeel Ahmed"/>
    <s v="Mehr Hashim D"/>
    <s v="Mehr Hashim"/>
    <s v="Premanand "/>
    <n v="2"/>
    <s v="C36230595"/>
    <x v="33"/>
    <n v="386400"/>
    <n v="153067"/>
    <s v="GE Healthcare Global Private Limited."/>
    <n v="6"/>
    <x v="5"/>
    <x v="10"/>
  </r>
  <r>
    <s v="Manish Kalal"/>
    <s v="Mehr Hashim D"/>
    <s v="Mehr Hashim"/>
    <s v="SrinivasÂ ReddyÂ Reddem "/>
    <n v="2"/>
    <s v="C36230594"/>
    <x v="38"/>
    <n v="336000"/>
    <n v="161000"/>
    <s v="Lowes"/>
    <n v="5"/>
    <x v="5"/>
    <x v="10"/>
  </r>
  <r>
    <s v="Sharad Kiran"/>
    <s v="Prathyusha Mangalampalli"/>
    <s v="Akshata Nayak Non IT"/>
    <s v="Kashif Nabi"/>
    <n v="2"/>
    <s v="C36230746"/>
    <x v="33"/>
    <n v="51600"/>
    <n v="8600"/>
    <s v="Accenture-voice"/>
    <n v="5"/>
    <x v="0"/>
    <x v="9"/>
  </r>
  <r>
    <s v="Pariki Pradeep"/>
    <s v="Akshata Nayak"/>
    <s v="Pariki Pradeep"/>
    <s v="Pucha Kranthi kumar"/>
    <n v="1"/>
    <s v="C36231749"/>
    <x v="40"/>
    <n v="26775"/>
    <n v="6775"/>
    <s v="UHG(BCI &amp; SS)"/>
    <n v="6"/>
    <x v="1"/>
    <x v="1"/>
  </r>
  <r>
    <s v="Poorvi Kundur"/>
    <s v="Monisha RR"/>
    <s v="Akshata Nayak Non IT"/>
    <s v="Subham Mohanty"/>
    <n v="6"/>
    <s v="C36230715"/>
    <x v="37"/>
    <n v="34375"/>
    <n v="6875"/>
    <s v="HP"/>
    <n v="6"/>
    <x v="0"/>
    <x v="0"/>
  </r>
  <r>
    <s v="Vinayak Kamath"/>
    <s v="Namitha Gowda"/>
    <s v="Prathap Sagar"/>
    <s v="Bhimanani Shivani "/>
    <n v="1"/>
    <s v="C36230869"/>
    <x v="26"/>
    <n v="38377.5"/>
    <n v="13377.5"/>
    <s v="UHG(BCI &amp; SS)"/>
    <n v="6"/>
    <x v="1"/>
    <x v="1"/>
  </r>
  <r>
    <s v="Prathap S"/>
    <s v="Prathap Sagar BL"/>
    <s v="Prathap S"/>
    <s v="Kommu Sai Bhavana"/>
    <n v="1"/>
    <s v="C36230840"/>
    <x v="26"/>
    <n v="38377.5"/>
    <n v="13377.5"/>
    <s v="UHG(BCI &amp; SS)"/>
    <n v="6"/>
    <x v="1"/>
    <x v="1"/>
  </r>
  <r>
    <s v="Mouli Roy"/>
    <s v="Prathyusha Mangalampalli"/>
    <s v="Akshata Nayak Non IT"/>
    <s v="P Anirudh"/>
    <n v="1"/>
    <s v="C36230848"/>
    <x v="26"/>
    <n v="0"/>
    <n v="-25000"/>
    <s v="UHG(BCI &amp; SS)"/>
    <n v="6"/>
    <x v="1"/>
    <x v="1"/>
  </r>
  <r>
    <s v="Pooja K"/>
    <s v="Prathyusha Mangalampalli"/>
    <s v="Akshata Nayak Non IT"/>
    <s v="priyanka bojini"/>
    <n v="1"/>
    <s v="C36230849"/>
    <x v="26"/>
    <n v="32130"/>
    <n v="12130"/>
    <s v="UHG(BCI &amp; SS)"/>
    <n v="6"/>
    <x v="1"/>
    <x v="1"/>
  </r>
  <r>
    <s v="Lakheswari Ranjan"/>
    <s v="Sheetal B"/>
    <s v="Tamil Chelvan"/>
    <s v="Ashutosh Pandey"/>
    <n v="1"/>
    <s v="C36230603"/>
    <x v="36"/>
    <n v="206896.55"/>
    <n v="56896.55"/>
    <s v="DXC"/>
    <n v="6"/>
    <x v="1"/>
    <x v="6"/>
  </r>
  <r>
    <s v="Mouli Roy"/>
    <s v="Prathyusha Mangalampalli"/>
    <s v="Akshata Nayak Non IT"/>
    <s v="N Snigdha"/>
    <n v="1"/>
    <s v="C36230850"/>
    <x v="26"/>
    <n v="0"/>
    <n v="-25000"/>
    <s v="UHG(BCI &amp; SS)"/>
    <n v="6"/>
    <x v="1"/>
    <x v="1"/>
  </r>
  <r>
    <s v="Gopinath S N"/>
    <s v="Mehr Hashim D"/>
    <s v="Mehr Hashim"/>
    <s v="Ranadhir S"/>
    <n v="2"/>
    <s v="C36230599"/>
    <x v="1"/>
    <n v="336000"/>
    <n v="102667"/>
    <s v="GE Healthcare Global Private Limited."/>
    <n v="6"/>
    <x v="5"/>
    <x v="10"/>
  </r>
  <r>
    <s v="Gopinath S N"/>
    <s v="Mehr Hashim D"/>
    <s v="Mehr Hashim"/>
    <s v="Nagaraju Pasam"/>
    <n v="2"/>
    <s v="C36230606"/>
    <x v="1"/>
    <n v="386400"/>
    <n v="11400"/>
    <s v="GE Healthcare Global Private Limited."/>
    <n v="6"/>
    <x v="5"/>
    <x v="10"/>
  </r>
  <r>
    <s v="Prathap S"/>
    <s v="Prathap Sagar BL"/>
    <s v="Prathap S"/>
    <s v="Vaani Polasa"/>
    <n v="1"/>
    <s v="C36230793"/>
    <x v="26"/>
    <n v="38378"/>
    <n v="13378"/>
    <s v="UHG(BCI &amp; SS)"/>
    <n v="6"/>
    <x v="1"/>
    <x v="1"/>
  </r>
  <r>
    <s v="Madhuri Ps"/>
    <s v="Menaka Prasad"/>
    <s v="karan lalchandani"/>
    <s v="Vamsidhar Reddy  Marreddy"/>
    <n v="2"/>
    <s v="C36230626"/>
    <x v="15"/>
    <n v="157500"/>
    <n v="78334"/>
    <s v="Socgen"/>
    <n v="5"/>
    <x v="6"/>
    <x v="2"/>
  </r>
  <r>
    <s v="Priya b"/>
    <s v="Prathyusha Mangalampalli"/>
    <s v="Akshata Nayak Non IT"/>
    <s v="Gundam Mounika"/>
    <n v="1"/>
    <s v="C36230824"/>
    <x v="26"/>
    <n v="38377.5"/>
    <n v="13377.5"/>
    <s v="UHG(BCI &amp; SS)"/>
    <n v="6"/>
    <x v="1"/>
    <x v="1"/>
  </r>
  <r>
    <s v="Priya b"/>
    <s v="Prathyusha Mangalampalli"/>
    <s v="Akshata Nayak Non IT"/>
    <s v="Anita Gopichand Dhadake"/>
    <n v="2"/>
    <s v="C36230600"/>
    <x v="33"/>
    <n v="41400"/>
    <n v="5400"/>
    <s v="Accenture_BPO"/>
    <n v="5"/>
    <x v="0"/>
    <x v="9"/>
  </r>
  <r>
    <s v="Guru Priya"/>
    <s v="Geethika Ch"/>
    <s v="Jawad Ulla Khan"/>
    <s v="Palla Yogendara Bala Anant Kumar"/>
    <n v="1"/>
    <s v="C36230928"/>
    <x v="26"/>
    <n v="38377.5"/>
    <n v="13377.5"/>
    <s v="UHG(BCI &amp; SS)"/>
    <n v="6"/>
    <x v="1"/>
    <x v="1"/>
  </r>
  <r>
    <s v="Bindushree R"/>
    <s v="Prathyusha Mangalampalli"/>
    <s v="Akshata Nayak Non IT"/>
    <s v="sujitha v"/>
    <n v="2"/>
    <s v="C36230607"/>
    <x v="4"/>
    <n v="17400"/>
    <n v="2400"/>
    <s v="Accenture_BPO"/>
    <n v="6"/>
    <x v="0"/>
    <x v="9"/>
  </r>
  <r>
    <s v="Hemanth SM"/>
    <s v="Priyakantha K"/>
    <s v="Prathap Sagar"/>
    <s v="Thammineni Praveen Kumar Reddy"/>
    <n v="2"/>
    <s v="C36230717"/>
    <x v="31"/>
    <n v="30000"/>
    <n v="5000"/>
    <s v="Accenture_IDB"/>
    <n v="5"/>
    <x v="2"/>
    <x v="3"/>
  </r>
  <r>
    <s v="Bindushree R"/>
    <s v="Prathyusha Mangalampalli"/>
    <s v="Akshata Nayak Non IT"/>
    <s v="Uma Sundar"/>
    <n v="2"/>
    <s v="C36230608"/>
    <x v="4"/>
    <n v="17400"/>
    <n v="2400"/>
    <s v="Accenture_BPO"/>
    <n v="5"/>
    <x v="0"/>
    <x v="9"/>
  </r>
  <r>
    <s v="Sai S"/>
    <s v="Sunitha V"/>
    <s v="Akshata Nayak"/>
    <s v="Ramireddy Bharathi"/>
    <n v="1"/>
    <s v="C36230616"/>
    <x v="15"/>
    <n v="183000"/>
    <n v="41334"/>
    <s v="Swiss Re"/>
    <n v="5"/>
    <x v="1"/>
    <x v="14"/>
  </r>
  <r>
    <s v="Gopal V"/>
    <s v="Tamil C"/>
    <s v="Akshata Nayak"/>
    <s v="Hemant Daiya"/>
    <n v="4"/>
    <s v="O36230025"/>
    <x v="41"/>
    <n v="300000"/>
    <n v="50000"/>
    <s v="DXC"/>
    <n v="6"/>
    <x v="1"/>
    <x v="6"/>
  </r>
  <r>
    <s v="Karthik V"/>
    <s v="Fazila K"/>
    <s v="Prathap Sagar"/>
    <s v="Nikhil Madhukar Ghadi"/>
    <n v="2"/>
    <s v="C36230718"/>
    <x v="31"/>
    <n v="168000"/>
    <n v="34667"/>
    <s v="Infosys"/>
    <n v="6"/>
    <x v="2"/>
    <x v="3"/>
  </r>
  <r>
    <s v="Sai S"/>
    <s v="Sunitha V"/>
    <s v="Akshata Nayak"/>
    <s v="Devansh Choudhary"/>
    <n v="1"/>
    <s v="C36230741"/>
    <x v="42"/>
    <n v="230680.8"/>
    <n v="155680.79999999999"/>
    <s v="Deloitte_Consulting"/>
    <n v="6"/>
    <x v="1"/>
    <x v="16"/>
  </r>
  <r>
    <s v="Lakheswari Ranjan"/>
    <s v="Sheetal B"/>
    <s v="Tamil Chelvan"/>
    <s v="Supriya B"/>
    <n v="2"/>
    <s v="C36230624"/>
    <x v="43"/>
    <n v="28500"/>
    <n v="4317.33"/>
    <s v="Harman"/>
    <n v="5"/>
    <x v="1"/>
    <x v="12"/>
  </r>
  <r>
    <s v="Prateek A"/>
    <s v="Mehr Hashim D"/>
    <s v="Mehr Hashim"/>
    <s v="Barigela Supriya"/>
    <n v="2"/>
    <s v="C36230617"/>
    <x v="15"/>
    <n v="336000"/>
    <n v="102667"/>
    <s v="GE Healthcare Global Private Limited."/>
    <n v="6"/>
    <x v="5"/>
    <x v="10"/>
  </r>
  <r>
    <s v="Rajesh R"/>
    <s v="Kamlesh A"/>
    <s v="Menaka Prasad"/>
    <s v="Korubelli Vamsi"/>
    <n v="2"/>
    <s v="C36230664"/>
    <x v="43"/>
    <n v="133358.39999999999"/>
    <n v="33358.400000000001"/>
    <s v="IBM -Mercedes"/>
    <n v="5"/>
    <x v="1"/>
    <x v="7"/>
  </r>
  <r>
    <s v="Priya b"/>
    <s v="Prathyusha Mangalampalli"/>
    <s v="Akshata Nayak Non IT"/>
    <s v="Aishwarya "/>
    <n v="2"/>
    <s v="C36230609"/>
    <x v="4"/>
    <n v="17400"/>
    <n v="2400"/>
    <s v="Accenture_BPO"/>
    <n v="5"/>
    <x v="0"/>
    <x v="9"/>
  </r>
  <r>
    <s v="Sowmya P"/>
    <s v="Prathyusha Mangalampalli"/>
    <s v="Akshata Nayak Non IT"/>
    <s v="Mohammad Mehtab Ali"/>
    <n v="1"/>
    <s v="C36230888"/>
    <x v="26"/>
    <n v="38377.5"/>
    <n v="13377.5"/>
    <s v="UHG(BCI &amp; SS)"/>
    <n v="6"/>
    <x v="1"/>
    <x v="1"/>
  </r>
  <r>
    <s v="Jaisal RP"/>
    <s v="Suman S"/>
    <s v="Prathap Sagar"/>
    <s v="Chilakamari Sravankumar  "/>
    <n v="2"/>
    <s v="C36230719"/>
    <x v="31"/>
    <n v="157500"/>
    <n v="40834"/>
    <s v="Infosys"/>
    <n v="6"/>
    <x v="2"/>
    <x v="3"/>
  </r>
  <r>
    <s v="Rajesh R"/>
    <s v="Kamlesh A"/>
    <s v="Menaka Prasad"/>
    <s v="Pratiksha Dattatray  Samindre"/>
    <n v="2"/>
    <s v="C36230645"/>
    <x v="44"/>
    <n v="136080"/>
    <n v="36080"/>
    <s v="IBM -Mercedes"/>
    <n v="6"/>
    <x v="1"/>
    <x v="7"/>
  </r>
  <r>
    <s v="rajeev krishna"/>
    <s v="Poornachandra V"/>
    <s v="Akshata Nayak"/>
    <s v="AMEY NITIN TAVKAR"/>
    <n v="2"/>
    <s v="C36230605"/>
    <x v="33"/>
    <n v="479808"/>
    <n v="204808"/>
    <s v="Wolters Kluwer-India"/>
    <n v="5"/>
    <x v="5"/>
    <x v="8"/>
  </r>
  <r>
    <s v="Kamlesh A"/>
    <s v="Menaka Prasad"/>
    <s v="karan lalchandani"/>
    <s v="Pallavi N"/>
    <n v="2"/>
    <s v="C36230618"/>
    <x v="15"/>
    <n v="67200"/>
    <n v="33867"/>
    <s v="Socgen"/>
    <n v="6"/>
    <x v="6"/>
    <x v="2"/>
  </r>
  <r>
    <s v="Shinoy EK"/>
    <s v="Sadhna Shukla"/>
    <s v="Shinoy EK"/>
    <s v="M.Sowmya "/>
    <n v="4"/>
    <s v="O36230031"/>
    <x v="41"/>
    <n v="126000"/>
    <n v="42666.67"/>
    <s v="Schneider Electric"/>
    <n v="6"/>
    <x v="5"/>
    <x v="10"/>
  </r>
  <r>
    <s v="Sireesha K"/>
    <s v="Prathyusha Mangalampalli"/>
    <s v="Akshata Nayak Non IT"/>
    <s v="Divya Dharman"/>
    <n v="2"/>
    <s v="C36230772"/>
    <x v="4"/>
    <n v="17400"/>
    <n v="17400"/>
    <s v="Accenture_BPO"/>
    <n v="6"/>
    <x v="0"/>
    <x v="9"/>
  </r>
  <r>
    <s v="Javeed Khan"/>
    <s v="Prathyusha Mangalampalli"/>
    <s v="Akshata Nayak Non IT"/>
    <s v="Sumithra "/>
    <n v="2"/>
    <s v="C36230815"/>
    <x v="4"/>
    <n v="17400"/>
    <n v="2400"/>
    <s v="Accenture_BPO"/>
    <n v="5"/>
    <x v="0"/>
    <x v="9"/>
  </r>
  <r>
    <s v="Maheshwari K S"/>
    <s v="Monisha RR"/>
    <s v="Akshata Nayak Non IT"/>
    <s v="Mantesh R Pol"/>
    <n v="6"/>
    <s v="C36230751"/>
    <x v="44"/>
    <n v="43866.67"/>
    <n v="4700.67"/>
    <s v="HP"/>
    <n v="5"/>
    <x v="0"/>
    <x v="0"/>
  </r>
  <r>
    <s v="Lokesh Reddy"/>
    <s v="Mehr Hashim D"/>
    <s v="Mehr Hashim"/>
    <s v="Pankaj Yadav"/>
    <n v="2"/>
    <s v="C36230623"/>
    <x v="15"/>
    <n v="233833"/>
    <n v="42167"/>
    <s v="Alliance Data"/>
    <n v="5"/>
    <x v="5"/>
    <x v="8"/>
  </r>
  <r>
    <s v="Sai Vineeth"/>
    <s v="Pradeep P"/>
    <s v="Akshata Nayak Non IT"/>
    <s v="Sindhura Sadhanala "/>
    <n v="1"/>
    <s v="C36230731"/>
    <x v="15"/>
    <n v="72292.5"/>
    <n v="9792.5"/>
    <s v="UHG(BCI &amp; SS)"/>
    <n v="6"/>
    <x v="1"/>
    <x v="1"/>
  </r>
  <r>
    <s v="Sowmya P"/>
    <s v="Prathyusha Mangalampalli"/>
    <s v="Akshata Nayak Non IT"/>
    <s v="Thakur Sharanya Singh"/>
    <n v="1"/>
    <s v="C36230873"/>
    <x v="26"/>
    <n v="38377.5"/>
    <n v="13377.5"/>
    <s v="UHG(BCI &amp; SS)"/>
    <n v="6"/>
    <x v="1"/>
    <x v="1"/>
  </r>
  <r>
    <s v="Pooja Bt"/>
    <s v="Anitha C"/>
    <s v="Akshata Nayak Non IT"/>
    <s v="Siripurapu Nagamani"/>
    <n v="1"/>
    <s v="C36230851"/>
    <x v="26"/>
    <n v="38377.5"/>
    <n v="13377.5"/>
    <s v="UHG(BCI &amp; SS)"/>
    <n v="6"/>
    <x v="1"/>
    <x v="1"/>
  </r>
  <r>
    <s v="Deepthi C"/>
    <s v="Anitha C"/>
    <s v="Akshata Nayak Non IT"/>
    <s v="Vangalapudi Baby Shalini"/>
    <n v="1"/>
    <s v="C36230852"/>
    <x v="26"/>
    <n v="38377.5"/>
    <n v="13377.5"/>
    <s v="UHG(BCI &amp; SS)"/>
    <n v="6"/>
    <x v="1"/>
    <x v="1"/>
  </r>
  <r>
    <s v="Uma Sree"/>
    <s v="Mehr Hashim D"/>
    <s v="Mehr Hashim"/>
    <s v="Ajay Gupta"/>
    <n v="2"/>
    <s v="C36230643"/>
    <x v="15"/>
    <n v="386400"/>
    <n v="73900"/>
    <s v="GE Healthcare Global Private Limited."/>
    <n v="5"/>
    <x v="5"/>
    <x v="10"/>
  </r>
  <r>
    <s v="Naveen K"/>
    <s v="Mehr Hashim D"/>
    <s v="Mehr Hashim"/>
    <s v="Sreekala M"/>
    <n v="2"/>
    <s v="C36230654"/>
    <x v="45"/>
    <n v="336000"/>
    <n v="136000"/>
    <s v="GE Healthcare Global Private Limited."/>
    <n v="6"/>
    <x v="5"/>
    <x v="10"/>
  </r>
  <r>
    <s v="Pinky Kumari"/>
    <s v="Mehr Hashim D"/>
    <s v="Mehr Hashim"/>
    <s v="Shruti Rupesh  Gaud"/>
    <n v="2"/>
    <s v="C36230627"/>
    <x v="15"/>
    <n v="220000"/>
    <n v="153334"/>
    <s v="SONY Software Development Centre"/>
    <n v="6"/>
    <x v="5"/>
    <x v="10"/>
  </r>
  <r>
    <s v="Sachin K"/>
    <s v="Prathyusha Mangalampalli"/>
    <s v="Akshata Nayak Non IT"/>
    <s v="Midhin Muralidharan "/>
    <n v="2"/>
    <s v="C36230698"/>
    <x v="46"/>
    <n v="47760"/>
    <n v="7960"/>
    <s v="Accenture-voice"/>
    <n v="6"/>
    <x v="0"/>
    <x v="9"/>
  </r>
  <r>
    <s v="Jyothsna Y"/>
    <s v="Deekshith A"/>
    <s v="Antati Deekshith"/>
    <s v="Somesh Neela"/>
    <n v="1"/>
    <s v="C36230776"/>
    <x v="26"/>
    <n v="0"/>
    <n v="-25000"/>
    <s v="UHG(BCI &amp; SS)"/>
    <n v="6"/>
    <x v="1"/>
    <x v="1"/>
  </r>
  <r>
    <s v="Sumanth VM"/>
    <s v="Suman S"/>
    <s v="Prathap Sagar"/>
    <s v="Gourishetty Saikiran"/>
    <n v="2"/>
    <s v="C36230783"/>
    <x v="47"/>
    <n v="189000"/>
    <n v="22334"/>
    <s v="Infosys"/>
    <n v="5"/>
    <x v="2"/>
    <x v="3"/>
  </r>
  <r>
    <s v="Vaishnavi G"/>
    <s v="Shoeb Ahmed"/>
    <s v="Antati Deekshith"/>
    <s v="Anthagiri Sankeerthana "/>
    <n v="1"/>
    <s v="C36230794"/>
    <x v="26"/>
    <n v="0"/>
    <n v="-25000"/>
    <s v="UHG(BCI &amp; SS)"/>
    <n v="6"/>
    <x v="1"/>
    <x v="1"/>
  </r>
  <r>
    <s v="Vaishnavi G"/>
    <s v="Shoeb Ahmed"/>
    <s v="Antati Deekshith"/>
    <s v="Chennu Jyostna "/>
    <n v="1"/>
    <s v="C36230795"/>
    <x v="26"/>
    <n v="38377.5"/>
    <n v="13377.5"/>
    <s v="UHG(BCI &amp; SS)"/>
    <n v="6"/>
    <x v="1"/>
    <x v="1"/>
  </r>
  <r>
    <s v="Mehraj N"/>
    <s v="Prathyusha Mangalampalli"/>
    <s v="Akshata Nayak Non IT"/>
    <s v="Katkuri Mahadev"/>
    <n v="1"/>
    <s v="C36230813"/>
    <x v="26"/>
    <n v="0"/>
    <n v="-25000"/>
    <s v="UHG(BCI &amp; SS)"/>
    <n v="6"/>
    <x v="1"/>
    <x v="1"/>
  </r>
  <r>
    <s v="Narendra Kumar Debariki"/>
    <s v="Pradeep P"/>
    <s v="Akshata Nayak Non IT"/>
    <s v="Dinesh  Bhupathi"/>
    <n v="1"/>
    <s v="C36230703"/>
    <x v="15"/>
    <n v="72293"/>
    <n v="9793"/>
    <s v="UHG(BCI &amp; SS)"/>
    <n v="6"/>
    <x v="1"/>
    <x v="1"/>
  </r>
  <r>
    <s v="Vaishnavi G"/>
    <s v="Shoeb Ahmed"/>
    <s v="Antati Deekshith"/>
    <s v="Swetha Bachu"/>
    <n v="1"/>
    <s v="C36230796"/>
    <x v="26"/>
    <n v="38377.5"/>
    <n v="13377.5"/>
    <s v="UHG(BCI &amp; SS)"/>
    <n v="6"/>
    <x v="1"/>
    <x v="1"/>
  </r>
  <r>
    <s v="Sumanth VM"/>
    <s v="Suman S"/>
    <s v="Prathap Sagar"/>
    <s v="Harini Sanamandra"/>
    <n v="2"/>
    <s v="C36230676"/>
    <x v="43"/>
    <n v="147000"/>
    <n v="30333.33"/>
    <s v="Infosys"/>
    <n v="6"/>
    <x v="2"/>
    <x v="3"/>
  </r>
  <r>
    <s v="Vaishnavi G"/>
    <s v="Shoeb Ahmed"/>
    <s v="Antati Deekshith"/>
    <s v="Mohammed Khaja Moinuddin "/>
    <n v="1"/>
    <s v="C36230804"/>
    <x v="26"/>
    <n v="38378"/>
    <n v="13378"/>
    <s v="UHG(BCI &amp; SS)"/>
    <n v="6"/>
    <x v="1"/>
    <x v="1"/>
  </r>
  <r>
    <s v="Vinith M"/>
    <s v="Tamil C"/>
    <s v="Akshata Nayak"/>
    <s v="Bhupendra "/>
    <n v="4"/>
    <s v="O36230026"/>
    <x v="48"/>
    <n v="315270.94"/>
    <n v="31937.94"/>
    <s v="DXC"/>
    <n v="6"/>
    <x v="1"/>
    <x v="6"/>
  </r>
  <r>
    <s v="Bilasini Tripathy"/>
    <s v="Suman S"/>
    <s v="Prathap Sagar"/>
    <s v="Jowin"/>
    <n v="2"/>
    <s v="C36230665"/>
    <x v="49"/>
    <n v="30000"/>
    <n v="5000"/>
    <s v="Accenture_IDB"/>
    <n v="6"/>
    <x v="2"/>
    <x v="3"/>
  </r>
  <r>
    <s v="Lakheswari Ranjan"/>
    <s v="Sheetal B"/>
    <s v="Tamil Chelvan"/>
    <s v="Mangesh Suresh Jadhav"/>
    <n v="4"/>
    <s v="O36230029"/>
    <x v="26"/>
    <n v="236453.2"/>
    <n v="128120.2"/>
    <s v="DXC"/>
    <n v="6"/>
    <x v="1"/>
    <x v="6"/>
  </r>
  <r>
    <s v="Bindushree R"/>
    <s v="Prathyusha Mangalampalli"/>
    <s v="Akshata Nayak Non IT"/>
    <s v="K Selvi "/>
    <n v="2"/>
    <s v="C36230760"/>
    <x v="31"/>
    <n v="17400"/>
    <n v="2400"/>
    <s v="Accenture_BPO"/>
    <n v="6"/>
    <x v="0"/>
    <x v="9"/>
  </r>
  <r>
    <s v="Jyothi HM"/>
    <s v="Suman S"/>
    <s v="Prathap Sagar"/>
    <s v=" Sourabh Sharma"/>
    <n v="1"/>
    <s v="C36230724"/>
    <x v="49"/>
    <n v="30000"/>
    <n v="5000"/>
    <s v="Accenture_IDB"/>
    <n v="6"/>
    <x v="2"/>
    <x v="3"/>
  </r>
  <r>
    <s v="Preethi Hindu"/>
    <s v="Sabreena Jabeen"/>
    <s v="Sabreena Jabeen"/>
    <s v="M Rakesh"/>
    <n v="2"/>
    <s v="C36230745"/>
    <x v="45"/>
    <n v="140280"/>
    <n v="40280"/>
    <s v="Mercedes benz"/>
    <n v="6"/>
    <x v="6"/>
    <x v="14"/>
  </r>
  <r>
    <s v="Sai Manish"/>
    <s v="Pradeep P"/>
    <s v="Akshata Nayak Non IT"/>
    <s v="Pullamshetti Mahima Bharathi"/>
    <n v="1"/>
    <s v="C36230825"/>
    <x v="26"/>
    <n v="38377.5"/>
    <n v="13377.5"/>
    <s v="UHG(BCI &amp; SS)"/>
    <n v="6"/>
    <x v="1"/>
    <x v="1"/>
  </r>
  <r>
    <s v="Vaishnavi G"/>
    <s v="Shoeb Ahmed"/>
    <s v="Antati Deekshith"/>
    <s v="Gollapally Divya"/>
    <n v="1"/>
    <s v="C36230797"/>
    <x v="26"/>
    <n v="38377.5"/>
    <n v="13377.5"/>
    <s v="UHG(BCI &amp; SS)"/>
    <n v="6"/>
    <x v="1"/>
    <x v="1"/>
  </r>
  <r>
    <s v="Vinayak Kamath"/>
    <s v="Namitha Gowda"/>
    <s v="Prathap Sagar"/>
    <s v="Shaik Mehataz "/>
    <n v="1"/>
    <s v="C36230805"/>
    <x v="26"/>
    <n v="0"/>
    <n v="-25000"/>
    <s v="UHG(BCI &amp; SS)"/>
    <n v="6"/>
    <x v="1"/>
    <x v="1"/>
  </r>
  <r>
    <s v="Sai Manish"/>
    <s v="Pradeep P"/>
    <s v="Akshata Nayak Non IT"/>
    <s v=" PODICHETI ANUSHA"/>
    <n v="1"/>
    <s v="C36230826"/>
    <x v="26"/>
    <n v="38377.5"/>
    <n v="13377.5"/>
    <s v="UHG(BCI &amp; SS)"/>
    <n v="6"/>
    <x v="1"/>
    <x v="1"/>
  </r>
  <r>
    <s v="Dhruthi M"/>
    <s v="Eugene kurian"/>
    <s v="Anmol Katoch"/>
    <s v="Sruthi Jayakumar Venidevi"/>
    <n v="2"/>
    <s v="C36230752"/>
    <x v="50"/>
    <n v="115000"/>
    <n v="19167"/>
    <s v="Accenture_IDB"/>
    <n v="6"/>
    <x v="2"/>
    <x v="3"/>
  </r>
  <r>
    <s v="Jyothsna Y"/>
    <s v="Deekshith A"/>
    <s v="Antati Deekshith"/>
    <s v="Ramagiri Lakshmi Prasanna"/>
    <n v="1"/>
    <s v="C36230798"/>
    <x v="26"/>
    <n v="38378"/>
    <n v="13378"/>
    <s v="UHG(BCI &amp; SS)"/>
    <n v="6"/>
    <x v="1"/>
    <x v="1"/>
  </r>
  <r>
    <s v="Shruthi R"/>
    <s v="Mehr Hashim D"/>
    <s v="Mehr Hashim"/>
    <s v="Manchineella Sivaraj"/>
    <n v="2"/>
    <s v="C36230655"/>
    <x v="44"/>
    <n v="436800"/>
    <n v="153467"/>
    <s v="GE Healthcare Global Private Limited."/>
    <n v="6"/>
    <x v="5"/>
    <x v="10"/>
  </r>
  <r>
    <s v="Chaithra M"/>
    <s v="Vamsi S"/>
    <s v="Mohanish Pillai"/>
    <s v="Sharyu Ganesh Gurav "/>
    <n v="2"/>
    <s v="C36230784"/>
    <x v="47"/>
    <n v="171066"/>
    <n v="21066"/>
    <s v="Infosys"/>
    <n v="5"/>
    <x v="2"/>
    <x v="3"/>
  </r>
  <r>
    <s v="Sowmya P"/>
    <s v="Prathyusha Mangalampalli"/>
    <s v="Akshata Nayak Non IT"/>
    <s v="Pratiksha Sheshrao  Bhalerao"/>
    <n v="2"/>
    <s v="C36230723"/>
    <x v="43"/>
    <n v="21275"/>
    <n v="2775"/>
    <s v="Accenture_BPO"/>
    <n v="5"/>
    <x v="0"/>
    <x v="9"/>
  </r>
  <r>
    <s v="Bilasini Tripathy"/>
    <s v="Suman S"/>
    <s v="Prathap Sagar"/>
    <s v="Abraham Mathews Thumbunkal"/>
    <n v="2"/>
    <s v="C36230720"/>
    <x v="31"/>
    <n v="30000"/>
    <n v="5000"/>
    <s v="Accenture_IDB"/>
    <n v="5"/>
    <x v="2"/>
    <x v="3"/>
  </r>
  <r>
    <s v="Sheetal AT"/>
    <s v="Suman S"/>
    <s v="Prathap Sagar"/>
    <s v="Santosh Samantasinghar"/>
    <n v="2"/>
    <s v="C36230677"/>
    <x v="49"/>
    <n v="120000"/>
    <n v="20000"/>
    <s v="Accenture_IDB"/>
    <n v="6"/>
    <x v="2"/>
    <x v="3"/>
  </r>
  <r>
    <s v="Don Bosco"/>
    <s v="Suman S"/>
    <s v="Prathap Sagar"/>
    <s v="Swapnil Patel"/>
    <n v="7"/>
    <s v="C36230777"/>
    <x v="26"/>
    <n v="75281.8"/>
    <n v="3241.8"/>
    <s v="ZTE_payroll"/>
    <n v="5"/>
    <x v="2"/>
    <x v="3"/>
  </r>
  <r>
    <s v="Mamtha V"/>
    <s v="Fazila K"/>
    <s v="Prathap Sagar"/>
    <s v="Nivedreddy Pola"/>
    <n v="2"/>
    <s v="C36230721"/>
    <x v="31"/>
    <n v="157500"/>
    <n v="15834"/>
    <s v="Infosys"/>
    <n v="6"/>
    <x v="2"/>
    <x v="3"/>
  </r>
  <r>
    <s v="Sachin K"/>
    <s v="Prathyusha Mangalampalli"/>
    <s v="Akshata Nayak Non IT"/>
    <s v="Salim Parvez Shaikh"/>
    <n v="2"/>
    <s v="C36230765"/>
    <x v="51"/>
    <n v="51600"/>
    <n v="8600"/>
    <s v="Accenture-voice"/>
    <n v="6"/>
    <x v="0"/>
    <x v="9"/>
  </r>
  <r>
    <s v="Sagar CM"/>
    <s v="Suman S"/>
    <s v="Prathap Sagar"/>
    <s v="Dikshith H M "/>
    <n v="2"/>
    <s v="C36230701"/>
    <x v="43"/>
    <n v="125685"/>
    <n v="17352"/>
    <s v="Capgemini-Bangalore"/>
    <n v="6"/>
    <x v="3"/>
    <x v="4"/>
  </r>
  <r>
    <s v="Mouli Roy"/>
    <s v="Prathyusha Mangalampalli"/>
    <s v="Akshata Nayak Non IT"/>
    <s v=" Daulagar Harshitha "/>
    <n v="1"/>
    <s v="C36230908"/>
    <x v="26"/>
    <n v="38377.5"/>
    <n v="13377.5"/>
    <s v="UHG(BCI &amp; SS)"/>
    <n v="6"/>
    <x v="1"/>
    <x v="1"/>
  </r>
  <r>
    <s v="Sireesha K"/>
    <s v="Prathyusha Mangalampalli"/>
    <s v="Akshata Nayak Non IT"/>
    <s v="Keerthana L"/>
    <n v="2"/>
    <s v="C36230925"/>
    <x v="51"/>
    <n v="17400"/>
    <n v="17400"/>
    <s v="Accenture_BPO"/>
    <n v="6"/>
    <x v="0"/>
    <x v="9"/>
  </r>
  <r>
    <s v="Sachin K"/>
    <s v="Prathyusha Mangalampalli"/>
    <s v="Akshata Nayak Non IT"/>
    <s v="Saladi Sai Kiran"/>
    <n v="1"/>
    <s v="C36230872"/>
    <x v="26"/>
    <n v="38377.5"/>
    <n v="13377.5"/>
    <s v="UHG(BCI &amp; SS)"/>
    <n v="6"/>
    <x v="1"/>
    <x v="1"/>
  </r>
  <r>
    <s v="Thrupthi S"/>
    <s v="Menaka Prasad"/>
    <s v="karan lalchandani"/>
    <s v="Kosuru  Surya Narayana"/>
    <n v="2"/>
    <s v="C36230762"/>
    <x v="26"/>
    <n v="118692"/>
    <n v="31192"/>
    <s v="IBM -Mercedes"/>
    <n v="6"/>
    <x v="1"/>
    <x v="7"/>
  </r>
  <r>
    <s v="Priya b"/>
    <s v="Prathyusha Mangalampalli"/>
    <s v="Akshata Nayak Non IT"/>
    <s v="Priya Kumar  Deshwan"/>
    <n v="2"/>
    <s v="C36230749"/>
    <x v="39"/>
    <n v="54625"/>
    <n v="7125"/>
    <s v="Accenture_BPO"/>
    <n v="6"/>
    <x v="0"/>
    <x v="9"/>
  </r>
  <r>
    <s v="Mehraj N"/>
    <s v="Prathyusha Mangalampalli"/>
    <s v="Akshata Nayak Non IT"/>
    <s v="E Venkatesh "/>
    <n v="2"/>
    <s v="C36230732"/>
    <x v="51"/>
    <n v="28750"/>
    <n v="3750"/>
    <s v="Accenture_BPO"/>
    <n v="6"/>
    <x v="0"/>
    <x v="9"/>
  </r>
  <r>
    <s v="NULL"/>
    <s v="NULL"/>
    <s v="Menaka Prasad"/>
    <s v="Deblina Chatterjee "/>
    <n v="2"/>
    <s v="C36231359"/>
    <x v="28"/>
    <n v="79391"/>
    <n v="4391"/>
    <s v="FLUENCE ENERGY - PAYROLL"/>
    <n v="5"/>
    <x v="1"/>
    <x v="13"/>
  </r>
  <r>
    <s v="Sowmya P"/>
    <s v="Prathyusha Mangalampalli"/>
    <s v="Akshata Nayak Non IT"/>
    <s v="Erpula Lalitha"/>
    <n v="2"/>
    <s v="C36230767"/>
    <x v="42"/>
    <n v="19550"/>
    <n v="2550"/>
    <s v="Accenture_BPO"/>
    <n v="6"/>
    <x v="0"/>
    <x v="9"/>
  </r>
  <r>
    <s v="Pearl Melita"/>
    <s v="Namitha Gowda"/>
    <s v="Prathap Sagar"/>
    <s v="Ashok Aravind Yalaka"/>
    <n v="1"/>
    <s v="C36230799"/>
    <x v="26"/>
    <n v="38377.5"/>
    <n v="13377.5"/>
    <s v="UHG(BCI &amp; SS)"/>
    <n v="6"/>
    <x v="1"/>
    <x v="1"/>
  </r>
  <r>
    <s v="Pooja Bt"/>
    <s v="Anitha C"/>
    <s v="Akshata Nayak Non IT"/>
    <s v="Kavya  R B"/>
    <n v="2"/>
    <s v="C36230743"/>
    <x v="51"/>
    <n v="28750"/>
    <n v="3750"/>
    <s v="Accenture_BPO"/>
    <n v="5"/>
    <x v="0"/>
    <x v="9"/>
  </r>
  <r>
    <s v="Pooja K"/>
    <s v="Prathyusha Mangalampalli"/>
    <s v="Akshata Nayak Non IT"/>
    <s v="Pooja Bhuvaneshwar Kumar"/>
    <n v="2"/>
    <s v="C36230747"/>
    <x v="50"/>
    <n v="21275"/>
    <n v="2775"/>
    <s v="Accenture_BPO"/>
    <n v="6"/>
    <x v="0"/>
    <x v="9"/>
  </r>
  <r>
    <s v="Sireesha K"/>
    <s v="Prathyusha Mangalampalli"/>
    <s v="Akshata Nayak Non IT"/>
    <s v="Shajini S"/>
    <n v="2"/>
    <s v="C36230924"/>
    <x v="50"/>
    <n v="17400"/>
    <n v="17400"/>
    <s v="Accenture_BPO"/>
    <n v="5"/>
    <x v="0"/>
    <x v="9"/>
  </r>
  <r>
    <s v="Lakheswari Ranjan"/>
    <s v="Sheetal B"/>
    <s v="Tamil Chelvan"/>
    <s v=" Peddiboyina Nagaraju"/>
    <n v="1"/>
    <s v="C36230754"/>
    <x v="48"/>
    <n v="123152.71"/>
    <n v="14819.71"/>
    <s v="DXC"/>
    <n v="6"/>
    <x v="1"/>
    <x v="6"/>
  </r>
  <r>
    <s v="Lakheswari Ranjan"/>
    <s v="Sheetal B"/>
    <s v="Tamil Chelvan"/>
    <s v="Hima Bindu"/>
    <n v="1"/>
    <s v="C36230769"/>
    <x v="26"/>
    <n v="123152.71"/>
    <n v="39819.71"/>
    <s v="DXC"/>
    <n v="6"/>
    <x v="1"/>
    <x v="6"/>
  </r>
  <r>
    <s v="Mehraj N"/>
    <s v="Prathyusha Mangalampalli"/>
    <s v="Akshata Nayak Non IT"/>
    <s v="Varshini Muneeshwaran"/>
    <n v="2"/>
    <s v="C36230733"/>
    <x v="51"/>
    <n v="17400"/>
    <n v="2400"/>
    <s v="Accenture_BPO"/>
    <n v="5"/>
    <x v="0"/>
    <x v="9"/>
  </r>
  <r>
    <s v="Mehraj N"/>
    <s v="Prathyusha Mangalampalli"/>
    <s v="Akshata Nayak Non IT"/>
    <s v="Megavardhini "/>
    <n v="2"/>
    <s v="C36230734"/>
    <x v="51"/>
    <n v="17400"/>
    <n v="2400"/>
    <s v="Accenture_BPO"/>
    <n v="5"/>
    <x v="0"/>
    <x v="9"/>
  </r>
  <r>
    <s v="NULL"/>
    <s v="NULL"/>
    <s v="Menaka Prasad"/>
    <s v="Antoinette Hyacinth Nancy"/>
    <n v="2"/>
    <s v="C36231515"/>
    <x v="52"/>
    <n v="158813"/>
    <n v="21313"/>
    <s v="FLUENCE ENERGY - PAYROLL"/>
    <n v="6"/>
    <x v="1"/>
    <x v="13"/>
  </r>
  <r>
    <s v="Bindushree R"/>
    <s v="Prathyusha Mangalampalli"/>
    <s v="Akshata Nayak Non IT"/>
    <s v="Brindha Gopalakrishnan"/>
    <n v="2"/>
    <s v="C36230853"/>
    <x v="50"/>
    <n v="17400"/>
    <n v="2400"/>
    <s v="Accenture_BPO"/>
    <n v="5"/>
    <x v="0"/>
    <x v="9"/>
  </r>
  <r>
    <s v="Karthik V"/>
    <s v="Fazila K"/>
    <s v="Prathap Sagar"/>
    <s v="Mohd Baasit Abdul Rauf"/>
    <n v="2"/>
    <s v="C36230785"/>
    <x v="47"/>
    <n v="161700"/>
    <n v="45034"/>
    <s v="Infosys"/>
    <n v="5"/>
    <x v="2"/>
    <x v="3"/>
  </r>
  <r>
    <s v="Poorvi Kundur"/>
    <s v="Monisha RR"/>
    <s v="Akshata Nayak Non IT"/>
    <s v="Madhava S"/>
    <n v="6"/>
    <s v="C36230841"/>
    <x v="50"/>
    <n v="34375"/>
    <n v="6875"/>
    <s v="HP"/>
    <n v="5"/>
    <x v="0"/>
    <x v="0"/>
  </r>
  <r>
    <s v="Sachin K"/>
    <s v="Prathyusha Mangalampalli"/>
    <s v="Akshata Nayak Non IT"/>
    <s v="Chikiripally  Niveditha Goud"/>
    <n v="1"/>
    <s v="C36230806"/>
    <x v="26"/>
    <n v="38377.5"/>
    <n v="13377.5"/>
    <s v="UHG(BCI &amp; SS)"/>
    <n v="6"/>
    <x v="1"/>
    <x v="1"/>
  </r>
  <r>
    <s v="Priya b"/>
    <s v="Prathyusha Mangalampalli"/>
    <s v="Akshata Nayak Non IT"/>
    <s v=" Pavani Gundabommu"/>
    <n v="1"/>
    <s v="C36230827"/>
    <x v="26"/>
    <n v="38377.5"/>
    <n v="13377.5"/>
    <s v="UHG(BCI &amp; SS)"/>
    <n v="6"/>
    <x v="1"/>
    <x v="1"/>
  </r>
  <r>
    <s v="Javeed Khan"/>
    <s v="Prathyusha Mangalampalli"/>
    <s v="Akshata Nayak Non IT"/>
    <s v="Archana"/>
    <n v="2"/>
    <s v="C36230829"/>
    <x v="51"/>
    <n v="17400"/>
    <n v="2400"/>
    <s v="Accenture_BPO"/>
    <n v="5"/>
    <x v="0"/>
    <x v="9"/>
  </r>
  <r>
    <s v="Monika Vakati"/>
    <s v="Prathyusha Mangalampalli"/>
    <s v="Akshata Nayak Non IT"/>
    <s v="S Reshma "/>
    <n v="2"/>
    <s v="C36230750"/>
    <x v="51"/>
    <n v="17400"/>
    <n v="2400"/>
    <s v="Accenture_BPO"/>
    <n v="5"/>
    <x v="0"/>
    <x v="9"/>
  </r>
  <r>
    <s v="Pooja Bt"/>
    <s v="Anitha C"/>
    <s v="Akshata Nayak Non IT"/>
    <s v=" Canaka Sneha  Deepthi"/>
    <n v="1"/>
    <s v="C36230800"/>
    <x v="26"/>
    <n v="38377.5"/>
    <n v="13377.5"/>
    <s v="UHG(BCI &amp; SS)"/>
    <n v="6"/>
    <x v="1"/>
    <x v="1"/>
  </r>
  <r>
    <s v="santhosh B"/>
    <s v="Tara VR"/>
    <s v="Prathap Sagar"/>
    <s v="N C Kathiravan "/>
    <n v="2"/>
    <s v="C36230722"/>
    <x v="31"/>
    <n v="409248"/>
    <n v="175915"/>
    <s v="Wolters Kluwer"/>
    <n v="5"/>
    <x v="5"/>
    <x v="8"/>
  </r>
  <r>
    <s v="Vaishnavi G"/>
    <s v="Shoeb Ahmed"/>
    <s v="Antati Deekshith"/>
    <s v="Gundupalli Swarna Sherlin Ratna "/>
    <n v="1"/>
    <s v="C36231024"/>
    <x v="34"/>
    <n v="0"/>
    <n v="-25000"/>
    <s v="UHG(BCI &amp; SS)"/>
    <n v="6"/>
    <x v="1"/>
    <x v="1"/>
  </r>
  <r>
    <s v="Javeed Khan"/>
    <s v="Prathyusha Mangalampalli"/>
    <s v="Akshata Nayak Non IT"/>
    <s v="Bynagari Shalem Raju "/>
    <n v="1"/>
    <s v="C36230828"/>
    <x v="26"/>
    <n v="38377.5"/>
    <n v="13377.5"/>
    <s v="UHG(BCI &amp; SS)"/>
    <n v="6"/>
    <x v="1"/>
    <x v="1"/>
  </r>
  <r>
    <s v="Vaishnavi G"/>
    <s v="Shoeb Ahmed"/>
    <s v="Antati Deekshith"/>
    <s v="Bagili Gnaneshwar "/>
    <n v="1"/>
    <s v="C36231025"/>
    <x v="34"/>
    <n v="38377.5"/>
    <n v="13377.5"/>
    <s v="UHG(BCI &amp; SS)"/>
    <n v="6"/>
    <x v="1"/>
    <x v="1"/>
  </r>
  <r>
    <s v="Lavani Yasheer"/>
    <s v="Menaka Prasad"/>
    <s v="karan lalchandani"/>
    <s v="Prem Nath Pandey"/>
    <n v="2"/>
    <s v="C36230737"/>
    <x v="48"/>
    <n v="86834"/>
    <n v="3501"/>
    <s v="CenturyLink Technologies India Pvt.Ltd"/>
    <n v="5"/>
    <x v="1"/>
    <x v="2"/>
  </r>
  <r>
    <s v="Prateek A"/>
    <s v="Mehr Hashim D"/>
    <s v="Mehr Hashim"/>
    <s v="Vikash Kumar  Sinha"/>
    <n v="2"/>
    <s v="C36230742"/>
    <x v="42"/>
    <n v="386400"/>
    <n v="223900"/>
    <s v="GE Healthcare Global Private Limited."/>
    <n v="6"/>
    <x v="5"/>
    <x v="10"/>
  </r>
  <r>
    <s v="Sumanth K"/>
    <s v="Fazila K"/>
    <s v="Prathap Sagar"/>
    <s v="Poorab Yashwant Patil "/>
    <n v="1"/>
    <s v="C36230744"/>
    <x v="42"/>
    <n v="79409.55"/>
    <n v="3419.55"/>
    <s v="ZTE_payroll"/>
    <n v="5"/>
    <x v="2"/>
    <x v="3"/>
  </r>
  <r>
    <s v="Deepthi C"/>
    <s v="Anitha C"/>
    <s v="Akshata Nayak Non IT"/>
    <s v="Pathi Navya "/>
    <n v="1"/>
    <s v="C36230801"/>
    <x v="26"/>
    <n v="38377.5"/>
    <n v="13377.5"/>
    <s v="UHG(BCI &amp; SS)"/>
    <n v="6"/>
    <x v="1"/>
    <x v="1"/>
  </r>
  <r>
    <s v="Manish Kalal"/>
    <s v="Mehr Hashim D"/>
    <s v="Mehr Hashim"/>
    <s v=" B Vinod Kumar Reddy"/>
    <n v="4"/>
    <s v="O36230028"/>
    <x v="48"/>
    <n v="302400"/>
    <n v="44067"/>
    <s v="GE Healthcare Global Private Limited."/>
    <n v="6"/>
    <x v="5"/>
    <x v="10"/>
  </r>
  <r>
    <s v="Lakheswari Ranjan"/>
    <s v="Sheetal B"/>
    <s v="Tamil Chelvan"/>
    <s v="Ashish Gupta"/>
    <n v="4"/>
    <s v="O36230030"/>
    <x v="26"/>
    <n v="258128.08"/>
    <n v="99795.08"/>
    <s v="DXC"/>
    <n v="6"/>
    <x v="1"/>
    <x v="6"/>
  </r>
  <r>
    <s v="Javeed Khan"/>
    <s v="Prathyusha Mangalampalli"/>
    <s v="Akshata Nayak Non IT"/>
    <s v="Komal  Satish Nalawade "/>
    <n v="2"/>
    <s v="C36230921"/>
    <x v="26"/>
    <n v="34500"/>
    <n v="4500"/>
    <s v="Accenture-voice"/>
    <n v="6"/>
    <x v="0"/>
    <x v="9"/>
  </r>
  <r>
    <s v="Poorvi Kundur"/>
    <s v="Monisha RR"/>
    <s v="Akshata Nayak Non IT"/>
    <s v="Shashank B"/>
    <n v="6"/>
    <s v="C36230766"/>
    <x v="50"/>
    <n v="34375"/>
    <n v="6875"/>
    <s v="HP"/>
    <n v="6"/>
    <x v="0"/>
    <x v="0"/>
  </r>
  <r>
    <s v="Mohammed hamza"/>
    <s v="Mehr Hashim D"/>
    <s v="Mehr Hashim"/>
    <s v="Yarrasani Venkatesh Yadav "/>
    <n v="4"/>
    <s v="O36230027"/>
    <x v="42"/>
    <n v="302400"/>
    <n v="144067"/>
    <s v="GE Healthcare Global Private Limited."/>
    <n v="6"/>
    <x v="5"/>
    <x v="10"/>
  </r>
  <r>
    <s v="Hemanth SM"/>
    <s v="Priyakantha K"/>
    <s v="Prathap Sagar"/>
    <s v="Abdusamad KP"/>
    <n v="2"/>
    <s v="C36230912"/>
    <x v="53"/>
    <n v="115000"/>
    <n v="23334"/>
    <s v="Accenture_IDB"/>
    <n v="5"/>
    <x v="2"/>
    <x v="3"/>
  </r>
  <r>
    <s v="Poorvi Kundur"/>
    <s v="Monisha RR"/>
    <s v="Akshata Nayak Non IT"/>
    <s v="Ayendrilla Saha"/>
    <n v="6"/>
    <s v="C36230842"/>
    <x v="50"/>
    <n v="34375"/>
    <n v="6875"/>
    <s v="HP"/>
    <n v="5"/>
    <x v="0"/>
    <x v="0"/>
  </r>
  <r>
    <s v="Gouri Priya"/>
    <s v="Pradeep P"/>
    <s v="Akshata Nayak Non IT"/>
    <s v="Jyotsna Yadav"/>
    <n v="1"/>
    <s v="C36230837"/>
    <x v="54"/>
    <n v="42483"/>
    <n v="9150"/>
    <s v="UHG"/>
    <n v="5"/>
    <x v="0"/>
    <x v="1"/>
  </r>
  <r>
    <s v="Mehraj N"/>
    <s v="Prathyusha Mangalampalli"/>
    <s v="Akshata Nayak Non IT"/>
    <s v="Kadali Mahesh "/>
    <n v="1"/>
    <s v="C36230996"/>
    <x v="34"/>
    <n v="0"/>
    <n v="-25000"/>
    <s v="UHG(BCI &amp; SS)"/>
    <n v="6"/>
    <x v="1"/>
    <x v="1"/>
  </r>
  <r>
    <s v="Vidya Bharthi"/>
    <s v="Fazila K"/>
    <s v="Prathap Sagar"/>
    <s v="Telluri Lenin"/>
    <n v="1"/>
    <s v="C36230922"/>
    <x v="26"/>
    <n v="0"/>
    <n v="-20000"/>
    <s v="UHG-Non IT"/>
    <n v="6"/>
    <x v="1"/>
    <x v="1"/>
  </r>
  <r>
    <s v="Dhruthi M"/>
    <s v="Eugene kurian"/>
    <s v="Anmol Katoch"/>
    <s v="Naseeruddin "/>
    <n v="2"/>
    <s v="C36230802"/>
    <x v="47"/>
    <n v="60000"/>
    <n v="5834"/>
    <s v="Accenture_IDB"/>
    <n v="5"/>
    <x v="2"/>
    <x v="3"/>
  </r>
  <r>
    <s v="Deepthi C"/>
    <s v="Anitha C"/>
    <s v="Akshata Nayak Non IT"/>
    <s v="Ajith Kumar Raja "/>
    <n v="2"/>
    <s v="C36231892"/>
    <x v="55"/>
    <n v="96860"/>
    <n v="13527"/>
    <s v="FLUENCE ENERGY - PAYROLL"/>
    <n v="5"/>
    <x v="1"/>
    <x v="13"/>
  </r>
  <r>
    <s v="Sowmya P"/>
    <s v="Prathyusha Mangalampalli"/>
    <s v="Akshata Nayak Non IT"/>
    <s v="Roshan  Zameer"/>
    <n v="2"/>
    <s v="C36230757"/>
    <x v="39"/>
    <n v="48000"/>
    <n v="8000"/>
    <s v="Accenture-voice"/>
    <n v="6"/>
    <x v="0"/>
    <x v="9"/>
  </r>
  <r>
    <s v="Bindushree R"/>
    <s v="Prathyusha Mangalampalli"/>
    <s v="Akshata Nayak Non IT"/>
    <s v="S Swetha "/>
    <n v="2"/>
    <s v="C36230758"/>
    <x v="39"/>
    <n v="17400"/>
    <n v="2400"/>
    <s v="Accenture_BPO"/>
    <n v="6"/>
    <x v="0"/>
    <x v="9"/>
  </r>
  <r>
    <s v="Sowmya P"/>
    <s v="Prathyusha Mangalampalli"/>
    <s v="Akshata Nayak Non IT"/>
    <s v="Aditya Dilip  Gaud"/>
    <n v="2"/>
    <s v="C36230755"/>
    <x v="50"/>
    <n v="34500"/>
    <n v="4500"/>
    <s v="Accenture-voice"/>
    <n v="6"/>
    <x v="0"/>
    <x v="9"/>
  </r>
  <r>
    <s v="Anitha C"/>
    <s v="Jawad Ulla Khan"/>
    <s v="Jawad Ulla Khan"/>
    <s v="Uday V"/>
    <n v="1"/>
    <s v="C36230774"/>
    <x v="26"/>
    <n v="52500"/>
    <n v="21667"/>
    <s v="Soc gen Ops "/>
    <n v="5"/>
    <x v="4"/>
    <x v="2"/>
  </r>
  <r>
    <s v="Deepthi C"/>
    <s v="Anitha C"/>
    <s v="Akshata Nayak Non IT"/>
    <s v="Maneesha"/>
    <n v="2"/>
    <s v="C36240072"/>
    <x v="56"/>
    <n v="135360"/>
    <n v="135359"/>
    <s v="FLUENCE ENERGY - PAYROLL"/>
    <n v="5"/>
    <x v="1"/>
    <x v="13"/>
  </r>
  <r>
    <s v="Pooja K"/>
    <s v="Prathyusha Mangalampalli"/>
    <s v="Akshata Nayak Non IT"/>
    <s v="Shivani S"/>
    <n v="2"/>
    <s v="C36230942"/>
    <x v="57"/>
    <n v="51600"/>
    <n v="8600"/>
    <s v="Accenture-voice"/>
    <n v="6"/>
    <x v="0"/>
    <x v="9"/>
  </r>
  <r>
    <s v="Mamtha V"/>
    <s v="Fazila K"/>
    <s v="Prathap Sagar"/>
    <s v="Ganesh  Selvaraj"/>
    <n v="2"/>
    <s v="C36230861"/>
    <x v="58"/>
    <n v="241500"/>
    <n v="24834"/>
    <s v="Infosys"/>
    <n v="6"/>
    <x v="2"/>
    <x v="3"/>
  </r>
  <r>
    <s v="Menaka Prasad"/>
    <s v="Karan Lalchandani"/>
    <s v="Menaka Prasad"/>
    <s v="Poonamdevi  Maurya"/>
    <n v="2"/>
    <s v="C36230753"/>
    <x v="59"/>
    <n v="157500"/>
    <n v="82500"/>
    <s v="Socgen"/>
    <n v="6"/>
    <x v="6"/>
    <x v="2"/>
  </r>
  <r>
    <s v="Siba Prasad"/>
    <s v="Kamlesh A"/>
    <s v="Menaka Prasad"/>
    <s v="Megha Bharti"/>
    <n v="2"/>
    <s v="C36230896"/>
    <x v="53"/>
    <n v="119700"/>
    <n v="36367"/>
    <s v="Socgen"/>
    <n v="5"/>
    <x v="6"/>
    <x v="2"/>
  </r>
  <r>
    <s v="Ashwini Vishwakarma"/>
    <s v="Dummy Record Lead"/>
    <s v="Vinod K"/>
    <s v="Arjun Tyagi"/>
    <n v="2"/>
    <s v="C36230832"/>
    <x v="60"/>
    <n v="291648"/>
    <n v="141648"/>
    <s v="CME"/>
    <n v="5"/>
    <x v="1"/>
    <x v="2"/>
  </r>
  <r>
    <s v="Mohammed hamza"/>
    <s v="Mehr Hashim D"/>
    <s v="Mehr Hashim"/>
    <s v="Raghavendra Adappagoudar "/>
    <n v="2"/>
    <s v="C36230759"/>
    <x v="39"/>
    <n v="125000"/>
    <n v="62500"/>
    <s v="SONY Software Development Centre"/>
    <n v="5"/>
    <x v="5"/>
    <x v="10"/>
  </r>
  <r>
    <s v="Narendra Kumar Debariki"/>
    <s v="Pradeep P"/>
    <s v="Akshata Nayak Non IT"/>
    <s v="Rohit  Dodda"/>
    <n v="1"/>
    <s v="C36230807"/>
    <x v="26"/>
    <n v="72293"/>
    <n v="9793"/>
    <s v="UHG(BCI &amp; SS)"/>
    <n v="6"/>
    <x v="1"/>
    <x v="1"/>
  </r>
  <r>
    <s v="Monika Vakati"/>
    <s v="Prathyusha Mangalampalli"/>
    <s v="Akshata Nayak Non IT"/>
    <s v="Abhishek Singh"/>
    <n v="2"/>
    <s v="C36230913"/>
    <x v="53"/>
    <n v="32500"/>
    <n v="7500"/>
    <s v="Accenture-voice"/>
    <n v="6"/>
    <x v="0"/>
    <x v="9"/>
  </r>
  <r>
    <s v="Sireesha K"/>
    <s v="Prathyusha Mangalampalli"/>
    <s v="Akshata Nayak Non IT"/>
    <s v="Malladi Harika"/>
    <n v="1"/>
    <s v="C36231137"/>
    <x v="34"/>
    <n v="38377.5"/>
    <n v="38377.5"/>
    <s v="UHG(BCI &amp; SS)"/>
    <n v="6"/>
    <x v="1"/>
    <x v="1"/>
  </r>
  <r>
    <s v="Sai Manish"/>
    <s v="Pradeep P"/>
    <s v="Akshata Nayak Non IT"/>
    <s v="Dhumle  AKHILESH RAO PATIL"/>
    <n v="1"/>
    <s v="C36230997"/>
    <x v="34"/>
    <n v="38377.5"/>
    <n v="13377.5"/>
    <s v="UHG(BCI &amp; SS)"/>
    <n v="6"/>
    <x v="1"/>
    <x v="1"/>
  </r>
  <r>
    <s v="Uma Sree"/>
    <s v="Mehr Hashim D"/>
    <s v="Mehr Hashim"/>
    <s v="G R  Mamatha"/>
    <n v="2"/>
    <s v="C36230761"/>
    <x v="50"/>
    <n v="336000"/>
    <n v="169334"/>
    <s v="GE Healthcare Global Private Limited."/>
    <n v="6"/>
    <x v="5"/>
    <x v="10"/>
  </r>
  <r>
    <s v="Mehraj N"/>
    <s v="Prathyusha Mangalampalli"/>
    <s v="Akshata Nayak Non IT"/>
    <s v="Arun Mathai C "/>
    <n v="2"/>
    <s v="C36230779"/>
    <x v="57"/>
    <n v="30000"/>
    <n v="5000"/>
    <s v="Accenture-voice"/>
    <n v="5"/>
    <x v="0"/>
    <x v="9"/>
  </r>
  <r>
    <s v="Mehraj N"/>
    <s v="Prathyusha Mangalampalli"/>
    <s v="Akshata Nayak Non IT"/>
    <s v="Nandhini"/>
    <n v="2"/>
    <s v="C36230816"/>
    <x v="54"/>
    <n v="17400"/>
    <n v="2400"/>
    <s v="Accenture_BPO"/>
    <n v="6"/>
    <x v="0"/>
    <x v="9"/>
  </r>
  <r>
    <s v="Maheshwari K S"/>
    <s v="Monisha RR"/>
    <s v="Akshata Nayak Non IT"/>
    <s v=" Sunaina Mahajan "/>
    <n v="2"/>
    <s v="C36230875"/>
    <x v="54"/>
    <n v="42483"/>
    <n v="7483"/>
    <s v="UHG"/>
    <n v="5"/>
    <x v="0"/>
    <x v="1"/>
  </r>
  <r>
    <s v="Narendra Kumar Debariki"/>
    <s v="Pradeep P"/>
    <s v="Akshata Nayak Non IT"/>
    <s v="C Geetha"/>
    <n v="1"/>
    <s v="C36230859"/>
    <x v="41"/>
    <n v="72292.5"/>
    <n v="12292.5"/>
    <s v="UHG(BCI &amp; SS)"/>
    <n v="6"/>
    <x v="1"/>
    <x v="1"/>
  </r>
  <r>
    <s v="Gouri Priya"/>
    <s v="Pradeep P"/>
    <s v="Akshata Nayak Non IT"/>
    <s v="Tirumani Jyothi"/>
    <n v="1"/>
    <s v="C36231116"/>
    <x v="34"/>
    <n v="38377.5"/>
    <n v="13377.5"/>
    <s v="UHG(BCI &amp; SS)"/>
    <n v="6"/>
    <x v="1"/>
    <x v="1"/>
  </r>
  <r>
    <s v="Gouri Priya"/>
    <s v="Pradeep P"/>
    <s v="Akshata Nayak Non IT"/>
    <s v="Singoju Vamshi Chary"/>
    <n v="1"/>
    <s v="C36231006"/>
    <x v="34"/>
    <n v="0"/>
    <n v="-25000"/>
    <s v="UHG(BCI &amp; SS)"/>
    <n v="6"/>
    <x v="1"/>
    <x v="1"/>
  </r>
  <r>
    <s v="Narendra Kumar Debariki"/>
    <s v="Pradeep P"/>
    <s v="Akshata Nayak Non IT"/>
    <s v="Venkata Sai Durga Purna Anjani"/>
    <n v="1"/>
    <s v="C36230998"/>
    <x v="34"/>
    <n v="38377.5"/>
    <n v="13377.5"/>
    <s v="UHG(BCI &amp; SS)"/>
    <n v="6"/>
    <x v="1"/>
    <x v="1"/>
  </r>
  <r>
    <s v="Gouri Priya"/>
    <s v="Pradeep P"/>
    <s v="Akshata Nayak Non IT"/>
    <s v="Shaik Misba Farheen"/>
    <n v="1"/>
    <s v="C36231035"/>
    <x v="34"/>
    <n v="38377.5"/>
    <n v="13377.5"/>
    <s v="UHG(BCI &amp; SS)"/>
    <n v="6"/>
    <x v="1"/>
    <x v="1"/>
  </r>
  <r>
    <s v="Gouri Priya"/>
    <s v="Pradeep P"/>
    <s v="Akshata Nayak Non IT"/>
    <s v="Md Sajeed"/>
    <n v="1"/>
    <s v="C36231059"/>
    <x v="34"/>
    <n v="38377.5"/>
    <n v="13377.5"/>
    <s v="UHG(BCI &amp; SS)"/>
    <n v="6"/>
    <x v="1"/>
    <x v="1"/>
  </r>
  <r>
    <s v="Narendra Kumar Debariki"/>
    <s v="Pradeep P"/>
    <s v="Akshata Nayak Non IT"/>
    <s v="Gaajanaboina Krishna Kumar  "/>
    <n v="1"/>
    <s v="C36231046"/>
    <x v="34"/>
    <n v="38377.5"/>
    <n v="13377.5"/>
    <s v="UHG(BCI &amp; SS)"/>
    <n v="6"/>
    <x v="1"/>
    <x v="1"/>
  </r>
  <r>
    <s v="Poorvi Kundur"/>
    <s v="Monisha RR"/>
    <s v="Akshata Nayak Non IT"/>
    <s v="Nikhil Jacob George"/>
    <n v="6"/>
    <s v="C36230844"/>
    <x v="50"/>
    <n v="34375"/>
    <n v="6875"/>
    <s v="HP"/>
    <n v="5"/>
    <x v="0"/>
    <x v="0"/>
  </r>
  <r>
    <s v="Mamtha V"/>
    <s v="Fazila K"/>
    <s v="Prathap Sagar"/>
    <s v="Kanakavalii Rajesh"/>
    <n v="2"/>
    <s v="C36230862"/>
    <x v="58"/>
    <n v="214220.79"/>
    <n v="35054.79"/>
    <s v="Infosys"/>
    <n v="6"/>
    <x v="2"/>
    <x v="3"/>
  </r>
  <r>
    <s v="Narendra Kumar Debariki"/>
    <s v="Pradeep P"/>
    <s v="Akshata Nayak Non IT"/>
    <s v="Avula  Srilaxmi"/>
    <n v="1"/>
    <s v="C36231047"/>
    <x v="34"/>
    <n v="38377.5"/>
    <n v="13377.5"/>
    <s v="UHG(BCI &amp; SS)"/>
    <n v="6"/>
    <x v="1"/>
    <x v="1"/>
  </r>
  <r>
    <s v="Gouri Priya"/>
    <s v="Pradeep P"/>
    <s v="Akshata Nayak Non IT"/>
    <s v="Anumula Laxmi Praneeth"/>
    <n v="1"/>
    <s v="C36231036"/>
    <x v="34"/>
    <n v="38378"/>
    <n v="13378"/>
    <s v="UHG(BCI &amp; SS)"/>
    <n v="6"/>
    <x v="1"/>
    <x v="1"/>
  </r>
  <r>
    <s v="Narendra Kumar Debariki"/>
    <s v="Pradeep P"/>
    <s v="Akshata Nayak Non IT"/>
    <s v="Tella  Naga Tulasi"/>
    <n v="1"/>
    <s v="C36231118"/>
    <x v="34"/>
    <n v="0"/>
    <n v="-25000"/>
    <s v="UHG(BCI &amp; SS)"/>
    <n v="6"/>
    <x v="1"/>
    <x v="1"/>
  </r>
  <r>
    <s v="Narendra Kumar Debariki"/>
    <s v="Pradeep P"/>
    <s v="Akshata Nayak Non IT"/>
    <s v="Chintakayala Chinna Kurmarao"/>
    <n v="1"/>
    <s v="C36231048"/>
    <x v="34"/>
    <n v="38377.5"/>
    <n v="13377.5"/>
    <s v="UHG(BCI &amp; SS)"/>
    <n v="6"/>
    <x v="1"/>
    <x v="1"/>
  </r>
  <r>
    <s v="Narendra Kumar Debariki"/>
    <s v="Pradeep P"/>
    <s v="Akshata Nayak Non IT"/>
    <s v="Bommanapalli Naga Lakshmi Divya Sree"/>
    <n v="1"/>
    <s v="C36231072"/>
    <x v="34"/>
    <n v="38377.5"/>
    <n v="13377.5"/>
    <s v="UHG(BCI &amp; SS)"/>
    <n v="6"/>
    <x v="1"/>
    <x v="1"/>
  </r>
  <r>
    <s v="Gouri Priya"/>
    <s v="Pradeep P"/>
    <s v="Akshata Nayak Non IT"/>
    <s v="Natti Sreelekha"/>
    <n v="1"/>
    <s v="C36231073"/>
    <x v="34"/>
    <n v="38377.5"/>
    <n v="13377.5"/>
    <s v="UHG(BCI &amp; SS)"/>
    <n v="6"/>
    <x v="1"/>
    <x v="1"/>
  </r>
  <r>
    <s v="Jyothi HM"/>
    <s v="Suman S"/>
    <s v="Prathap Sagar"/>
    <s v="Rahul Desai"/>
    <n v="2"/>
    <s v="C36230770"/>
    <x v="26"/>
    <n v="125000"/>
    <n v="37500"/>
    <s v="Accenture_IDB"/>
    <n v="5"/>
    <x v="2"/>
    <x v="3"/>
  </r>
  <r>
    <s v="Narendra Kumar Debariki"/>
    <s v="Pradeep P"/>
    <s v="Akshata Nayak Non IT"/>
    <s v="Satuluri Beaula "/>
    <n v="1"/>
    <s v="C36231049"/>
    <x v="34"/>
    <n v="38377.5"/>
    <n v="13377.5"/>
    <s v="UHG(BCI &amp; SS)"/>
    <n v="6"/>
    <x v="1"/>
    <x v="1"/>
  </r>
  <r>
    <s v="Bindushree R"/>
    <s v="Prathyusha Mangalampalli"/>
    <s v="Akshata Nayak Non IT"/>
    <s v="Rishav Raj"/>
    <n v="2"/>
    <s v="C36230860"/>
    <x v="41"/>
    <n v="34500"/>
    <n v="4500"/>
    <s v="Accenture-voice"/>
    <n v="5"/>
    <x v="0"/>
    <x v="9"/>
  </r>
  <r>
    <s v="Hemanth SM"/>
    <s v="Priyakantha K"/>
    <s v="Prathap Sagar"/>
    <s v="Raksha S"/>
    <n v="2"/>
    <s v="C36230764"/>
    <x v="61"/>
    <n v="38000"/>
    <n v="5500"/>
    <s v="Accenture_IDB"/>
    <n v="5"/>
    <x v="2"/>
    <x v="3"/>
  </r>
  <r>
    <s v="Javeed Khan"/>
    <s v="Prathyusha Mangalampalli"/>
    <s v="Akshata Nayak Non IT"/>
    <s v="Abhishek Ramakant Rane "/>
    <n v="2"/>
    <s v="C36230923"/>
    <x v="26"/>
    <n v="29900"/>
    <n v="3900"/>
    <s v="Accenture-voice"/>
    <n v="5"/>
    <x v="0"/>
    <x v="9"/>
  </r>
  <r>
    <s v="Sachin K"/>
    <s v="Prathyusha Mangalampalli"/>
    <s v="Akshata Nayak Non IT"/>
    <s v="Hrishikesh Rajendra  Sawant"/>
    <n v="2"/>
    <s v="C36230886"/>
    <x v="41"/>
    <n v="41400"/>
    <n v="5400"/>
    <s v="Accenture_BPO"/>
    <n v="5"/>
    <x v="0"/>
    <x v="9"/>
  </r>
  <r>
    <s v="Sachin K"/>
    <s v="Prathyusha Mangalampalli"/>
    <s v="Akshata Nayak Non IT"/>
    <s v="Suvarna rohidas  Patil"/>
    <n v="2"/>
    <s v="C36230782"/>
    <x v="41"/>
    <n v="41400"/>
    <n v="5400"/>
    <s v="Accenture_BPO"/>
    <n v="5"/>
    <x v="0"/>
    <x v="9"/>
  </r>
  <r>
    <s v="Monika Vakati"/>
    <s v="Prathyusha Mangalampalli"/>
    <s v="Akshata Nayak Non IT"/>
    <s v="Rituraj  Gautam Jadhav"/>
    <n v="2"/>
    <s v="C36230878"/>
    <x v="7"/>
    <n v="30666"/>
    <n v="4000"/>
    <s v="Accenture_BPO"/>
    <n v="5"/>
    <x v="0"/>
    <x v="9"/>
  </r>
  <r>
    <s v="Monika Vakati"/>
    <s v="Prathyusha Mangalampalli"/>
    <s v="Akshata Nayak Non IT"/>
    <s v="Daya Rajan"/>
    <n v="2"/>
    <s v="C36230855"/>
    <x v="59"/>
    <n v="28750"/>
    <n v="3750"/>
    <s v="Accenture_BPO"/>
    <n v="6"/>
    <x v="0"/>
    <x v="9"/>
  </r>
  <r>
    <s v="Vaishnavi G"/>
    <s v="Shoeb Ahmed"/>
    <s v="Antati Deekshith"/>
    <s v="Komuravelly Ganesh "/>
    <n v="1"/>
    <s v="C36231026"/>
    <x v="34"/>
    <n v="0"/>
    <n v="-25000"/>
    <s v="UHG(BCI &amp; SS)"/>
    <n v="6"/>
    <x v="1"/>
    <x v="1"/>
  </r>
  <r>
    <s v="Monika Vakati"/>
    <s v="Prathyusha Mangalampalli"/>
    <s v="Akshata Nayak Non IT"/>
    <s v="Sayeera  Banu"/>
    <n v="2"/>
    <s v="C36230914"/>
    <x v="53"/>
    <n v="48000"/>
    <n v="8000"/>
    <s v="Accenture-voice"/>
    <n v="5"/>
    <x v="0"/>
    <x v="9"/>
  </r>
  <r>
    <s v="Pooja K"/>
    <s v="Prathyusha Mangalampalli"/>
    <s v="Akshata Nayak Non IT"/>
    <s v="Meghna Avvaru"/>
    <n v="1"/>
    <s v="C36231122"/>
    <x v="34"/>
    <n v="38377.5"/>
    <n v="13377.5"/>
    <s v="UHG(BCI &amp; SS)"/>
    <n v="6"/>
    <x v="1"/>
    <x v="1"/>
  </r>
  <r>
    <s v="Monika Vakati"/>
    <s v="Prathyusha Mangalampalli"/>
    <s v="Akshata Nayak Non IT"/>
    <s v="Gakka Vinay kumar"/>
    <n v="1"/>
    <s v="C36231291"/>
    <x v="34"/>
    <n v="38377.5"/>
    <n v="13377.5"/>
    <s v="UHG(BCI &amp; SS)"/>
    <n v="6"/>
    <x v="1"/>
    <x v="1"/>
  </r>
  <r>
    <s v="Moin Khan"/>
    <s v="Namitha Gowda"/>
    <s v="Prathap Sagar"/>
    <s v=" Makkala Sanjeev  Kumar"/>
    <n v="1"/>
    <s v="C36231012"/>
    <x v="34"/>
    <n v="38377.5"/>
    <n v="13377.5"/>
    <s v="UHG(BCI &amp; SS)"/>
    <n v="6"/>
    <x v="1"/>
    <x v="1"/>
  </r>
  <r>
    <s v="Maheshwari K S"/>
    <s v="Monisha RR"/>
    <s v="Akshata Nayak Non IT"/>
    <s v="Zimmer Zaheer"/>
    <n v="6"/>
    <s v="C36230870"/>
    <x v="50"/>
    <n v="34375"/>
    <n v="6875"/>
    <s v="HP"/>
    <n v="5"/>
    <x v="0"/>
    <x v="0"/>
  </r>
  <r>
    <s v="Prathap S"/>
    <s v="Prathap Sagar BL"/>
    <s v="Prathap S"/>
    <s v="Abdul Iliyas "/>
    <n v="1"/>
    <s v="C36231013"/>
    <x v="34"/>
    <n v="38378"/>
    <n v="13378"/>
    <s v="UHG(BCI &amp; SS)"/>
    <n v="6"/>
    <x v="1"/>
    <x v="1"/>
  </r>
  <r>
    <s v="Prathap S"/>
    <s v="Prathap Sagar BL"/>
    <s v="Prathap S"/>
    <s v="Jukanti Priyanka"/>
    <n v="1"/>
    <s v="C36231014"/>
    <x v="34"/>
    <n v="38377.5"/>
    <n v="13377.5"/>
    <s v="UHG(BCI &amp; SS)"/>
    <n v="6"/>
    <x v="1"/>
    <x v="1"/>
  </r>
  <r>
    <s v="Pearl Melita"/>
    <s v="Namitha Gowda"/>
    <s v="Prathap Sagar"/>
    <s v="Shiramsetty Sweekar "/>
    <n v="1"/>
    <s v="C36231021"/>
    <x v="34"/>
    <n v="38378"/>
    <n v="13378"/>
    <s v="UHG(BCI &amp; SS)"/>
    <n v="6"/>
    <x v="1"/>
    <x v="1"/>
  </r>
  <r>
    <s v="Vinayak Kamath"/>
    <s v="Namitha Gowda"/>
    <s v="Prathap Sagar"/>
    <s v="Kanapuram Sreelekha"/>
    <n v="1"/>
    <s v="C36231015"/>
    <x v="34"/>
    <n v="38377.5"/>
    <n v="13377.5"/>
    <s v="UHG(BCI &amp; SS)"/>
    <n v="6"/>
    <x v="1"/>
    <x v="1"/>
  </r>
  <r>
    <s v="Muhammed Iqbal"/>
    <s v="Mehr Hashim D"/>
    <s v="Mehr Hashim"/>
    <s v="Lokesh Prathapaneni"/>
    <n v="4"/>
    <s v="O36230032"/>
    <x v="41"/>
    <n v="352800"/>
    <n v="77800"/>
    <s v="GE Healthcare Global Private Limited."/>
    <n v="6"/>
    <x v="5"/>
    <x v="10"/>
  </r>
  <r>
    <s v="Alyson Edward"/>
    <s v="Namitha Gowda"/>
    <s v="Prathap Sagar"/>
    <s v="Tirupathi Chenchu Sunandha"/>
    <n v="1"/>
    <s v="C36231123"/>
    <x v="34"/>
    <n v="38377.5"/>
    <n v="13377.5"/>
    <s v="UHG(BCI &amp; SS)"/>
    <n v="6"/>
    <x v="1"/>
    <x v="1"/>
  </r>
  <r>
    <s v="Kanthishree Shenoy"/>
    <s v="Namitha Gowda"/>
    <s v="Prathap Sagar"/>
    <s v="Kurella Matsyagiri"/>
    <n v="1"/>
    <s v="C36231022"/>
    <x v="34"/>
    <n v="38377.5"/>
    <n v="13377.5"/>
    <s v="UHG(BCI &amp; SS)"/>
    <n v="6"/>
    <x v="1"/>
    <x v="1"/>
  </r>
  <r>
    <s v="Alyson Edward"/>
    <s v="Namitha Gowda"/>
    <s v="Prathap Sagar"/>
    <s v="Narra Niharika"/>
    <n v="1"/>
    <s v="C36231016"/>
    <x v="34"/>
    <n v="38377.5"/>
    <n v="13377.5"/>
    <s v="UHG(BCI &amp; SS)"/>
    <n v="6"/>
    <x v="1"/>
    <x v="1"/>
  </r>
  <r>
    <s v="Arpita Biswal"/>
    <s v="Anitha C"/>
    <s v="Akshata Nayak Non IT"/>
    <s v="Suresh P  "/>
    <n v="2"/>
    <s v="C36232160"/>
    <x v="62"/>
    <n v="66875"/>
    <n v="66875"/>
    <s v="FLUENCE ENERGY - PAYROLL"/>
    <n v="5"/>
    <x v="1"/>
    <x v="13"/>
  </r>
  <r>
    <s v="Gouri Priya"/>
    <s v="Pradeep P"/>
    <s v="Akshata Nayak Non IT"/>
    <s v="V Bhanu Chander"/>
    <n v="1"/>
    <s v="C36231050"/>
    <x v="34"/>
    <n v="38377.5"/>
    <n v="13377.5"/>
    <s v="UHG(BCI &amp; SS)"/>
    <n v="6"/>
    <x v="1"/>
    <x v="1"/>
  </r>
  <r>
    <s v="Gouri Priya"/>
    <s v="Pradeep P"/>
    <s v="Akshata Nayak Non IT"/>
    <s v="Dakkumalla Rajesh"/>
    <n v="1"/>
    <s v="C36231051"/>
    <x v="34"/>
    <n v="38377.5"/>
    <n v="13377.5"/>
    <s v="UHG(BCI &amp; SS)"/>
    <n v="6"/>
    <x v="1"/>
    <x v="1"/>
  </r>
  <r>
    <s v="Anitha C"/>
    <s v="Jawad Ulla Khan"/>
    <s v="Jawad Ulla Khan"/>
    <s v="Prince  Anciya J"/>
    <n v="1"/>
    <s v="C36230808"/>
    <x v="26"/>
    <n v="52500"/>
    <n v="22500"/>
    <s v="Soc gen Ops "/>
    <n v="5"/>
    <x v="4"/>
    <x v="2"/>
  </r>
  <r>
    <s v="Anitha C"/>
    <s v="Jawad Ulla Khan"/>
    <s v="Jawad Ulla Khan"/>
    <s v="Sushma Pinto"/>
    <n v="1"/>
    <s v="C36230781"/>
    <x v="26"/>
    <n v="67200"/>
    <n v="18867"/>
    <s v="Soc gen Ops "/>
    <n v="6"/>
    <x v="4"/>
    <x v="2"/>
  </r>
  <r>
    <s v="Deepthi C"/>
    <s v="Anitha C"/>
    <s v="Akshata Nayak Non IT"/>
    <s v="Sandhya M "/>
    <n v="2"/>
    <s v="C36232233"/>
    <x v="63"/>
    <n v="79390.5"/>
    <n v="3780.5"/>
    <s v="FLUENCE ENERGY - PAYROLL"/>
    <n v="5"/>
    <x v="1"/>
    <x v="13"/>
  </r>
  <r>
    <s v="Prateek A"/>
    <s v="Mehr Hashim D"/>
    <s v="Mehr Hashim"/>
    <s v="Vaishnavi Kakad"/>
    <n v="4"/>
    <s v="O36230033"/>
    <x v="26"/>
    <n v="180000"/>
    <n v="42500"/>
    <s v="SONY Software Development Centre"/>
    <n v="6"/>
    <x v="5"/>
    <x v="10"/>
  </r>
  <r>
    <s v="Sai Vineeth"/>
    <s v="Pradeep P"/>
    <s v="Akshata Nayak Non IT"/>
    <s v="Chengali Narsing Rao"/>
    <n v="1"/>
    <s v="C36230809"/>
    <x v="26"/>
    <n v="32130"/>
    <n v="12130"/>
    <s v="UHG(BCI &amp; SS)"/>
    <n v="6"/>
    <x v="1"/>
    <x v="1"/>
  </r>
  <r>
    <s v="Monika Vakati"/>
    <s v="Prathyusha Mangalampalli"/>
    <s v="Akshata Nayak Non IT"/>
    <s v="Charuta Mahendra Jadhav"/>
    <n v="2"/>
    <s v="C36230915"/>
    <x v="53"/>
    <n v="32500"/>
    <n v="7500"/>
    <s v="Accenture-voice"/>
    <n v="5"/>
    <x v="0"/>
    <x v="9"/>
  </r>
  <r>
    <s v="Deepthi C"/>
    <s v="Anitha C"/>
    <s v="Akshata Nayak Non IT"/>
    <s v=" Puli SUSEEL PADMA TEJ"/>
    <n v="1"/>
    <s v="C36230834"/>
    <x v="59"/>
    <n v="52500"/>
    <n v="10834"/>
    <s v="Soc gen Ops "/>
    <n v="6"/>
    <x v="4"/>
    <x v="2"/>
  </r>
  <r>
    <s v="Anitha C"/>
    <s v="Jawad Ulla Khan"/>
    <s v="Jawad Ulla Khan"/>
    <s v="M srinivas"/>
    <n v="1"/>
    <s v="C36230999"/>
    <x v="34"/>
    <n v="38378"/>
    <n v="13378"/>
    <s v="UHG(BCI &amp; SS)"/>
    <n v="6"/>
    <x v="1"/>
    <x v="1"/>
  </r>
  <r>
    <s v="Sachin K"/>
    <s v="Prathyusha Mangalampalli"/>
    <s v="Akshata Nayak Non IT"/>
    <s v="Harshit Agarwal"/>
    <n v="2"/>
    <s v="C36230965"/>
    <x v="64"/>
    <n v="48000"/>
    <n v="8000"/>
    <s v="Accenture-voice"/>
    <n v="6"/>
    <x v="0"/>
    <x v="9"/>
  </r>
  <r>
    <s v="Vinith M"/>
    <s v="Tamil C"/>
    <s v="Akshata Nayak"/>
    <s v="Venu Gopal Reddy"/>
    <n v="4"/>
    <s v="O36230034"/>
    <x v="26"/>
    <n v="236453.2"/>
    <n v="36453.199999999997"/>
    <s v="DXC"/>
    <n v="6"/>
    <x v="1"/>
    <x v="6"/>
  </r>
  <r>
    <s v="Arpita Biswal"/>
    <s v="Anitha C"/>
    <s v="Akshata Nayak Non IT"/>
    <s v="Sunitha Dhondaley "/>
    <n v="2"/>
    <s v="C36240200"/>
    <x v="65"/>
    <n v="193140"/>
    <n v="9807"/>
    <s v="FLUENCE ENERGY - PAYROLL"/>
    <n v="5"/>
    <x v="1"/>
    <x v="13"/>
  </r>
  <r>
    <s v="Monika Vakati"/>
    <s v="Prathyusha Mangalampalli"/>
    <s v="Akshata Nayak Non IT"/>
    <s v="Deepa  Kumari"/>
    <n v="2"/>
    <s v="C36230946"/>
    <x v="64"/>
    <n v="32500"/>
    <n v="7500"/>
    <s v="Accenture-voice"/>
    <n v="5"/>
    <x v="0"/>
    <x v="9"/>
  </r>
  <r>
    <s v="Kamlesh A"/>
    <s v="Menaka Prasad"/>
    <s v="karan lalchandani"/>
    <s v="D Vanisha Anand"/>
    <n v="2"/>
    <s v="C36230780"/>
    <x v="57"/>
    <n v="34735"/>
    <n v="1402"/>
    <s v="CenturyLink Technologies India Pvt.Ltd"/>
    <n v="6"/>
    <x v="1"/>
    <x v="2"/>
  </r>
  <r>
    <s v="Mamtha V"/>
    <s v="Fazila K"/>
    <s v="Prathap Sagar"/>
    <s v="Perla Uday Shankar"/>
    <n v="2"/>
    <s v="C36230863"/>
    <x v="58"/>
    <n v="140700"/>
    <n v="65700"/>
    <s v="Infosys"/>
    <n v="5"/>
    <x v="2"/>
    <x v="3"/>
  </r>
  <r>
    <s v="Karnikasri P"/>
    <s v="Priyakantha K"/>
    <s v="Prathap Sagar"/>
    <s v="Ravi Ranjan"/>
    <n v="7"/>
    <s v="C36230887"/>
    <x v="58"/>
    <n v="88292.05"/>
    <n v="3802.05"/>
    <s v="ZTE_payroll"/>
    <n v="6"/>
    <x v="2"/>
    <x v="3"/>
  </r>
  <r>
    <s v="Poorvi Kundur"/>
    <s v="Monisha RR"/>
    <s v="Akshata Nayak Non IT"/>
    <s v="Chirant S"/>
    <n v="6"/>
    <s v="C36230846"/>
    <x v="54"/>
    <n v="34375"/>
    <n v="6875"/>
    <s v="HP"/>
    <n v="6"/>
    <x v="0"/>
    <x v="0"/>
  </r>
  <r>
    <s v="Varshitha P"/>
    <s v="Eugene kurian"/>
    <s v="Priyakanta Choudhary"/>
    <s v="Vipul Chauhan"/>
    <n v="7"/>
    <s v="C36230992"/>
    <x v="64"/>
    <n v="67653"/>
    <n v="2913"/>
    <s v="ZTE_payroll"/>
    <n v="6"/>
    <x v="2"/>
    <x v="3"/>
  </r>
  <r>
    <s v="Maheshwari K S"/>
    <s v="Monisha RR"/>
    <s v="Akshata Nayak Non IT"/>
    <s v="Harshitha K"/>
    <n v="6"/>
    <s v="C36230865"/>
    <x v="54"/>
    <n v="34375"/>
    <n v="6875"/>
    <s v="HP"/>
    <n v="5"/>
    <x v="0"/>
    <x v="0"/>
  </r>
  <r>
    <s v="Poorvi Kundur"/>
    <s v="Monisha RR"/>
    <s v="Akshata Nayak Non IT"/>
    <s v="Tarushi Narang"/>
    <n v="6"/>
    <s v="C36230838"/>
    <x v="54"/>
    <n v="34375"/>
    <n v="6875"/>
    <s v="HP"/>
    <n v="6"/>
    <x v="0"/>
    <x v="0"/>
  </r>
  <r>
    <s v="Poorvi Kundur"/>
    <s v="Monisha RR"/>
    <s v="Akshata Nayak Non IT"/>
    <s v="Lijo Stephen"/>
    <n v="6"/>
    <s v="C36230839"/>
    <x v="54"/>
    <n v="34375"/>
    <n v="6875"/>
    <s v="HP"/>
    <n v="6"/>
    <x v="0"/>
    <x v="0"/>
  </r>
  <r>
    <s v="Sireesha K"/>
    <s v="Prathyusha Mangalampalli"/>
    <s v="Akshata Nayak Non IT"/>
    <s v="Priyanka M"/>
    <n v="2"/>
    <s v="C36230919"/>
    <x v="54"/>
    <n v="17400"/>
    <n v="2400"/>
    <s v="Accenture_BPO"/>
    <n v="5"/>
    <x v="0"/>
    <x v="9"/>
  </r>
  <r>
    <s v="Poorvi Kundur"/>
    <s v="Monisha RR"/>
    <s v="Akshata Nayak Non IT"/>
    <s v="Priyusha Bandlore Srinivasa"/>
    <n v="6"/>
    <s v="C36230879"/>
    <x v="7"/>
    <n v="34375"/>
    <n v="6875"/>
    <s v="HP"/>
    <n v="6"/>
    <x v="0"/>
    <x v="0"/>
  </r>
  <r>
    <s v="Poorvi Kundur"/>
    <s v="Monisha RR"/>
    <s v="Akshata Nayak Non IT"/>
    <s v="Priya Darshini Sahu"/>
    <n v="6"/>
    <s v="C36230880"/>
    <x v="7"/>
    <n v="34375"/>
    <n v="6875"/>
    <s v="HP"/>
    <n v="5"/>
    <x v="0"/>
    <x v="0"/>
  </r>
  <r>
    <s v="Sireesha K"/>
    <s v="Prathyusha Mangalampalli"/>
    <s v="Akshata Nayak Non IT"/>
    <s v="Bhuvaneshwari  S"/>
    <n v="1"/>
    <s v="C36230941"/>
    <x v="59"/>
    <n v="28750"/>
    <n v="3750"/>
    <s v="Accenture_BPO"/>
    <n v="6"/>
    <x v="0"/>
    <x v="9"/>
  </r>
  <r>
    <s v="Sireesha K"/>
    <s v="Prathyusha Mangalampalli"/>
    <s v="Akshata Nayak Non IT"/>
    <s v="Sowmiya V"/>
    <n v="2"/>
    <s v="C36230920"/>
    <x v="54"/>
    <n v="17400"/>
    <n v="2400"/>
    <s v="Accenture_BPO"/>
    <n v="5"/>
    <x v="0"/>
    <x v="9"/>
  </r>
  <r>
    <s v="Vaishnavi G"/>
    <s v="Shoeb Ahmed"/>
    <s v="Antati Deekshith"/>
    <s v="Merugu Saikiran "/>
    <n v="1"/>
    <s v="C36231027"/>
    <x v="34"/>
    <n v="38377.5"/>
    <n v="13377.5"/>
    <s v="UHG(BCI &amp; SS)"/>
    <n v="6"/>
    <x v="1"/>
    <x v="1"/>
  </r>
  <r>
    <s v="Prathap S"/>
    <s v="Prathap Sagar BL"/>
    <s v="Prathap S"/>
    <s v="Dusa Naveen  "/>
    <n v="1"/>
    <s v="C36231037"/>
    <x v="34"/>
    <n v="38378"/>
    <n v="13378"/>
    <s v="UHG(BCI &amp; SS)"/>
    <n v="5"/>
    <x v="1"/>
    <x v="1"/>
  </r>
  <r>
    <s v="Kanthishree Shenoy"/>
    <s v="Namitha Gowda"/>
    <s v="Prathap Sagar"/>
    <s v="Pagilla Ashwini "/>
    <n v="1"/>
    <s v="C36231000"/>
    <x v="34"/>
    <n v="38377.5"/>
    <n v="13377.5"/>
    <s v="UHG(BCI &amp; SS)"/>
    <n v="6"/>
    <x v="1"/>
    <x v="1"/>
  </r>
  <r>
    <s v="Pradeep S"/>
    <s v="Monisha RR"/>
    <s v="Akshata Nayak Non IT"/>
    <s v="Savan Somaiah T P"/>
    <n v="6"/>
    <s v="C36230893"/>
    <x v="54"/>
    <n v="34375"/>
    <n v="6875"/>
    <s v="HP"/>
    <n v="6"/>
    <x v="0"/>
    <x v="0"/>
  </r>
  <r>
    <s v="Pooja K"/>
    <s v="Prathyusha Mangalampalli"/>
    <s v="Akshata Nayak Non IT"/>
    <s v="Nanthini Ravi"/>
    <n v="2"/>
    <s v="C36230856"/>
    <x v="54"/>
    <n v="17400"/>
    <n v="2400"/>
    <s v="Accenture_BPO"/>
    <n v="5"/>
    <x v="0"/>
    <x v="9"/>
  </r>
  <r>
    <s v="Pradeep S"/>
    <s v="Monisha RR"/>
    <s v="Akshata Nayak Non IT"/>
    <s v="Charles Challiah JS"/>
    <n v="6"/>
    <s v="C36230906"/>
    <x v="54"/>
    <n v="34375"/>
    <n v="6875"/>
    <s v="HP"/>
    <n v="5"/>
    <x v="0"/>
    <x v="0"/>
  </r>
  <r>
    <s v="Vinith M"/>
    <s v="Tamil C"/>
    <s v="Akshata Nayak"/>
    <s v="Pinjari Hussaini "/>
    <n v="4"/>
    <s v="O36230035"/>
    <x v="60"/>
    <n v="123152.71"/>
    <n v="31486.71"/>
    <s v="DXC"/>
    <n v="6"/>
    <x v="1"/>
    <x v="6"/>
  </r>
  <r>
    <s v="Madhuri Ps"/>
    <s v="Menaka Prasad"/>
    <s v="karan lalchandani"/>
    <s v="MANJUNATHA J"/>
    <n v="2"/>
    <s v="C36231160"/>
    <x v="66"/>
    <n v="104200"/>
    <n v="4200"/>
    <s v="CenturyLink Technologies India Pvt.Ltd"/>
    <n v="5"/>
    <x v="1"/>
    <x v="2"/>
  </r>
  <r>
    <s v="Kamlesh A"/>
    <s v="Menaka Prasad"/>
    <s v="karan lalchandani"/>
    <s v="Pradeep S"/>
    <n v="2"/>
    <s v="C36231663"/>
    <x v="67"/>
    <n v="69467"/>
    <n v="2801"/>
    <s v="CenturyLink Technologies India Pvt.Ltd"/>
    <n v="5"/>
    <x v="1"/>
    <x v="2"/>
  </r>
  <r>
    <s v="Surekha S"/>
    <s v="Monisha RR"/>
    <s v="Akshata Nayak Non IT"/>
    <s v="Sampreetha R"/>
    <n v="6"/>
    <s v="C36230810"/>
    <x v="54"/>
    <n v="34375"/>
    <n v="6875"/>
    <s v="HP"/>
    <n v="5"/>
    <x v="0"/>
    <x v="0"/>
  </r>
  <r>
    <s v="Keerthana S"/>
    <s v="Monisha RR"/>
    <s v="Akshata Nayak Non IT"/>
    <s v="Jyothika R"/>
    <n v="6"/>
    <s v="C36230866"/>
    <x v="54"/>
    <n v="34375"/>
    <n v="6875"/>
    <s v="HP"/>
    <n v="6"/>
    <x v="0"/>
    <x v="0"/>
  </r>
  <r>
    <s v="Keerthana S"/>
    <s v="Monisha RR"/>
    <s v="Akshata Nayak Non IT"/>
    <s v="Jessica J"/>
    <n v="6"/>
    <s v="C36230871"/>
    <x v="54"/>
    <n v="34375"/>
    <n v="6875"/>
    <s v="HP"/>
    <n v="6"/>
    <x v="0"/>
    <x v="0"/>
  </r>
  <r>
    <s v="Surekha S"/>
    <s v="Monisha RR"/>
    <s v="Akshata Nayak Non IT"/>
    <s v="Yamini Madan"/>
    <n v="6"/>
    <s v="C36230847"/>
    <x v="54"/>
    <n v="34375"/>
    <n v="6875"/>
    <s v="HP"/>
    <n v="5"/>
    <x v="0"/>
    <x v="0"/>
  </r>
  <r>
    <s v="Vaishnavi G"/>
    <s v="Shoeb Ahmed"/>
    <s v="Antati Deekshith"/>
    <s v="Pandiri Sripriya"/>
    <n v="1"/>
    <s v="C36231028"/>
    <x v="34"/>
    <n v="38377.5"/>
    <n v="13377.5"/>
    <s v="UHG(BCI &amp; SS)"/>
    <n v="6"/>
    <x v="1"/>
    <x v="1"/>
  </r>
  <r>
    <s v="Keerthana S"/>
    <s v="Monisha RR"/>
    <s v="Akshata Nayak Non IT"/>
    <s v="Daffini.M"/>
    <n v="6"/>
    <s v="C36230867"/>
    <x v="54"/>
    <n v="34375"/>
    <n v="6875"/>
    <s v="HP"/>
    <n v="5"/>
    <x v="0"/>
    <x v="0"/>
  </r>
  <r>
    <s v="Jyothsna Y"/>
    <s v="Deekshith A"/>
    <s v="Antati Deekshith"/>
    <s v="Neha Amreen"/>
    <n v="1"/>
    <s v="C36231029"/>
    <x v="34"/>
    <n v="38377.5"/>
    <n v="13377.5"/>
    <s v="UHG(BCI &amp; SS)"/>
    <n v="6"/>
    <x v="1"/>
    <x v="1"/>
  </r>
  <r>
    <s v="Jyothsna Y"/>
    <s v="Deekshith A"/>
    <s v="Antati Deekshith"/>
    <s v=" Kuruva Prasanna"/>
    <n v="1"/>
    <s v="C36231030"/>
    <x v="34"/>
    <n v="38377.5"/>
    <n v="13377.5"/>
    <s v="UHG(BCI &amp; SS)"/>
    <n v="6"/>
    <x v="1"/>
    <x v="1"/>
  </r>
  <r>
    <s v="Sachin K"/>
    <s v="Prathyusha Mangalampalli"/>
    <s v="Akshata Nayak Non IT"/>
    <s v="Kalyan Ch"/>
    <n v="2"/>
    <s v="C36230931"/>
    <x v="53"/>
    <n v="32500"/>
    <n v="7500"/>
    <s v="Accenture-voice"/>
    <n v="6"/>
    <x v="0"/>
    <x v="9"/>
  </r>
  <r>
    <s v="Prateek A"/>
    <s v="Mehr Hashim D"/>
    <s v="Mehr Hashim"/>
    <s v="Sanjana  Kv"/>
    <n v="2"/>
    <s v="C36230843"/>
    <x v="68"/>
    <n v="115000"/>
    <n v="48334"/>
    <s v="SONY Software Development Centre"/>
    <n v="5"/>
    <x v="5"/>
    <x v="10"/>
  </r>
  <r>
    <s v="Mehraj N"/>
    <s v="Prathyusha Mangalampalli"/>
    <s v="Akshata Nayak Non IT"/>
    <s v="S M Ashraf "/>
    <n v="2"/>
    <s v="C36230836"/>
    <x v="60"/>
    <n v="28750"/>
    <n v="3750"/>
    <s v="Accenture_BPO"/>
    <n v="6"/>
    <x v="0"/>
    <x v="9"/>
  </r>
  <r>
    <s v="Mehraj N"/>
    <s v="Prathyusha Mangalampalli"/>
    <s v="Akshata Nayak Non IT"/>
    <s v="K  Sindhuja"/>
    <n v="2"/>
    <s v="C36230835"/>
    <x v="59"/>
    <n v="28750"/>
    <n v="3750"/>
    <s v="Accenture-voice"/>
    <n v="6"/>
    <x v="0"/>
    <x v="9"/>
  </r>
  <r>
    <s v="shweta kamathgi"/>
    <s v="Dummy Record Lead"/>
    <s v="Menaka Prasad"/>
    <s v="Gangaraju Upendra "/>
    <n v="2"/>
    <s v="C36230831"/>
    <x v="60"/>
    <n v="115584"/>
    <n v="30584"/>
    <s v="IBM -Mercedes"/>
    <n v="6"/>
    <x v="1"/>
    <x v="7"/>
  </r>
  <r>
    <s v="Sai Manish"/>
    <s v="Pradeep P"/>
    <s v="Akshata Nayak Non IT"/>
    <s v="Bathala Lavanya "/>
    <n v="1"/>
    <s v="C36231001"/>
    <x v="34"/>
    <n v="38377.5"/>
    <n v="13377.5"/>
    <s v="UHG(BCI &amp; SS)"/>
    <n v="6"/>
    <x v="1"/>
    <x v="1"/>
  </r>
  <r>
    <s v="Sajo Joseph"/>
    <s v="Priyakantha K"/>
    <s v="Prathap Sagar"/>
    <s v="Kongkham  Deepak Singh"/>
    <n v="7"/>
    <s v="C36230884"/>
    <x v="58"/>
    <n v="51926.05"/>
    <n v="2236.0500000000002"/>
    <s v="ZTE_payroll"/>
    <n v="5"/>
    <x v="2"/>
    <x v="3"/>
  </r>
  <r>
    <s v="Gouri Priya"/>
    <s v="Pradeep P"/>
    <s v="Akshata Nayak Non IT"/>
    <s v="Dasari Shireesha"/>
    <n v="1"/>
    <s v="C36231052"/>
    <x v="34"/>
    <n v="38377.5"/>
    <n v="13377.5"/>
    <s v="UHG(BCI &amp; SS)"/>
    <n v="6"/>
    <x v="1"/>
    <x v="1"/>
  </r>
  <r>
    <s v="Gouri Priya"/>
    <s v="Pradeep P"/>
    <s v="Akshata Nayak Non IT"/>
    <s v="Sethu Yamini"/>
    <n v="1"/>
    <s v="C36231053"/>
    <x v="34"/>
    <n v="0"/>
    <n v="-25000"/>
    <s v="UHG(BCI &amp; SS)"/>
    <n v="6"/>
    <x v="1"/>
    <x v="1"/>
  </r>
  <r>
    <s v="Harshitha S"/>
    <s v="Tamil C"/>
    <s v="Akshata Nayak"/>
    <s v="Rakshanda  Rathore"/>
    <n v="2"/>
    <s v="C36240302"/>
    <x v="69"/>
    <n v="110361"/>
    <n v="10361"/>
    <s v="FLUENCE ENERGY - PAYROLL"/>
    <n v="5"/>
    <x v="1"/>
    <x v="13"/>
  </r>
  <r>
    <s v="Sireesha K"/>
    <s v="Prathyusha Mangalampalli"/>
    <s v="Akshata Nayak Non IT"/>
    <s v="Sowmiya  Vijayan"/>
    <n v="2"/>
    <s v="C36230940"/>
    <x v="70"/>
    <n v="28750"/>
    <n v="3750"/>
    <s v="Accenture_BPO"/>
    <n v="5"/>
    <x v="0"/>
    <x v="9"/>
  </r>
  <r>
    <s v="Sowmya P"/>
    <s v="Prathyusha Mangalampalli"/>
    <s v="Akshata Nayak Non IT"/>
    <s v="Mohammed  Zafar "/>
    <n v="2"/>
    <s v="C36230958"/>
    <x v="64"/>
    <n v="48000"/>
    <n v="8000"/>
    <s v="Accenture-voice"/>
    <n v="6"/>
    <x v="0"/>
    <x v="9"/>
  </r>
  <r>
    <s v="Priya b"/>
    <s v="Prathyusha Mangalampalli"/>
    <s v="Akshata Nayak Non IT"/>
    <s v="Devika Vasantha Shetty"/>
    <n v="2"/>
    <s v="C36230874"/>
    <x v="68"/>
    <n v="38870"/>
    <n v="5070"/>
    <s v="Accenture_BPO"/>
    <n v="5"/>
    <x v="0"/>
    <x v="9"/>
  </r>
  <r>
    <s v="Mehraj N"/>
    <s v="Prathyusha Mangalampalli"/>
    <s v="Akshata Nayak Non IT"/>
    <s v="Aswathy M"/>
    <n v="2"/>
    <s v="C36230897"/>
    <x v="53"/>
    <n v="48000"/>
    <n v="8000"/>
    <s v="Accenture-voice"/>
    <n v="6"/>
    <x v="0"/>
    <x v="9"/>
  </r>
  <r>
    <s v="Priya b"/>
    <s v="Prathyusha Mangalampalli"/>
    <s v="Akshata Nayak Non IT"/>
    <s v="S Jagadambika "/>
    <n v="2"/>
    <s v="C36230955"/>
    <x v="64"/>
    <n v="48000"/>
    <n v="8000"/>
    <s v="Accenture-voice"/>
    <n v="6"/>
    <x v="0"/>
    <x v="9"/>
  </r>
  <r>
    <s v="Karthik Venkatesh"/>
    <s v="Priyakantha K"/>
    <s v="Prathap Sagar"/>
    <s v="Hina Fayaz "/>
    <n v="2"/>
    <s v="C36230898"/>
    <x v="53"/>
    <n v="30000"/>
    <n v="5000"/>
    <s v="Accenture_IDB"/>
    <n v="6"/>
    <x v="2"/>
    <x v="3"/>
  </r>
  <r>
    <s v="Vaishnavi G"/>
    <s v="Shoeb Ahmed"/>
    <s v="Antati Deekshith"/>
    <s v="Chelimala Susmitha "/>
    <n v="1"/>
    <s v="C36231031"/>
    <x v="34"/>
    <n v="38377.5"/>
    <n v="13377.5"/>
    <s v="UHG(BCI &amp; SS)"/>
    <n v="6"/>
    <x v="1"/>
    <x v="1"/>
  </r>
  <r>
    <s v="Karthik C"/>
    <s v="Fazila K"/>
    <s v="Prathap Sagar"/>
    <s v="Kunkatla Srinivas "/>
    <n v="2"/>
    <s v="C36230864"/>
    <x v="58"/>
    <n v="144900"/>
    <n v="32400"/>
    <s v="Infosys"/>
    <n v="6"/>
    <x v="2"/>
    <x v="3"/>
  </r>
  <r>
    <s v="Gouri Priya"/>
    <s v="Pradeep P"/>
    <s v="Akshata Nayak Non IT"/>
    <s v="Aryan Ray"/>
    <n v="1"/>
    <s v="C36230854"/>
    <x v="54"/>
    <n v="42483"/>
    <n v="7483"/>
    <s v="UHG"/>
    <n v="6"/>
    <x v="0"/>
    <x v="1"/>
  </r>
  <r>
    <s v="Kamlesh A"/>
    <s v="Menaka Prasad"/>
    <s v="karan lalchandani"/>
    <s v="Bheema Anand Kiran"/>
    <n v="2"/>
    <s v="C36231148"/>
    <x v="66"/>
    <n v="121567"/>
    <n v="4901"/>
    <s v="CenturyLink Technologies India Pvt.Ltd"/>
    <n v="5"/>
    <x v="1"/>
    <x v="2"/>
  </r>
  <r>
    <s v="Gouri Priya"/>
    <s v="Pradeep P"/>
    <s v="Akshata Nayak Non IT"/>
    <s v="Gaddam Sony"/>
    <n v="1"/>
    <s v="C36231054"/>
    <x v="34"/>
    <n v="38377.5"/>
    <n v="13377.5"/>
    <s v="UHG(BCI &amp; SS)"/>
    <n v="6"/>
    <x v="1"/>
    <x v="1"/>
  </r>
  <r>
    <s v="Sireesha K"/>
    <s v="Prathyusha Mangalampalli"/>
    <s v="Akshata Nayak Non IT"/>
    <s v="Pakkiri Venkata  Pavani "/>
    <n v="1"/>
    <s v="C36231142"/>
    <x v="34"/>
    <n v="38377.5"/>
    <n v="13377.5"/>
    <s v="UHG(BCI &amp; SS)"/>
    <n v="6"/>
    <x v="1"/>
    <x v="1"/>
  </r>
  <r>
    <s v="Gopal V"/>
    <s v="Tamil C"/>
    <s v="Akshata Nayak"/>
    <s v="Vivek Kumar "/>
    <n v="4"/>
    <s v="O36230036"/>
    <x v="58"/>
    <n v="266009.84999999998"/>
    <n v="32676.85"/>
    <s v="DXC"/>
    <n v="6"/>
    <x v="1"/>
    <x v="6"/>
  </r>
  <r>
    <s v="Sireesha K"/>
    <s v="Prathyusha Mangalampalli"/>
    <s v="Akshata Nayak Non IT"/>
    <s v="Gonepoodi Nagaraja Kalyani"/>
    <n v="1"/>
    <s v="C36231143"/>
    <x v="34"/>
    <n v="38378"/>
    <n v="13378"/>
    <s v="UHG(BCI &amp; SS)"/>
    <n v="6"/>
    <x v="1"/>
    <x v="1"/>
  </r>
  <r>
    <s v="Sai Vineeth"/>
    <s v="Pradeep P"/>
    <s v="Akshata Nayak Non IT"/>
    <s v="Konda Rambabu"/>
    <n v="1"/>
    <s v="C36231063"/>
    <x v="34"/>
    <n v="0"/>
    <n v="-25000"/>
    <s v="UHG(BCI &amp; SS)"/>
    <n v="6"/>
    <x v="1"/>
    <x v="1"/>
  </r>
  <r>
    <s v="Karthik V"/>
    <s v="Fazila K"/>
    <s v="Prathap Sagar"/>
    <s v="Sukhvir Singh"/>
    <n v="2"/>
    <s v="C36230881"/>
    <x v="7"/>
    <n v="203700"/>
    <n v="16200"/>
    <s v="Infosys"/>
    <n v="6"/>
    <x v="2"/>
    <x v="3"/>
  </r>
  <r>
    <s v="santhosh B"/>
    <s v="Tara VR"/>
    <s v="Prathap Sagar"/>
    <s v="Joshi Biraju Arvindbhai"/>
    <n v="7"/>
    <s v="C36231107"/>
    <x v="71"/>
    <n v="75281.8"/>
    <n v="3241.8"/>
    <s v="ZTE_payroll"/>
    <n v="5"/>
    <x v="2"/>
    <x v="3"/>
  </r>
  <r>
    <s v="Sharad Kiran"/>
    <s v="Prathyusha Mangalampalli"/>
    <s v="Akshata Nayak Non IT"/>
    <s v="Yashraj Arvind More"/>
    <n v="2"/>
    <s v="C36231153"/>
    <x v="71"/>
    <n v="46560"/>
    <n v="7760"/>
    <s v="Accenture-voice"/>
    <n v="6"/>
    <x v="0"/>
    <x v="9"/>
  </r>
  <r>
    <s v="Gouri Priya"/>
    <s v="Pradeep P"/>
    <s v="Akshata Nayak Non IT"/>
    <s v="Manne Madhu "/>
    <n v="1"/>
    <s v="C36231104"/>
    <x v="34"/>
    <n v="38377.5"/>
    <n v="13377.5"/>
    <s v="UHG(BCI &amp; SS)"/>
    <n v="6"/>
    <x v="1"/>
    <x v="1"/>
  </r>
  <r>
    <s v="Chethan K"/>
    <s v="Rashmi N"/>
    <s v="Abhishek S"/>
    <s v="M.Sowmya "/>
    <n v="2"/>
    <s v="C36230845"/>
    <x v="60"/>
    <n v="126000"/>
    <n v="42667"/>
    <s v="Schneider Electric"/>
    <n v="5"/>
    <x v="5"/>
    <x v="10"/>
  </r>
  <r>
    <s v="Vinod K"/>
    <s v="Akshata Nayak"/>
    <s v="Vinod K"/>
    <s v="Palla Mahesh"/>
    <n v="2"/>
    <s v="C36230947"/>
    <x v="64"/>
    <n v="310464"/>
    <n v="227131"/>
    <s v="Wolters Kluwer-India"/>
    <n v="5"/>
    <x v="5"/>
    <x v="8"/>
  </r>
  <r>
    <s v="Tanzeel Ahmed"/>
    <s v="Mehr Hashim D"/>
    <s v="Mehr Hashim"/>
    <s v="Vikash Kumar"/>
    <n v="2"/>
    <s v="C36230833"/>
    <x v="60"/>
    <n v="268800"/>
    <n v="160467"/>
    <s v="GE Healthcare Global Private Limited."/>
    <n v="6"/>
    <x v="5"/>
    <x v="10"/>
  </r>
  <r>
    <s v="Disha Lakhmani"/>
    <s v="Gourab S"/>
    <s v="Fazila Khanum"/>
    <s v="Munigala Arjun"/>
    <n v="2"/>
    <s v="C36230983"/>
    <x v="72"/>
    <n v="38378"/>
    <n v="13378"/>
    <s v="UHG-Non IT"/>
    <n v="6"/>
    <x v="1"/>
    <x v="1"/>
  </r>
  <r>
    <s v="Madhan Kumar M"/>
    <s v="Vamsi S"/>
    <s v="Mohanish Pillai"/>
    <s v="Shaik Abdul Rahman Al Amoodi "/>
    <n v="1"/>
    <s v="C36230984"/>
    <x v="72"/>
    <n v="38377.5"/>
    <n v="13377.5"/>
    <s v="UHG-Non IT"/>
    <n v="6"/>
    <x v="1"/>
    <x v="1"/>
  </r>
  <r>
    <s v="Karnikasri P"/>
    <s v="Priyakantha K"/>
    <s v="Prathap Sagar"/>
    <s v="Chandra Shekhar Singh Yadav "/>
    <n v="2"/>
    <s v="C36231082"/>
    <x v="73"/>
    <n v="226800"/>
    <n v="76800"/>
    <s v="Koch Industries"/>
    <n v="6"/>
    <x v="2"/>
    <x v="2"/>
  </r>
  <r>
    <s v="Vaishnavi G"/>
    <s v="Shoeb Ahmed"/>
    <s v="Antati Deekshith"/>
    <s v="Shelke Shubhangi "/>
    <n v="1"/>
    <s v="C36231091"/>
    <x v="34"/>
    <n v="38378"/>
    <n v="13378"/>
    <s v="UHG(BCI &amp; SS)"/>
    <n v="6"/>
    <x v="1"/>
    <x v="1"/>
  </r>
  <r>
    <s v="Vaishnavi G"/>
    <s v="Shoeb Ahmed"/>
    <s v="Antati Deekshith"/>
    <s v="Kongari Mahathi "/>
    <n v="1"/>
    <s v="C36231038"/>
    <x v="34"/>
    <n v="38377.5"/>
    <n v="13377.5"/>
    <s v="UHG(BCI &amp; SS)"/>
    <n v="6"/>
    <x v="1"/>
    <x v="1"/>
  </r>
  <r>
    <s v="Sumanth VM"/>
    <s v="Suman S"/>
    <s v="Prathap Sagar"/>
    <s v="Ganesh Rao"/>
    <n v="2"/>
    <s v="C36231098"/>
    <x v="71"/>
    <n v="127569"/>
    <n v="27569"/>
    <s v="Genpact"/>
    <n v="6"/>
    <x v="6"/>
    <x v="2"/>
  </r>
  <r>
    <s v="Sai Vineeth"/>
    <s v="Pradeep P"/>
    <s v="Akshata Nayak Non IT"/>
    <s v="Redagani Sirisha"/>
    <n v="1"/>
    <s v="C36231113"/>
    <x v="34"/>
    <n v="38377.5"/>
    <n v="13377.5"/>
    <s v="UHG(BCI &amp; SS)"/>
    <n v="6"/>
    <x v="1"/>
    <x v="1"/>
  </r>
  <r>
    <s v="Priya b"/>
    <s v="Prathyusha Mangalampalli"/>
    <s v="Akshata Nayak Non IT"/>
    <s v="Anusha  Savant"/>
    <n v="2"/>
    <s v="C36230892"/>
    <x v="70"/>
    <n v="26450"/>
    <n v="3450"/>
    <s v="Accenture_BPO"/>
    <n v="6"/>
    <x v="0"/>
    <x v="9"/>
  </r>
  <r>
    <s v="Gouri Priya"/>
    <s v="Pradeep P"/>
    <s v="Akshata Nayak Non IT"/>
    <s v="Pothula Sravani"/>
    <n v="1"/>
    <s v="C36231426"/>
    <x v="28"/>
    <n v="0"/>
    <n v="-20000"/>
    <s v="UHG(BCI &amp; SS)"/>
    <n v="6"/>
    <x v="1"/>
    <x v="1"/>
  </r>
  <r>
    <s v="Mouli Roy"/>
    <s v="Prathyusha Mangalampalli"/>
    <s v="Akshata Nayak Non IT"/>
    <s v="Akhilesh Dilip domb"/>
    <n v="2"/>
    <s v="C36230932"/>
    <x v="53"/>
    <n v="28750"/>
    <n v="3750"/>
    <s v="Accenture-voice"/>
    <n v="5"/>
    <x v="0"/>
    <x v="9"/>
  </r>
  <r>
    <s v="Gouri Priya"/>
    <s v="Pradeep P"/>
    <s v="Akshata Nayak Non IT"/>
    <s v="Bojjani Sai Prasanna"/>
    <n v="1"/>
    <s v="C36231387"/>
    <x v="28"/>
    <n v="0"/>
    <n v="-20000"/>
    <s v="UHG(BCI &amp; SS)"/>
    <n v="6"/>
    <x v="1"/>
    <x v="1"/>
  </r>
  <r>
    <s v="Sai Vineeth"/>
    <s v="Pradeep P"/>
    <s v="Akshata Nayak Non IT"/>
    <s v="Kethavath Akanksha Rathod "/>
    <n v="1"/>
    <s v="C36231411"/>
    <x v="28"/>
    <n v="32130"/>
    <n v="12130"/>
    <s v="UHG(BCI &amp; SS)"/>
    <n v="6"/>
    <x v="1"/>
    <x v="1"/>
  </r>
  <r>
    <s v="Gouri Priya"/>
    <s v="Pradeep P"/>
    <s v="Akshata Nayak Non IT"/>
    <s v="Gunji Venu Gopal "/>
    <n v="1"/>
    <s v="C36231491"/>
    <x v="28"/>
    <n v="0"/>
    <n v="-20000"/>
    <s v="UHG(BCI &amp; SS)"/>
    <n v="6"/>
    <x v="1"/>
    <x v="1"/>
  </r>
  <r>
    <s v="Sai Manish"/>
    <s v="Pradeep P"/>
    <s v="Akshata Nayak Non IT"/>
    <s v="ADAMA SUSHMITHA"/>
    <n v="1"/>
    <s v="C36231060"/>
    <x v="34"/>
    <n v="0"/>
    <n v="-25000"/>
    <s v="UHG(BCI &amp; SS)"/>
    <n v="6"/>
    <x v="1"/>
    <x v="1"/>
  </r>
  <r>
    <s v="Madhumita Sinha"/>
    <s v="Santhosh G"/>
    <s v="karan lalchandani"/>
    <s v=" Mohit Kumar "/>
    <n v="2"/>
    <s v="C36230948"/>
    <x v="72"/>
    <n v="156492"/>
    <n v="89825.33"/>
    <s v="Mercedes benz"/>
    <n v="5"/>
    <x v="6"/>
    <x v="14"/>
  </r>
  <r>
    <s v="Gouri Priya"/>
    <s v="Pradeep P"/>
    <s v="Akshata Nayak Non IT"/>
    <s v="Thallapally Harish "/>
    <n v="1"/>
    <s v="C36231055"/>
    <x v="34"/>
    <n v="38377.5"/>
    <n v="13377.5"/>
    <s v="UHG(BCI &amp; SS)"/>
    <n v="6"/>
    <x v="1"/>
    <x v="1"/>
  </r>
  <r>
    <s v="Pradeep S"/>
    <s v="Monisha RR"/>
    <s v="Akshata Nayak Non IT"/>
    <s v="Syeda Zainab Muskan"/>
    <n v="6"/>
    <s v="C36230882"/>
    <x v="7"/>
    <n v="34375"/>
    <n v="6875"/>
    <s v="HP"/>
    <n v="6"/>
    <x v="0"/>
    <x v="0"/>
  </r>
  <r>
    <s v="Bindushree R"/>
    <s v="Prathyusha Mangalampalli"/>
    <s v="Akshata Nayak Non IT"/>
    <s v="Mythily D"/>
    <n v="2"/>
    <s v="C36230911"/>
    <x v="74"/>
    <n v="17400"/>
    <n v="2400"/>
    <s v="Accenture_BPO"/>
    <n v="6"/>
    <x v="0"/>
    <x v="9"/>
  </r>
  <r>
    <s v="Sireesha K"/>
    <s v="Prathyusha Mangalampalli"/>
    <s v="Akshata Nayak Non IT"/>
    <s v="Kaviya Prabha"/>
    <n v="2"/>
    <s v="C36230927"/>
    <x v="74"/>
    <n v="17400"/>
    <n v="2400"/>
    <s v="Accenture_BPO"/>
    <n v="6"/>
    <x v="0"/>
    <x v="9"/>
  </r>
  <r>
    <s v="Pradeep S"/>
    <s v="Monisha RR"/>
    <s v="Akshata Nayak Non IT"/>
    <s v="Hifziya Kouser"/>
    <n v="6"/>
    <s v="C36230910"/>
    <x v="7"/>
    <n v="34375"/>
    <n v="6875"/>
    <s v="HP"/>
    <n v="6"/>
    <x v="0"/>
    <x v="0"/>
  </r>
  <r>
    <s v="Pooja K"/>
    <s v="Prathyusha Mangalampalli"/>
    <s v="Akshata Nayak Non IT"/>
    <s v="Thandu Dinesh"/>
    <n v="1"/>
    <s v="C36230990"/>
    <x v="34"/>
    <n v="38378"/>
    <n v="13378"/>
    <s v="UHG(BCI &amp; SS)"/>
    <n v="6"/>
    <x v="1"/>
    <x v="1"/>
  </r>
  <r>
    <s v="Javeed Khan"/>
    <s v="Prathyusha Mangalampalli"/>
    <s v="Akshata Nayak Non IT"/>
    <s v="Devibala sathyanarayan"/>
    <n v="2"/>
    <s v="C36230918"/>
    <x v="74"/>
    <n v="17400"/>
    <n v="2400"/>
    <s v="Accenture_BPO"/>
    <n v="5"/>
    <x v="0"/>
    <x v="9"/>
  </r>
  <r>
    <s v="Sachin K"/>
    <s v="Prathyusha Mangalampalli"/>
    <s v="Akshata Nayak Non IT"/>
    <s v="Aathilakshmi M"/>
    <n v="2"/>
    <s v="C36230905"/>
    <x v="74"/>
    <n v="17400"/>
    <n v="2400"/>
    <s v="Accenture_BPO"/>
    <n v="5"/>
    <x v="0"/>
    <x v="9"/>
  </r>
  <r>
    <s v="Gouri Priya"/>
    <s v="Pradeep P"/>
    <s v="Akshata Nayak Non IT"/>
    <s v="Vadla Arjun Kumar"/>
    <n v="1"/>
    <s v="C36231127"/>
    <x v="72"/>
    <n v="72292.5"/>
    <n v="9792.5"/>
    <s v="UHG(BCI &amp; SS)"/>
    <n v="6"/>
    <x v="1"/>
    <x v="1"/>
  </r>
  <r>
    <s v="Sharad Kiran"/>
    <s v="Prathyusha Mangalampalli"/>
    <s v="Akshata Nayak Non IT"/>
    <s v=" Malkit Singh Manjeet singh Khemani"/>
    <n v="2"/>
    <s v="C36230968"/>
    <x v="53"/>
    <n v="45000"/>
    <n v="7500"/>
    <s v="Accenture-voice"/>
    <n v="6"/>
    <x v="0"/>
    <x v="9"/>
  </r>
  <r>
    <s v="Keerthana S"/>
    <s v="Monisha RR"/>
    <s v="Akshata Nayak Non IT"/>
    <s v="Saifudeen"/>
    <n v="6"/>
    <s v="C36230890"/>
    <x v="7"/>
    <n v="34375"/>
    <n v="6875"/>
    <s v="HP"/>
    <n v="5"/>
    <x v="0"/>
    <x v="0"/>
  </r>
  <r>
    <s v="Monika Vakati"/>
    <s v="Prathyusha Mangalampalli"/>
    <s v="Akshata Nayak Non IT"/>
    <s v="Vishal  Rameshchand Maurya"/>
    <n v="2"/>
    <s v="C36230926"/>
    <x v="75"/>
    <n v="21275"/>
    <n v="2775"/>
    <s v="Accenture_BPO"/>
    <n v="6"/>
    <x v="0"/>
    <x v="9"/>
  </r>
  <r>
    <s v="Sachin K"/>
    <s v="Prathyusha Mangalampalli"/>
    <s v="Akshata Nayak Non IT"/>
    <s v="Nevin Abraham Kiliyilathu"/>
    <n v="2"/>
    <s v="C36230904"/>
    <x v="70"/>
    <n v="21275"/>
    <n v="2775"/>
    <s v="Accenture_BPO"/>
    <n v="6"/>
    <x v="0"/>
    <x v="9"/>
  </r>
  <r>
    <s v="Bilasini Tripathy"/>
    <s v="Suman S"/>
    <s v="Prathap Sagar"/>
    <s v="Sanaf Ilahi  Mulla "/>
    <n v="2"/>
    <s v="C36231130"/>
    <x v="76"/>
    <n v="126000"/>
    <n v="13500"/>
    <s v="Accenture_IDB"/>
    <n v="6"/>
    <x v="2"/>
    <x v="3"/>
  </r>
  <r>
    <s v="Lokesh Reddy"/>
    <s v="Mehr Hashim D"/>
    <s v="Mehr Hashim"/>
    <s v="Sobiya Shaik"/>
    <n v="2"/>
    <s v="C36230876"/>
    <x v="70"/>
    <n v="184000"/>
    <n v="42334"/>
    <s v="NetApp"/>
    <n v="6"/>
    <x v="5"/>
    <x v="17"/>
  </r>
  <r>
    <s v="Keerthana S"/>
    <s v="Monisha RR"/>
    <s v="Akshata Nayak Non IT"/>
    <s v="Smriti Choudhary"/>
    <n v="6"/>
    <s v="C36230891"/>
    <x v="7"/>
    <n v="34375"/>
    <n v="6875"/>
    <s v="HP"/>
    <n v="6"/>
    <x v="0"/>
    <x v="0"/>
  </r>
  <r>
    <s v="Karthik V"/>
    <s v="Fazila K"/>
    <s v="Prathap Sagar"/>
    <s v="Bhagyashri Vijaykumar Sharma"/>
    <n v="2"/>
    <s v="C36230985"/>
    <x v="72"/>
    <n v="115500"/>
    <n v="23834"/>
    <s v="Infosys"/>
    <n v="6"/>
    <x v="2"/>
    <x v="3"/>
  </r>
  <r>
    <s v="Pinky Kumari"/>
    <s v="Mehr Hashim D"/>
    <s v="Mehr Hashim"/>
    <s v="Chandra Sekhar Das"/>
    <n v="2"/>
    <s v="C36230909"/>
    <x v="53"/>
    <n v="205000"/>
    <n v="71667"/>
    <s v="SONY Software Development Centre"/>
    <n v="6"/>
    <x v="5"/>
    <x v="10"/>
  </r>
  <r>
    <s v="Poorvi Kundur"/>
    <s v="Monisha RR"/>
    <s v="Akshata Nayak Non IT"/>
    <s v="Vinay M S"/>
    <n v="2"/>
    <s v="C36230903"/>
    <x v="7"/>
    <n v="51999"/>
    <n v="8666"/>
    <s v="HP"/>
    <n v="6"/>
    <x v="0"/>
    <x v="0"/>
  </r>
  <r>
    <s v="Surabhi K"/>
    <s v="Mehr Hashim D"/>
    <s v="Mehr Hashim"/>
    <s v="Saket Harsh"/>
    <n v="4"/>
    <s v="O36230037"/>
    <x v="70"/>
    <n v="170000"/>
    <n v="45000"/>
    <s v="SONY Software Development Centre"/>
    <n v="6"/>
    <x v="5"/>
    <x v="10"/>
  </r>
  <r>
    <s v="Narendra Kumar Debariki"/>
    <s v="Pradeep P"/>
    <s v="Akshata Nayak Non IT"/>
    <s v="Sirela Sravani"/>
    <n v="1"/>
    <s v="C36231056"/>
    <x v="34"/>
    <n v="0"/>
    <n v="-25000"/>
    <s v="UHG(BCI &amp; SS)"/>
    <n v="6"/>
    <x v="1"/>
    <x v="1"/>
  </r>
  <r>
    <s v="Narendra Kumar Debariki"/>
    <s v="Pradeep P"/>
    <s v="Akshata Nayak Non IT"/>
    <s v="Parepalli Manidhipa "/>
    <n v="1"/>
    <s v="C36231057"/>
    <x v="34"/>
    <n v="0"/>
    <n v="-25000"/>
    <s v="UHG(BCI &amp; SS)"/>
    <n v="6"/>
    <x v="1"/>
    <x v="1"/>
  </r>
  <r>
    <s v="Lakheswari Ranjan"/>
    <s v="Sheetal B"/>
    <s v="Tamil Chelvan"/>
    <s v="Arti Atul Wani"/>
    <n v="1"/>
    <s v="C36230930"/>
    <x v="77"/>
    <n v="67200"/>
    <n v="13034"/>
    <s v="Socgen"/>
    <n v="6"/>
    <x v="6"/>
    <x v="2"/>
  </r>
  <r>
    <s v="Mehraj N"/>
    <s v="Prathyusha Mangalampalli"/>
    <s v="Akshata Nayak Non IT"/>
    <s v="Pradnya Pramod Surwade"/>
    <n v="2"/>
    <s v="C36230916"/>
    <x v="53"/>
    <n v="22847"/>
    <n v="3485"/>
    <s v="Accenture_BPO"/>
    <n v="5"/>
    <x v="0"/>
    <x v="9"/>
  </r>
  <r>
    <s v="Vaishnavi G"/>
    <s v="Shoeb Ahmed"/>
    <s v="Antati Deekshith"/>
    <s v="Kami Reddy Gouthami"/>
    <n v="1"/>
    <s v="C36231039"/>
    <x v="34"/>
    <n v="38377.5"/>
    <n v="13377.5"/>
    <s v="UHG(BCI &amp; SS)"/>
    <n v="6"/>
    <x v="1"/>
    <x v="1"/>
  </r>
  <r>
    <s v="Vaishnavi G"/>
    <s v="Shoeb Ahmed"/>
    <s v="Antati Deekshith"/>
    <s v="Pagilla Vinny"/>
    <n v="1"/>
    <s v="C36231032"/>
    <x v="34"/>
    <n v="0"/>
    <n v="-25000"/>
    <s v="UHG(BCI &amp; SS)"/>
    <n v="6"/>
    <x v="1"/>
    <x v="1"/>
  </r>
  <r>
    <s v="Pooja Bt"/>
    <s v="Anitha C"/>
    <s v="Akshata Nayak Non IT"/>
    <s v="Mallepogu Trideep Sai"/>
    <n v="1"/>
    <s v="C36231040"/>
    <x v="34"/>
    <n v="38377.5"/>
    <n v="13377.5"/>
    <s v="UHG(BCI &amp; SS)"/>
    <n v="6"/>
    <x v="1"/>
    <x v="1"/>
  </r>
  <r>
    <s v="Prathap S"/>
    <s v="Prathap Sagar BL"/>
    <s v="Prathap S"/>
    <s v="Manne Soundharaya "/>
    <n v="1"/>
    <s v="C36231041"/>
    <x v="34"/>
    <n v="38377.5"/>
    <n v="13377.5"/>
    <s v="UHG(BCI &amp; SS)"/>
    <n v="6"/>
    <x v="1"/>
    <x v="1"/>
  </r>
  <r>
    <s v="Prathap S"/>
    <s v="Prathap Sagar BL"/>
    <s v="Prathap S"/>
    <s v="CH Sravya "/>
    <n v="1"/>
    <s v="C36231084"/>
    <x v="34"/>
    <n v="38378"/>
    <n v="13378"/>
    <s v="UHG(BCI &amp; SS)"/>
    <n v="6"/>
    <x v="1"/>
    <x v="1"/>
  </r>
  <r>
    <s v="Sutripti Mitra"/>
    <s v="Vamsi S"/>
    <s v="Mohanish Pillai"/>
    <s v="Sankoju Vinod"/>
    <n v="1"/>
    <s v="C36230986"/>
    <x v="72"/>
    <n v="38378"/>
    <n v="13378"/>
    <s v="UHG-Non IT"/>
    <n v="6"/>
    <x v="1"/>
    <x v="1"/>
  </r>
  <r>
    <s v="Kanthishree Shenoy"/>
    <s v="Namitha Gowda"/>
    <s v="Prathap Sagar"/>
    <s v="Malreddy Jhansi Laxmi"/>
    <n v="1"/>
    <s v="C36231002"/>
    <x v="34"/>
    <n v="38377.5"/>
    <n v="13377.5"/>
    <s v="UHG(BCI &amp; SS)"/>
    <n v="6"/>
    <x v="1"/>
    <x v="1"/>
  </r>
  <r>
    <s v="Sandipta Panigrahi"/>
    <s v="Mehr Hashim D"/>
    <s v="Mehr Hashim"/>
    <s v="Lokesh Prathapaneni"/>
    <n v="2"/>
    <s v="C36230883"/>
    <x v="74"/>
    <n v="352800"/>
    <n v="77800"/>
    <s v="GE Healthcare Global Private Limited."/>
    <n v="6"/>
    <x v="5"/>
    <x v="10"/>
  </r>
  <r>
    <s v="Prathap S"/>
    <s v="Prathap Sagar BL"/>
    <s v="Prathap S"/>
    <s v="SHAIK Mujeeb"/>
    <n v="1"/>
    <s v="C36231081"/>
    <x v="34"/>
    <n v="38377.5"/>
    <n v="13377.5"/>
    <s v="UHG(BCI &amp; SS)"/>
    <n v="6"/>
    <x v="1"/>
    <x v="1"/>
  </r>
  <r>
    <s v="Vinayak Kamath"/>
    <s v="Namitha Gowda"/>
    <s v="Prathap Sagar"/>
    <s v="Swarna Sai Datta Kumar"/>
    <n v="1"/>
    <s v="C36231017"/>
    <x v="34"/>
    <n v="38377.5"/>
    <n v="13377.5"/>
    <s v="UHG(BCI &amp; SS)"/>
    <n v="6"/>
    <x v="1"/>
    <x v="1"/>
  </r>
  <r>
    <s v="Prathap S"/>
    <s v="Prathap Sagar BL"/>
    <s v="Prathap S"/>
    <s v="Dodda Hari Krishna "/>
    <n v="1"/>
    <s v="C36231077"/>
    <x v="34"/>
    <n v="0"/>
    <n v="-25000"/>
    <s v="UHG(BCI &amp; SS)"/>
    <n v="6"/>
    <x v="1"/>
    <x v="1"/>
  </r>
  <r>
    <s v="Hemanth T"/>
    <s v="Mehr Hashim D"/>
    <s v="Mehr Hashim"/>
    <s v="Praveen  K"/>
    <n v="2"/>
    <s v="C36230877"/>
    <x v="70"/>
    <n v="302400"/>
    <n v="127400"/>
    <s v="GE Healthcare Global Private Limited."/>
    <n v="5"/>
    <x v="5"/>
    <x v="10"/>
  </r>
  <r>
    <s v="Alyson Edward"/>
    <s v="Namitha Gowda"/>
    <s v="Prathap Sagar"/>
    <s v="Badavath Ujwala"/>
    <n v="1"/>
    <s v="C36231018"/>
    <x v="34"/>
    <n v="0"/>
    <n v="-25000"/>
    <s v="UHG(BCI &amp; SS)"/>
    <n v="6"/>
    <x v="1"/>
    <x v="1"/>
  </r>
  <r>
    <s v="Preethi Hindu"/>
    <s v="Sabreena Jabeen"/>
    <s v="Sabreena Jabeen"/>
    <s v="Krithika "/>
    <n v="2"/>
    <s v="C36230936"/>
    <x v="7"/>
    <n v="140280"/>
    <n v="56947"/>
    <s v="Mercedes benz"/>
    <n v="6"/>
    <x v="6"/>
    <x v="14"/>
  </r>
  <r>
    <s v="Mehraj N"/>
    <s v="Prathyusha Mangalampalli"/>
    <s v="Akshata Nayak Non IT"/>
    <s v="Anish"/>
    <n v="2"/>
    <s v="C36230899"/>
    <x v="53"/>
    <n v="48000"/>
    <n v="8000"/>
    <s v="Accenture-voice"/>
    <n v="6"/>
    <x v="0"/>
    <x v="9"/>
  </r>
  <r>
    <s v="Azeez Khan"/>
    <s v="Sunil KK"/>
    <s v="Sunil Kumar HN "/>
    <s v="K B Sudharshan"/>
    <n v="7"/>
    <s v="C36230939"/>
    <x v="53"/>
    <n v="98010"/>
    <n v="4220"/>
    <s v="ZTE_payroll"/>
    <n v="5"/>
    <x v="2"/>
    <x v="3"/>
  </r>
  <r>
    <s v="Bindushree R"/>
    <s v="Prathyusha Mangalampalli"/>
    <s v="Akshata Nayak Non IT"/>
    <s v="Ashwin Ashokan"/>
    <n v="2"/>
    <s v="C36230900"/>
    <x v="53"/>
    <n v="21275"/>
    <n v="2775"/>
    <s v="Accenture_BPO"/>
    <n v="5"/>
    <x v="0"/>
    <x v="9"/>
  </r>
  <r>
    <s v="Usha St"/>
    <s v="Eugene kurian"/>
    <s v="Anmol Katoch"/>
    <s v="Gummadiraju Swetha"/>
    <n v="2"/>
    <s v="C36230991"/>
    <x v="72"/>
    <n v="136500"/>
    <n v="6500"/>
    <s v="Accenture_IDB"/>
    <n v="5"/>
    <x v="2"/>
    <x v="3"/>
  </r>
  <r>
    <s v="Prateek A"/>
    <s v="Mehr Hashim D"/>
    <s v="Mehr Hashim"/>
    <s v="Tejas  M"/>
    <n v="2"/>
    <s v="C36230895"/>
    <x v="53"/>
    <n v="128325"/>
    <n v="61659"/>
    <s v="Flipkart"/>
    <n v="5"/>
    <x v="5"/>
    <x v="10"/>
  </r>
  <r>
    <s v="Sharad Kiran"/>
    <s v="Prathyusha Mangalampalli"/>
    <s v="Akshata Nayak Non IT"/>
    <s v=" Vinay Rajesh Kahar"/>
    <n v="2"/>
    <s v="C36231157"/>
    <x v="78"/>
    <n v="34500"/>
    <n v="4500"/>
    <s v="Accenture-voice"/>
    <n v="5"/>
    <x v="0"/>
    <x v="9"/>
  </r>
  <r>
    <s v="Gouri Priya"/>
    <s v="Pradeep P"/>
    <s v="Akshata Nayak Non IT"/>
    <s v="Immadi Sai Krishna"/>
    <n v="1"/>
    <s v="C36231112"/>
    <x v="79"/>
    <n v="38377.5"/>
    <n v="13377.5"/>
    <s v="UHG(BCI &amp; SS)"/>
    <n v="6"/>
    <x v="1"/>
    <x v="1"/>
  </r>
  <r>
    <s v="Gouri Priya"/>
    <s v="Pradeep P"/>
    <s v="Akshata Nayak Non IT"/>
    <s v="Durwesh Mohd Khaleel"/>
    <n v="1"/>
    <s v="C36231007"/>
    <x v="34"/>
    <n v="0"/>
    <n v="-25000"/>
    <s v="UHG(BCI &amp; SS)"/>
    <n v="6"/>
    <x v="1"/>
    <x v="1"/>
  </r>
  <r>
    <s v="Nikhil  vp"/>
    <s v="Sabreena Jabeen"/>
    <s v="Sabreena Jabeen"/>
    <s v="Maddirala Dinesh Narayana Reddy"/>
    <n v="2"/>
    <s v="C36230894"/>
    <x v="7"/>
    <n v="140280"/>
    <n v="23614"/>
    <s v="Mercedes benz"/>
    <n v="6"/>
    <x v="6"/>
    <x v="14"/>
  </r>
  <r>
    <s v="Gouri Priya"/>
    <s v="Pradeep P"/>
    <s v="Akshata Nayak Non IT"/>
    <s v=" Thaniru Venkat Ramana"/>
    <n v="1"/>
    <s v="C36231008"/>
    <x v="34"/>
    <n v="38378"/>
    <n v="13378"/>
    <s v="UHG(BCI &amp; SS)"/>
    <n v="6"/>
    <x v="1"/>
    <x v="1"/>
  </r>
  <r>
    <s v="Surekha S"/>
    <s v="Monisha RR"/>
    <s v="Akshata Nayak Non IT"/>
    <s v="Gefrin .A"/>
    <n v="6"/>
    <s v="C36230917"/>
    <x v="7"/>
    <n v="30000"/>
    <n v="5000"/>
    <s v="HP"/>
    <n v="5"/>
    <x v="0"/>
    <x v="0"/>
  </r>
  <r>
    <s v="Gopinath S N"/>
    <s v="Mehr Hashim D"/>
    <s v="Mehr Hashim"/>
    <s v="Santhosh Kumar VS"/>
    <n v="2"/>
    <s v="C36230943"/>
    <x v="80"/>
    <n v="200000"/>
    <n v="83334"/>
    <s v="SONY Software Development Centre"/>
    <n v="5"/>
    <x v="5"/>
    <x v="10"/>
  </r>
  <r>
    <s v="Vinayak Kamath"/>
    <s v="Namitha Gowda"/>
    <s v="Prathap Sagar"/>
    <s v="  Boddu Mounika "/>
    <n v="1"/>
    <s v="C36231019"/>
    <x v="34"/>
    <n v="38377.5"/>
    <n v="13377.5"/>
    <s v="UHG(BCI &amp; SS)"/>
    <n v="6"/>
    <x v="1"/>
    <x v="1"/>
  </r>
  <r>
    <s v="Javeed Khan"/>
    <s v="Prathyusha Mangalampalli"/>
    <s v="Akshata Nayak Non IT"/>
    <s v="Priyanka Tamrakar"/>
    <n v="1"/>
    <s v="C36231003"/>
    <x v="34"/>
    <n v="38377.5"/>
    <n v="13377.5"/>
    <s v="UHG(BCI &amp; SS)"/>
    <n v="6"/>
    <x v="1"/>
    <x v="1"/>
  </r>
  <r>
    <s v="Monika Vakati"/>
    <s v="Prathyusha Mangalampalli"/>
    <s v="Akshata Nayak Non IT"/>
    <s v="Sana Babu Shaikh"/>
    <n v="2"/>
    <s v="C36230945"/>
    <x v="53"/>
    <n v="48000"/>
    <n v="8000"/>
    <s v="Accenture-voice"/>
    <n v="5"/>
    <x v="0"/>
    <x v="9"/>
  </r>
  <r>
    <s v="Javeed Khan"/>
    <s v="Prathyusha Mangalampalli"/>
    <s v="Akshata Nayak Non IT"/>
    <s v="Saloni  Pramod Palande"/>
    <n v="2"/>
    <s v="C36230982"/>
    <x v="53"/>
    <n v="46800"/>
    <n v="7800"/>
    <s v="Accenture-voice"/>
    <n v="6"/>
    <x v="0"/>
    <x v="9"/>
  </r>
  <r>
    <s v="Mehraj N"/>
    <s v="Prathyusha Mangalampalli"/>
    <s v="Akshata Nayak Non IT"/>
    <s v="Nidhi Amar Shringarpure"/>
    <n v="2"/>
    <s v="C36230956"/>
    <x v="64"/>
    <n v="22847"/>
    <n v="3485"/>
    <s v="Accenture-voice"/>
    <n v="5"/>
    <x v="0"/>
    <x v="9"/>
  </r>
  <r>
    <s v="Gouri Priya"/>
    <s v="Pradeep P"/>
    <s v="Akshata Nayak Non IT"/>
    <s v="Singa Pradeep"/>
    <n v="1"/>
    <s v="C36231009"/>
    <x v="34"/>
    <n v="38377.5"/>
    <n v="13377.5"/>
    <s v="UHG(BCI &amp; SS)"/>
    <n v="6"/>
    <x v="1"/>
    <x v="1"/>
  </r>
  <r>
    <s v="Gouri Priya"/>
    <s v="Pradeep P"/>
    <s v="Akshata Nayak Non IT"/>
    <s v="Sneha Thakur"/>
    <n v="1"/>
    <s v="C36231412"/>
    <x v="28"/>
    <n v="0"/>
    <n v="-20000"/>
    <s v="UHG(BCI &amp; SS)"/>
    <n v="6"/>
    <x v="1"/>
    <x v="1"/>
  </r>
  <r>
    <s v="Gouri Priya"/>
    <s v="Pradeep P"/>
    <s v="Akshata Nayak Non IT"/>
    <s v="Budhuru Vinod Kumar reddy"/>
    <n v="1"/>
    <s v="C36231549"/>
    <x v="28"/>
    <n v="32130"/>
    <n v="12130"/>
    <s v="UHG(BCI &amp; SS)"/>
    <n v="6"/>
    <x v="1"/>
    <x v="1"/>
  </r>
  <r>
    <s v="Karthik V"/>
    <s v="Fazila K"/>
    <s v="Prathap Sagar"/>
    <s v="Annapure reddy Gopireddy"/>
    <n v="2"/>
    <s v="C36230957"/>
    <x v="64"/>
    <n v="178500"/>
    <n v="36834"/>
    <s v="Infosys"/>
    <n v="6"/>
    <x v="2"/>
    <x v="3"/>
  </r>
  <r>
    <s v="Vaishnavi G"/>
    <s v="Shoeb Ahmed"/>
    <s v="Antati Deekshith"/>
    <s v="Sandeep Kumar"/>
    <n v="2"/>
    <s v="C36230901"/>
    <x v="75"/>
    <n v="283000"/>
    <n v="24667"/>
    <s v="Schneider Electric"/>
    <n v="6"/>
    <x v="5"/>
    <x v="10"/>
  </r>
  <r>
    <s v="Anitha C"/>
    <s v="Jawad Ulla Khan"/>
    <s v="Jawad Ulla Khan"/>
    <s v="Sumanta Bhattacharya"/>
    <n v="1"/>
    <s v="C36231108"/>
    <x v="71"/>
    <n v="84000"/>
    <n v="25667"/>
    <s v="Soc gen Ops "/>
    <n v="5"/>
    <x v="4"/>
    <x v="2"/>
  </r>
  <r>
    <s v="Suman N"/>
    <s v="Prathap Sagar BL"/>
    <s v="Suman N"/>
    <s v=" Priyanka Nath "/>
    <n v="2"/>
    <s v="C36230949"/>
    <x v="64"/>
    <n v="75600"/>
    <n v="29767"/>
    <s v="Koch Industries"/>
    <n v="6"/>
    <x v="2"/>
    <x v="2"/>
  </r>
  <r>
    <s v="Gouri Priya"/>
    <s v="Pradeep P"/>
    <s v="Akshata Nayak Non IT"/>
    <s v="Shanu Baba"/>
    <n v="1"/>
    <s v="C36231420"/>
    <x v="28"/>
    <n v="32130"/>
    <n v="12130"/>
    <s v="UHG(BCI &amp; SS)"/>
    <n v="6"/>
    <x v="1"/>
    <x v="1"/>
  </r>
  <r>
    <s v="Sai Manish"/>
    <s v="Pradeep P"/>
    <s v="Akshata Nayak Non IT"/>
    <s v="MB Jyoshna "/>
    <n v="1"/>
    <s v="C36231042"/>
    <x v="34"/>
    <n v="38377.5"/>
    <n v="13377.5"/>
    <s v="UHG(BCI &amp; SS)"/>
    <n v="6"/>
    <x v="1"/>
    <x v="1"/>
  </r>
  <r>
    <s v="Siba Prasad"/>
    <s v="Kamlesh A"/>
    <s v="Menaka Prasad"/>
    <s v="L Ashik Ali"/>
    <n v="2"/>
    <s v="C36230929"/>
    <x v="81"/>
    <n v="67200"/>
    <n v="8867"/>
    <s v="Socgen"/>
    <n v="5"/>
    <x v="6"/>
    <x v="2"/>
  </r>
  <r>
    <s v="Gouri Priya"/>
    <s v="Pradeep P"/>
    <s v="Akshata Nayak Non IT"/>
    <s v="Shah Samee Alvi"/>
    <n v="1"/>
    <s v="C36231413"/>
    <x v="28"/>
    <n v="32130"/>
    <n v="12130"/>
    <s v="UHG(BCI &amp; SS)"/>
    <n v="6"/>
    <x v="1"/>
    <x v="1"/>
  </r>
  <r>
    <s v="Suman N"/>
    <s v="Prathap Sagar BL"/>
    <s v="Suman N"/>
    <s v=" Karthik Prasad "/>
    <n v="2"/>
    <s v="C36230950"/>
    <x v="64"/>
    <n v="67200"/>
    <n v="21367"/>
    <s v="Koch Industries"/>
    <n v="6"/>
    <x v="2"/>
    <x v="2"/>
  </r>
  <r>
    <s v="Gouri Priya"/>
    <s v="Pradeep P"/>
    <s v="Akshata Nayak Non IT"/>
    <s v="Ganagarapu Prem Swaroop"/>
    <n v="1"/>
    <s v="C36231078"/>
    <x v="34"/>
    <n v="0"/>
    <n v="-25000"/>
    <s v="UHG(BCI &amp; SS)"/>
    <n v="6"/>
    <x v="1"/>
    <x v="1"/>
  </r>
  <r>
    <s v="Narendra Kumar Debariki"/>
    <s v="Pradeep P"/>
    <s v="Akshata Nayak Non IT"/>
    <s v="Sindhuja "/>
    <n v="1"/>
    <s v="C36230933"/>
    <x v="53"/>
    <n v="72292.5"/>
    <n v="9792.5"/>
    <s v="UHG(BCI &amp; SS)"/>
    <n v="6"/>
    <x v="1"/>
    <x v="1"/>
  </r>
  <r>
    <s v="Sowmya P"/>
    <s v="Prathyusha Mangalampalli"/>
    <s v="Akshata Nayak Non IT"/>
    <s v="Reena  Rameshchandra  Yadav"/>
    <n v="2"/>
    <s v="C36230938"/>
    <x v="82"/>
    <n v="21275"/>
    <n v="2775"/>
    <s v="Accenture_BPO"/>
    <n v="6"/>
    <x v="0"/>
    <x v="9"/>
  </r>
  <r>
    <s v="Nivetha M"/>
    <s v="Anmol K"/>
    <s v="Gurudutt kh"/>
    <s v=" Rachapalli Nikitha "/>
    <n v="2"/>
    <s v="C36231023"/>
    <x v="72"/>
    <n v="140000"/>
    <n v="6667"/>
    <s v="Accenture_IDB"/>
    <n v="6"/>
    <x v="2"/>
    <x v="3"/>
  </r>
  <r>
    <s v="Shrimai NY"/>
    <s v="Fazila K"/>
    <s v="Prathap Sagar"/>
    <s v="Vaishali Amit Khangar"/>
    <n v="2"/>
    <s v="C36230987"/>
    <x v="72"/>
    <n v="220500"/>
    <n v="28834"/>
    <s v="Infosys"/>
    <n v="5"/>
    <x v="2"/>
    <x v="3"/>
  </r>
  <r>
    <s v="Shiva Prasad"/>
    <s v="Fazila K"/>
    <s v="Prathap Sagar"/>
    <s v="Rameswari Patro"/>
    <n v="2"/>
    <s v="C36231105"/>
    <x v="79"/>
    <n v="203700"/>
    <n v="32866.67"/>
    <s v="Infosys"/>
    <n v="6"/>
    <x v="2"/>
    <x v="3"/>
  </r>
  <r>
    <s v="Sai Manish"/>
    <s v="Pradeep P"/>
    <s v="Akshata Nayak Non IT"/>
    <s v="Dontamsetty Lohith "/>
    <n v="1"/>
    <s v="C36231364"/>
    <x v="28"/>
    <n v="32130"/>
    <n v="12130"/>
    <s v="UHG(BCI &amp; SS)"/>
    <n v="6"/>
    <x v="1"/>
    <x v="1"/>
  </r>
  <r>
    <s v="Sachin K"/>
    <s v="Prathyusha Mangalampalli"/>
    <s v="Akshata Nayak Non IT"/>
    <s v="Saras Sanjay Shinde"/>
    <n v="2"/>
    <s v="C36230934"/>
    <x v="53"/>
    <n v="32500"/>
    <n v="7500"/>
    <s v="Accenture-voice"/>
    <n v="6"/>
    <x v="0"/>
    <x v="9"/>
  </r>
  <r>
    <s v="Manda Ushodaya"/>
    <s v="Fazila K"/>
    <s v="Prathap Sagar"/>
    <s v="Naveen Kumar B"/>
    <n v="2"/>
    <s v="C36230988"/>
    <x v="72"/>
    <n v="168000"/>
    <n v="68000"/>
    <s v="Infosys"/>
    <n v="6"/>
    <x v="2"/>
    <x v="3"/>
  </r>
  <r>
    <s v="Raja Shekhar"/>
    <s v="Prathyusha Mangalampalli"/>
    <s v="Akshata Nayak Non IT"/>
    <s v="Somina  Manikanta Manohar"/>
    <n v="1"/>
    <s v="C36230935"/>
    <x v="53"/>
    <n v="72293"/>
    <n v="9793"/>
    <s v="UHG(BCI &amp; SS)"/>
    <n v="6"/>
    <x v="1"/>
    <x v="1"/>
  </r>
  <r>
    <s v="Usha St"/>
    <s v="Eugene kurian"/>
    <s v="Anmol Katoch"/>
    <s v="Samprita Laxmikatti"/>
    <n v="2"/>
    <s v="C36230937"/>
    <x v="81"/>
    <n v="30000"/>
    <n v="5000"/>
    <s v="Accenture_IDB"/>
    <n v="5"/>
    <x v="2"/>
    <x v="3"/>
  </r>
  <r>
    <s v="Naveen K"/>
    <s v="Mehr Hashim D"/>
    <s v="Mehr Hashim"/>
    <s v="Kishan  T S"/>
    <n v="2"/>
    <s v="C36230951"/>
    <x v="64"/>
    <n v="97850"/>
    <n v="31184"/>
    <s v="SONY Software Development Centre"/>
    <n v="5"/>
    <x v="5"/>
    <x v="10"/>
  </r>
  <r>
    <s v="Gopinath S N"/>
    <s v="Mehr Hashim D"/>
    <s v="Mehr Hashim"/>
    <s v="Ashna Jindal"/>
    <n v="2"/>
    <s v="C36230952"/>
    <x v="64"/>
    <n v="220000"/>
    <n v="45000"/>
    <s v="SONY Software Development Centre"/>
    <n v="5"/>
    <x v="5"/>
    <x v="10"/>
  </r>
  <r>
    <s v="Saravana BA"/>
    <s v="Mehr Hashim D"/>
    <s v="Mehr Hashim"/>
    <s v=" Sumanth Karanam"/>
    <n v="2"/>
    <s v="C36230969"/>
    <x v="83"/>
    <n v="378000"/>
    <n v="111334"/>
    <s v="GE Healthcare Global Private Limited."/>
    <n v="6"/>
    <x v="5"/>
    <x v="10"/>
  </r>
  <r>
    <s v="Sheetal AT"/>
    <s v="Suman S"/>
    <s v="Prathap Sagar"/>
    <s v="Ravi Kumar"/>
    <n v="2"/>
    <s v="C36230989"/>
    <x v="72"/>
    <n v="40000"/>
    <n v="10834"/>
    <s v="Accenture_IDB"/>
    <n v="5"/>
    <x v="2"/>
    <x v="3"/>
  </r>
  <r>
    <s v="Narendra Kumar Debariki"/>
    <s v="Pradeep P"/>
    <s v="Akshata Nayak Non IT"/>
    <s v="Devarampally Chandana "/>
    <n v="1"/>
    <s v="C36231365"/>
    <x v="28"/>
    <n v="32130"/>
    <n v="12130"/>
    <s v="UHG(BCI &amp; SS)"/>
    <n v="6"/>
    <x v="1"/>
    <x v="1"/>
  </r>
  <r>
    <s v="Moin Khan"/>
    <s v="Namitha Gowda"/>
    <s v="Prathap Sagar"/>
    <s v="Muthyala Nikitha "/>
    <n v="1"/>
    <s v="C36230993"/>
    <x v="72"/>
    <n v="38377.5"/>
    <n v="13377.5"/>
    <s v="UHG(BCI &amp; SS)"/>
    <n v="6"/>
    <x v="1"/>
    <x v="1"/>
  </r>
  <r>
    <s v="Anju Salian"/>
    <s v="Namitha Gowda"/>
    <s v="Prathap Sagar"/>
    <s v="Pulimadya Sowjanya"/>
    <n v="1"/>
    <s v="C36231033"/>
    <x v="72"/>
    <n v="38378"/>
    <n v="13378"/>
    <s v="UHG(BCI &amp; SS)"/>
    <n v="6"/>
    <x v="1"/>
    <x v="1"/>
  </r>
  <r>
    <s v="Javeed Khan"/>
    <s v="Prathyusha Mangalampalli"/>
    <s v="Akshata Nayak Non IT"/>
    <s v="Shivam Anant Pawar  "/>
    <n v="2"/>
    <s v="C36230953"/>
    <x v="64"/>
    <n v="34500"/>
    <n v="4500"/>
    <s v="Accenture-voice"/>
    <n v="5"/>
    <x v="0"/>
    <x v="9"/>
  </r>
  <r>
    <s v="Sharad Kiran"/>
    <s v="Prathyusha Mangalampalli"/>
    <s v="Akshata Nayak Non IT"/>
    <s v="Hamza Moideen Shaikh"/>
    <n v="2"/>
    <s v="C36231126"/>
    <x v="64"/>
    <n v="46800"/>
    <n v="7800"/>
    <s v="Accenture-voice"/>
    <n v="6"/>
    <x v="0"/>
    <x v="9"/>
  </r>
  <r>
    <s v="Antati Deekshith"/>
    <s v="Raghuramaiah K"/>
    <s v="Antati Deekshith"/>
    <s v="Pavithra  Balu"/>
    <n v="4"/>
    <s v="O36230038"/>
    <x v="77"/>
    <n v="54080"/>
    <n v="12414"/>
    <s v="Manipal Global "/>
    <n v="5"/>
    <x v="5"/>
    <x v="18"/>
  </r>
  <r>
    <s v="Sumanth VM"/>
    <s v="Suman S"/>
    <s v="Prathap Sagar"/>
    <s v="Gajulapalli Bharath Kumar"/>
    <n v="2"/>
    <s v="C36231438"/>
    <x v="84"/>
    <n v="85373.1"/>
    <n v="6207.1"/>
    <s v="Genpact"/>
    <n v="5"/>
    <x v="6"/>
    <x v="2"/>
  </r>
  <r>
    <s v="Priya b"/>
    <s v="Prathyusha Mangalampalli"/>
    <s v="Akshata Nayak Non IT"/>
    <s v="Mahalakshmi N"/>
    <n v="2"/>
    <s v="C36230954"/>
    <x v="64"/>
    <n v="17400"/>
    <n v="2400"/>
    <s v="Accenture_BPO"/>
    <n v="6"/>
    <x v="0"/>
    <x v="9"/>
  </r>
  <r>
    <s v="Mehraj N"/>
    <s v="Prathyusha Mangalampalli"/>
    <s v="Akshata Nayak Non IT"/>
    <s v="Rahul Rajendra Sah"/>
    <n v="2"/>
    <s v="C36230960"/>
    <x v="83"/>
    <n v="34500"/>
    <n v="4500"/>
    <s v="Accenture-voice"/>
    <n v="6"/>
    <x v="0"/>
    <x v="9"/>
  </r>
  <r>
    <s v="Sachin K"/>
    <s v="Prathyusha Mangalampalli"/>
    <s v="Akshata Nayak Non IT"/>
    <s v="Vijin Wilson Perrisseril"/>
    <n v="2"/>
    <s v="C36231095"/>
    <x v="85"/>
    <n v="21850"/>
    <n v="2850"/>
    <s v="Accenture_BPO"/>
    <n v="5"/>
    <x v="0"/>
    <x v="9"/>
  </r>
  <r>
    <s v="Monika Vakati"/>
    <s v="Prathyusha Mangalampalli"/>
    <s v="Akshata Nayak Non IT"/>
    <s v="Anand Arun Wagh "/>
    <n v="2"/>
    <s v="C36231210"/>
    <x v="86"/>
    <n v="34500"/>
    <n v="4500"/>
    <s v="Accenture_BPO"/>
    <n v="5"/>
    <x v="0"/>
    <x v="9"/>
  </r>
  <r>
    <s v="Kamlesh A"/>
    <s v="Menaka Prasad"/>
    <s v="karan lalchandani"/>
    <s v="M Praveen Shai "/>
    <n v="2"/>
    <s v="C36231138"/>
    <x v="64"/>
    <n v="119700"/>
    <n v="57200"/>
    <s v="Socgen"/>
    <n v="6"/>
    <x v="6"/>
    <x v="2"/>
  </r>
  <r>
    <s v="Sharad Kiran"/>
    <s v="Prathyusha Mangalampalli"/>
    <s v="Akshata Nayak Non IT"/>
    <s v="Sneha Bipul Tiwari"/>
    <n v="2"/>
    <s v="C36230972"/>
    <x v="64"/>
    <n v="48000"/>
    <n v="8000"/>
    <s v="Accenture-voice"/>
    <n v="6"/>
    <x v="0"/>
    <x v="9"/>
  </r>
  <r>
    <s v="Ram Praveen B"/>
    <s v="Fazila K"/>
    <s v="Prathap Sagar"/>
    <s v="Vishal Sunil Jagadale"/>
    <n v="2"/>
    <s v="C36231088"/>
    <x v="71"/>
    <n v="107100"/>
    <n v="11267"/>
    <s v="Infosys"/>
    <n v="6"/>
    <x v="2"/>
    <x v="3"/>
  </r>
  <r>
    <s v="Gouri Priya"/>
    <s v="Pradeep P"/>
    <s v="Akshata Nayak Non IT"/>
    <s v="B Sunanda "/>
    <n v="1"/>
    <s v="C36231448"/>
    <x v="87"/>
    <n v="72292.5"/>
    <n v="9792.5"/>
    <s v="UHG(BCI &amp; SS)"/>
    <n v="6"/>
    <x v="1"/>
    <x v="1"/>
  </r>
  <r>
    <s v="Mehraj N"/>
    <s v="Prathyusha Mangalampalli"/>
    <s v="Akshata Nayak Non IT"/>
    <s v="Mohammed Abdul Sattar"/>
    <n v="1"/>
    <s v="C36231010"/>
    <x v="34"/>
    <n v="38377.5"/>
    <n v="13377.5"/>
    <s v="UHG(BCI &amp; SS)"/>
    <n v="6"/>
    <x v="1"/>
    <x v="1"/>
  </r>
  <r>
    <s v="Mehraj N"/>
    <s v="Prathyusha Mangalampalli"/>
    <s v="Akshata Nayak Non IT"/>
    <s v="Dharmesh Mahesh  Davda"/>
    <n v="2"/>
    <s v="C36230967"/>
    <x v="64"/>
    <n v="48000"/>
    <n v="8000"/>
    <s v="Accenture-voice"/>
    <n v="6"/>
    <x v="0"/>
    <x v="9"/>
  </r>
  <r>
    <s v="Swathi Shetty"/>
    <s v="Suman S"/>
    <s v="Prathap Sagar"/>
    <s v="Bhupesh  Dwivedi"/>
    <n v="2"/>
    <s v="C36231280"/>
    <x v="88"/>
    <n v="115793.4"/>
    <n v="40793.4"/>
    <s v="Genpact"/>
    <n v="6"/>
    <x v="6"/>
    <x v="2"/>
  </r>
  <r>
    <s v="Pearl Melita"/>
    <s v="Namitha Gowda"/>
    <s v="Prathap Sagar"/>
    <s v="Neeran Joshi"/>
    <n v="1"/>
    <s v="C36231425"/>
    <x v="89"/>
    <n v="28620.6"/>
    <n v="1954.6"/>
    <s v="Genpact"/>
    <n v="5"/>
    <x v="6"/>
    <x v="2"/>
  </r>
  <r>
    <s v="Sireesha K"/>
    <s v="Prathyusha Mangalampalli"/>
    <s v="Akshata Nayak Non IT"/>
    <s v="Subhacini C"/>
    <n v="2"/>
    <s v="C36230981"/>
    <x v="80"/>
    <n v="17400"/>
    <n v="2400"/>
    <s v="Accenture_BPO"/>
    <n v="5"/>
    <x v="0"/>
    <x v="9"/>
  </r>
  <r>
    <s v="Swathi Shetty"/>
    <s v="Suman S"/>
    <s v="Prathap Sagar"/>
    <s v=" Ashik KP"/>
    <n v="2"/>
    <s v="C36231512"/>
    <x v="52"/>
    <n v="138363.29999999999"/>
    <n v="46697.3"/>
    <s v="Genpact"/>
    <n v="6"/>
    <x v="6"/>
    <x v="2"/>
  </r>
  <r>
    <s v="Pooja K"/>
    <s v="Prathyusha Mangalampalli"/>
    <s v="Akshata Nayak Non IT"/>
    <s v="Abinaiya Sivaraman"/>
    <n v="2"/>
    <s v="C36230980"/>
    <x v="64"/>
    <n v="17400"/>
    <n v="2400"/>
    <s v="Accenture_BPO"/>
    <n v="6"/>
    <x v="0"/>
    <x v="9"/>
  </r>
  <r>
    <s v="Pooja K"/>
    <s v="Prathyusha Mangalampalli"/>
    <s v="Akshata Nayak Non IT"/>
    <s v="V Jagadeeshwari "/>
    <n v="2"/>
    <s v="C36231069"/>
    <x v="90"/>
    <n v="17400"/>
    <n v="2400"/>
    <s v="Accenture_BPO"/>
    <n v="6"/>
    <x v="0"/>
    <x v="9"/>
  </r>
  <r>
    <s v="Sowmya P"/>
    <s v="Prathyusha Mangalampalli"/>
    <s v="Akshata Nayak Non IT"/>
    <s v="Soundarya  R"/>
    <n v="2"/>
    <s v="C36230970"/>
    <x v="64"/>
    <n v="48000"/>
    <n v="8000"/>
    <s v="Accenture-voice"/>
    <n v="5"/>
    <x v="0"/>
    <x v="9"/>
  </r>
  <r>
    <s v="Monika Vakati"/>
    <s v="Prathyusha Mangalampalli"/>
    <s v="Akshata Nayak Non IT"/>
    <s v="Girish P"/>
    <n v="2"/>
    <s v="C36230978"/>
    <x v="64"/>
    <n v="48000"/>
    <n v="8000"/>
    <s v="Accenture-voice"/>
    <n v="5"/>
    <x v="0"/>
    <x v="9"/>
  </r>
  <r>
    <s v="Mehraj N"/>
    <s v="Prathyusha Mangalampalli"/>
    <s v="Akshata Nayak Non IT"/>
    <s v="Komalpreet Singh"/>
    <n v="2"/>
    <s v="C36230966"/>
    <x v="64"/>
    <n v="46560"/>
    <n v="7760"/>
    <s v="Accenture-voice"/>
    <n v="6"/>
    <x v="0"/>
    <x v="9"/>
  </r>
  <r>
    <s v="Kanthishree Shenoy"/>
    <s v="Namitha Gowda"/>
    <s v="Prathap Sagar"/>
    <s v="SK Majid"/>
    <n v="1"/>
    <s v="C36231381"/>
    <x v="28"/>
    <n v="32130"/>
    <n v="12130"/>
    <s v="UHG(BCI &amp; SS)"/>
    <n v="6"/>
    <x v="1"/>
    <x v="1"/>
  </r>
  <r>
    <s v="Pooja Bt"/>
    <s v="Anitha C"/>
    <s v="Akshata Nayak Non IT"/>
    <s v="Kella Ganesh"/>
    <n v="1"/>
    <s v="C36231326"/>
    <x v="28"/>
    <n v="32130"/>
    <n v="12130"/>
    <s v="UHG(BCI &amp; SS)"/>
    <n v="6"/>
    <x v="1"/>
    <x v="1"/>
  </r>
  <r>
    <s v="Dhanush H"/>
    <s v="Mehr Hashim D"/>
    <s v="Mehr Hashim"/>
    <s v="Vaishnavi.R "/>
    <n v="2"/>
    <s v="C36230971"/>
    <x v="91"/>
    <n v="100000"/>
    <n v="50000"/>
    <s v="GE Healthcare Global Private Limited."/>
    <n v="5"/>
    <x v="5"/>
    <x v="10"/>
  </r>
  <r>
    <s v="Pariki Pradeep"/>
    <s v="Akshata Nayak"/>
    <s v="Pariki Pradeep"/>
    <s v="Pokala Rakesh Harshitha "/>
    <n v="1"/>
    <s v="C36231698"/>
    <x v="92"/>
    <n v="26775"/>
    <n v="6775"/>
    <s v="UHG(BCI &amp; SS)"/>
    <n v="6"/>
    <x v="1"/>
    <x v="1"/>
  </r>
  <r>
    <s v="Gouri Priya"/>
    <s v="Pradeep P"/>
    <s v="Akshata Nayak Non IT"/>
    <s v="Yenugutala Kamala Kumari"/>
    <n v="1"/>
    <s v="C36231388"/>
    <x v="28"/>
    <n v="32130"/>
    <n v="12130"/>
    <s v="UHG(BCI &amp; SS)"/>
    <n v="6"/>
    <x v="1"/>
    <x v="1"/>
  </r>
  <r>
    <s v="Gouri Priya"/>
    <s v="Pradeep P"/>
    <s v="Akshata Nayak Non IT"/>
    <s v="Korivi Shushma"/>
    <n v="1"/>
    <s v="C36231666"/>
    <x v="93"/>
    <n v="32130"/>
    <n v="12130"/>
    <s v="UHG(BCI &amp; SS)"/>
    <n v="6"/>
    <x v="1"/>
    <x v="1"/>
  </r>
  <r>
    <s v="Pearl Melita"/>
    <s v="Namitha Gowda"/>
    <s v="Prathap Sagar"/>
    <s v="Palley Chandra Sunidhi "/>
    <n v="1"/>
    <s v="C36231339"/>
    <x v="28"/>
    <n v="32130"/>
    <n v="12130"/>
    <s v="UHG(BCI &amp; SS)"/>
    <n v="6"/>
    <x v="1"/>
    <x v="1"/>
  </r>
  <r>
    <s v="Vinayak Kamath"/>
    <s v="Namitha Gowda"/>
    <s v="Prathap Sagar"/>
    <s v="Boddu Mounika"/>
    <n v="1"/>
    <s v="C36231310"/>
    <x v="28"/>
    <n v="32130"/>
    <n v="12130"/>
    <s v="UHG(BCI &amp; SS)"/>
    <n v="5"/>
    <x v="1"/>
    <x v="1"/>
  </r>
  <r>
    <s v="Shivangi Gupta"/>
    <s v="Mehr Hashim D"/>
    <s v="Mehr Hashim"/>
    <s v="Afridi Ismail  Attar"/>
    <n v="2"/>
    <s v="C36230944"/>
    <x v="80"/>
    <n v="268800"/>
    <n v="102134"/>
    <s v="GE Healthcare Global Private Limited."/>
    <n v="5"/>
    <x v="5"/>
    <x v="10"/>
  </r>
  <r>
    <s v="Anju Salian"/>
    <s v="Namitha Gowda"/>
    <s v="Prathap Sagar"/>
    <s v="A Ganesh "/>
    <n v="1"/>
    <s v="C36231382"/>
    <x v="28"/>
    <n v="0"/>
    <n v="-20000"/>
    <s v="UHG(BCI &amp; SS)"/>
    <n v="6"/>
    <x v="1"/>
    <x v="1"/>
  </r>
  <r>
    <s v="Vinayak Kamath"/>
    <s v="Namitha Gowda"/>
    <s v="Prathap Sagar"/>
    <s v="Katikaneni Rukmini Rao"/>
    <n v="1"/>
    <s v="C36231311"/>
    <x v="28"/>
    <n v="32130"/>
    <n v="12130"/>
    <s v="UHG(BCI &amp; SS)"/>
    <n v="6"/>
    <x v="1"/>
    <x v="1"/>
  </r>
  <r>
    <s v="Sachin K"/>
    <s v="Prathyusha Mangalampalli"/>
    <s v="Akshata Nayak Non IT"/>
    <s v="Vivek  Nair"/>
    <n v="2"/>
    <s v="C36230979"/>
    <x v="64"/>
    <n v="48000"/>
    <n v="8000"/>
    <s v="Accenture-voice"/>
    <n v="5"/>
    <x v="0"/>
    <x v="9"/>
  </r>
  <r>
    <s v="Jaisal RP"/>
    <s v="Suman S"/>
    <s v="Prathap Sagar"/>
    <s v="Richa Jha "/>
    <n v="2"/>
    <s v="C36232018"/>
    <x v="94"/>
    <n v="135000"/>
    <n v="26667"/>
    <s v="Genpact"/>
    <n v="5"/>
    <x v="6"/>
    <x v="2"/>
  </r>
  <r>
    <s v="Sourav Patra"/>
    <s v="Santhosh G"/>
    <s v="karan lalchandani"/>
    <s v="Agneesh Upadhayay"/>
    <n v="2"/>
    <s v="C36240232"/>
    <x v="95"/>
    <n v="100000"/>
    <n v="33334"/>
    <s v="Genpact"/>
    <n v="5"/>
    <x v="6"/>
    <x v="2"/>
  </r>
  <r>
    <s v="Sharad Kiran"/>
    <s v="Prathyusha Mangalampalli"/>
    <s v="Akshata Nayak Non IT"/>
    <s v="Prarthana Sham Mungekar"/>
    <n v="2"/>
    <s v="C36230973"/>
    <x v="64"/>
    <n v="48000"/>
    <n v="8000"/>
    <s v="Accenture-voice"/>
    <n v="6"/>
    <x v="0"/>
    <x v="9"/>
  </r>
  <r>
    <s v="Moin Khan"/>
    <s v="Namitha Gowda"/>
    <s v="Prathap Sagar"/>
    <s v="Mohd Yousuf"/>
    <n v="1"/>
    <s v="C36231312"/>
    <x v="28"/>
    <n v="32130"/>
    <n v="12130"/>
    <s v="UHG(BCI &amp; SS)"/>
    <n v="6"/>
    <x v="1"/>
    <x v="1"/>
  </r>
  <r>
    <s v="Suman N"/>
    <s v="Prathap Sagar BL"/>
    <s v="Suman N"/>
    <s v="Sandeepa  A N"/>
    <n v="2"/>
    <s v="C36231135"/>
    <x v="78"/>
    <n v="67200"/>
    <n v="17200"/>
    <s v="Koch Industries"/>
    <n v="6"/>
    <x v="2"/>
    <x v="2"/>
  </r>
  <r>
    <s v="Anjna koul"/>
    <s v="Gourab S"/>
    <s v="Suman N"/>
    <s v="Manjunatha. K"/>
    <n v="2"/>
    <s v="C36230961"/>
    <x v="83"/>
    <n v="67200"/>
    <n v="17200"/>
    <s v="Koch Industries"/>
    <n v="6"/>
    <x v="2"/>
    <x v="2"/>
  </r>
  <r>
    <s v="Bindushree R"/>
    <s v="Prathyusha Mangalampalli"/>
    <s v="Akshata Nayak Non IT"/>
    <s v="Meenakshi Murugan"/>
    <n v="2"/>
    <s v="C36231086"/>
    <x v="64"/>
    <n v="17400"/>
    <n v="2400"/>
    <s v="Accenture_BPO"/>
    <n v="6"/>
    <x v="0"/>
    <x v="9"/>
  </r>
  <r>
    <s v="Suman N"/>
    <s v="Prathap Sagar BL"/>
    <s v="Suman N"/>
    <s v="Dayanand Sangameshwar  Hulmani "/>
    <n v="2"/>
    <s v="C36230962"/>
    <x v="83"/>
    <n v="67200"/>
    <n v="21367"/>
    <s v="Koch Industries"/>
    <n v="6"/>
    <x v="2"/>
    <x v="2"/>
  </r>
  <r>
    <s v="Gifty Sunny"/>
    <s v="Prathyusha Mangalampalli"/>
    <s v="Akshata Nayak Non IT"/>
    <s v=" T Nivedhitha "/>
    <n v="2"/>
    <s v="C36231115"/>
    <x v="83"/>
    <n v="17400"/>
    <n v="2400"/>
    <s v="Accenture_BPO"/>
    <n v="6"/>
    <x v="0"/>
    <x v="9"/>
  </r>
  <r>
    <s v="Bindushree R"/>
    <s v="Prathyusha Mangalampalli"/>
    <s v="Akshata Nayak Non IT"/>
    <s v="Shanmugapriya  Muthumanikkam"/>
    <n v="2"/>
    <s v="C36230977"/>
    <x v="90"/>
    <n v="17400"/>
    <n v="2400"/>
    <s v="Accenture_BPO"/>
    <n v="5"/>
    <x v="0"/>
    <x v="9"/>
  </r>
  <r>
    <s v="Tanzeel Ahmed"/>
    <s v="Mehr Hashim D"/>
    <s v="Mehr Hashim"/>
    <s v="Mehak "/>
    <n v="2"/>
    <s v="C36230959"/>
    <x v="64"/>
    <n v="285600"/>
    <n v="118934"/>
    <s v="Lowes"/>
    <n v="5"/>
    <x v="5"/>
    <x v="10"/>
  </r>
  <r>
    <s v="Gouri Priya"/>
    <s v="Pradeep P"/>
    <s v="Akshata Nayak Non IT"/>
    <s v="Sardar Balwinder Singh"/>
    <n v="1"/>
    <s v="C36231011"/>
    <x v="34"/>
    <n v="38377.5"/>
    <n v="13377.5"/>
    <s v="UHG(BCI &amp; SS)"/>
    <n v="6"/>
    <x v="1"/>
    <x v="1"/>
  </r>
  <r>
    <s v="Pariki Pradeep"/>
    <s v="Akshata Nayak"/>
    <s v="Pariki Pradeep"/>
    <s v="Uppu Yuvraj "/>
    <n v="1"/>
    <s v="C36231435"/>
    <x v="28"/>
    <n v="32130"/>
    <n v="12130"/>
    <s v="UHG(BCI &amp; SS)"/>
    <n v="6"/>
    <x v="1"/>
    <x v="1"/>
  </r>
  <r>
    <s v="Sai Manish"/>
    <s v="Pradeep P"/>
    <s v="Akshata Nayak Non IT"/>
    <s v="Kurelli Divyasri "/>
    <n v="1"/>
    <s v="C36231502"/>
    <x v="28"/>
    <n v="32130"/>
    <n v="12130"/>
    <s v="UHG(BCI &amp; SS)"/>
    <n v="6"/>
    <x v="1"/>
    <x v="1"/>
  </r>
  <r>
    <s v="Sai Manish"/>
    <s v="Pradeep P"/>
    <s v="Akshata Nayak Non IT"/>
    <s v="Marumudi Sowmya Vijaya"/>
    <n v="1"/>
    <s v="C36231503"/>
    <x v="28"/>
    <n v="32130"/>
    <n v="12130"/>
    <s v="UHG(BCI &amp; SS)"/>
    <n v="6"/>
    <x v="1"/>
    <x v="1"/>
  </r>
  <r>
    <s v="Sai Manish"/>
    <s v="Pradeep P"/>
    <s v="Akshata Nayak Non IT"/>
    <s v="Yadagiri Shivani "/>
    <n v="1"/>
    <s v="C36231462"/>
    <x v="28"/>
    <n v="32130"/>
    <n v="12130"/>
    <s v="UHG(BCI &amp; SS)"/>
    <n v="6"/>
    <x v="1"/>
    <x v="1"/>
  </r>
  <r>
    <s v="Gouri Priya"/>
    <s v="Pradeep P"/>
    <s v="Akshata Nayak Non IT"/>
    <s v="Tudumu Naveen Kumar"/>
    <n v="1"/>
    <s v="C36231667"/>
    <x v="93"/>
    <n v="32130"/>
    <n v="12130"/>
    <s v="UHG(BCI &amp; SS)"/>
    <n v="6"/>
    <x v="1"/>
    <x v="1"/>
  </r>
  <r>
    <s v="Narendra Kumar Debariki"/>
    <s v="Pradeep P"/>
    <s v="Akshata Nayak Non IT"/>
    <s v="Sangi Sai Kumar"/>
    <n v="1"/>
    <s v="C36231074"/>
    <x v="34"/>
    <n v="0"/>
    <n v="-25000"/>
    <s v="UHG(BCI &amp; SS)"/>
    <n v="6"/>
    <x v="1"/>
    <x v="1"/>
  </r>
  <r>
    <s v="Gouri Priya"/>
    <s v="Pradeep P"/>
    <s v="Akshata Nayak Non IT"/>
    <s v="Balija Naveen Prasad"/>
    <n v="1"/>
    <s v="C36231550"/>
    <x v="28"/>
    <n v="38377.5"/>
    <n v="13377.5"/>
    <s v="UHG(BCI &amp; SS)"/>
    <n v="6"/>
    <x v="1"/>
    <x v="1"/>
  </r>
  <r>
    <s v="Gouri Priya"/>
    <s v="Pradeep P"/>
    <s v="Akshata Nayak Non IT"/>
    <s v="Mohammed Ashraf Ali"/>
    <n v="1"/>
    <s v="C36231395"/>
    <x v="28"/>
    <n v="32130"/>
    <n v="12130"/>
    <s v="UHG(BCI &amp; SS)"/>
    <n v="6"/>
    <x v="1"/>
    <x v="1"/>
  </r>
  <r>
    <s v="Narendra Kumar Debariki"/>
    <s v="Pradeep P"/>
    <s v="Akshata Nayak Non IT"/>
    <s v="Annareddy Mahanandeswar Reddy"/>
    <n v="1"/>
    <s v="C36231366"/>
    <x v="28"/>
    <n v="32130"/>
    <n v="12130"/>
    <s v="UHG(BCI &amp; SS)"/>
    <n v="6"/>
    <x v="1"/>
    <x v="1"/>
  </r>
  <r>
    <s v="Narendra Kumar Debariki"/>
    <s v="Pradeep P"/>
    <s v="Akshata Nayak Non IT"/>
    <s v=" Uppuluri Saritha"/>
    <n v="1"/>
    <s v="C36231367"/>
    <x v="28"/>
    <n v="32130"/>
    <n v="12130"/>
    <s v="UHG(BCI &amp; SS)"/>
    <n v="6"/>
    <x v="1"/>
    <x v="1"/>
  </r>
  <r>
    <s v="Narendra Kumar Debariki"/>
    <s v="Pradeep P"/>
    <s v="Akshata Nayak Non IT"/>
    <s v="Madala Sanghavi"/>
    <n v="1"/>
    <s v="C36231396"/>
    <x v="28"/>
    <n v="32130"/>
    <n v="12130"/>
    <s v="UHG(BCI &amp; SS)"/>
    <n v="6"/>
    <x v="1"/>
    <x v="1"/>
  </r>
  <r>
    <s v="Narendra Kumar Debariki"/>
    <s v="Pradeep P"/>
    <s v="Akshata Nayak Non IT"/>
    <s v="Kodimala Bhargavi"/>
    <n v="1"/>
    <s v="C36231424"/>
    <x v="28"/>
    <n v="32130"/>
    <n v="12130"/>
    <s v="UHG(BCI &amp; SS)"/>
    <n v="6"/>
    <x v="1"/>
    <x v="1"/>
  </r>
  <r>
    <s v="Narendra Kumar Debariki"/>
    <s v="Pradeep P"/>
    <s v="Akshata Nayak Non IT"/>
    <s v="  Mallipeddi Chiranjeevi"/>
    <n v="1"/>
    <s v="C36231397"/>
    <x v="28"/>
    <n v="32130"/>
    <n v="12130"/>
    <s v="UHG(BCI &amp; SS)"/>
    <n v="6"/>
    <x v="1"/>
    <x v="1"/>
  </r>
  <r>
    <s v="Gouri Priya"/>
    <s v="Pradeep P"/>
    <s v="Akshata Nayak Non IT"/>
    <s v="Amtul Afreen"/>
    <n v="1"/>
    <s v="C36231389"/>
    <x v="28"/>
    <n v="0"/>
    <n v="-20000"/>
    <s v="UHG(BCI &amp; SS)"/>
    <n v="6"/>
    <x v="1"/>
    <x v="1"/>
  </r>
  <r>
    <s v="Gouri Priya"/>
    <s v="Pradeep P"/>
    <s v="Akshata Nayak Non IT"/>
    <s v="Souvagya Suvabrata"/>
    <n v="1"/>
    <s v="C36231458"/>
    <x v="87"/>
    <n v="72293"/>
    <n v="9793"/>
    <s v="UHG(BCI &amp; SS)"/>
    <n v="6"/>
    <x v="1"/>
    <x v="1"/>
  </r>
  <r>
    <s v="Arpita Biswal"/>
    <s v="Anitha C"/>
    <s v="Akshata Nayak Non IT"/>
    <s v="Gurram Prakash  "/>
    <n v="1"/>
    <s v="C36231066"/>
    <x v="34"/>
    <n v="38377.5"/>
    <n v="13377.5"/>
    <s v="UHG(BCI &amp; SS)"/>
    <n v="6"/>
    <x v="1"/>
    <x v="1"/>
  </r>
  <r>
    <s v="Sai Manish"/>
    <s v="Pradeep P"/>
    <s v="Akshata Nayak Non IT"/>
    <s v="Jannu Manaswini "/>
    <n v="1"/>
    <s v="C36231368"/>
    <x v="28"/>
    <n v="32130"/>
    <n v="12130"/>
    <s v="UHG(BCI &amp; SS)"/>
    <n v="6"/>
    <x v="1"/>
    <x v="1"/>
  </r>
  <r>
    <s v="Pooja Bt"/>
    <s v="Anitha C"/>
    <s v="Akshata Nayak Non IT"/>
    <s v="Thapa Umesh  Kumar "/>
    <n v="1"/>
    <s v="C36231043"/>
    <x v="34"/>
    <n v="38377.5"/>
    <n v="13377.5"/>
    <s v="UHG(BCI &amp; SS)"/>
    <n v="6"/>
    <x v="1"/>
    <x v="1"/>
  </r>
  <r>
    <s v="Arpita Biswal"/>
    <s v="Anitha C"/>
    <s v="Akshata Nayak Non IT"/>
    <s v="Matoori Mahesh "/>
    <n v="1"/>
    <s v="C36231075"/>
    <x v="34"/>
    <n v="38377.5"/>
    <n v="13377.5"/>
    <s v="UHG(BCI &amp; SS)"/>
    <n v="6"/>
    <x v="1"/>
    <x v="1"/>
  </r>
  <r>
    <s v="Gouri Priya"/>
    <s v="Pradeep P"/>
    <s v="Akshata Nayak Non IT"/>
    <s v="Muktha Mahesh"/>
    <n v="1"/>
    <s v="C36231390"/>
    <x v="28"/>
    <n v="32130"/>
    <n v="12130"/>
    <s v="UHG(BCI &amp; SS)"/>
    <n v="6"/>
    <x v="1"/>
    <x v="1"/>
  </r>
  <r>
    <s v="Gouri Priya"/>
    <s v="Pradeep P"/>
    <s v="Akshata Nayak Non IT"/>
    <s v="Arati "/>
    <n v="1"/>
    <s v="C36231383"/>
    <x v="28"/>
    <n v="32130"/>
    <n v="12130"/>
    <s v="UHG(BCI &amp; SS)"/>
    <n v="6"/>
    <x v="1"/>
    <x v="1"/>
  </r>
  <r>
    <s v="Vinayak Kamath"/>
    <s v="Namitha Gowda"/>
    <s v="Prathap Sagar"/>
    <s v=" Polasa  Vaani "/>
    <n v="1"/>
    <s v="C36231020"/>
    <x v="34"/>
    <n v="38377.5"/>
    <n v="13377.5"/>
    <s v="UHG(BCI &amp; SS)"/>
    <n v="6"/>
    <x v="1"/>
    <x v="1"/>
  </r>
  <r>
    <s v="Narendra Kumar Debariki"/>
    <s v="Pradeep P"/>
    <s v="Akshata Nayak Non IT"/>
    <s v="Kadagala  Maheswara Rao"/>
    <n v="1"/>
    <s v="C36231410"/>
    <x v="28"/>
    <n v="32130"/>
    <n v="12130"/>
    <s v="UHG(BCI &amp; SS)"/>
    <n v="6"/>
    <x v="1"/>
    <x v="1"/>
  </r>
  <r>
    <s v="Siva Naga"/>
    <s v="Dummy Record Lead"/>
    <s v="Vinod K"/>
    <s v="A Harish Kumar"/>
    <n v="2"/>
    <s v="C36230964"/>
    <x v="90"/>
    <n v="310464"/>
    <n v="185464"/>
    <s v="Wolters Kluwer-India"/>
    <n v="5"/>
    <x v="5"/>
    <x v="8"/>
  </r>
  <r>
    <s v="Moin Khan"/>
    <s v="Namitha Gowda"/>
    <s v="Prathap Sagar"/>
    <s v="Duggepogu Suvarna Ratna"/>
    <n v="1"/>
    <s v="C36231340"/>
    <x v="28"/>
    <n v="0"/>
    <n v="-20000"/>
    <s v="UHG(BCI &amp; SS)"/>
    <n v="6"/>
    <x v="1"/>
    <x v="1"/>
  </r>
  <r>
    <s v="Pooja Bt"/>
    <s v="Anitha C"/>
    <s v="Akshata Nayak Non IT"/>
    <s v="Mallam Manisha "/>
    <n v="1"/>
    <s v="C36231004"/>
    <x v="34"/>
    <n v="38377.5"/>
    <n v="13377.5"/>
    <s v="UHG(BCI &amp; SS)"/>
    <n v="6"/>
    <x v="1"/>
    <x v="1"/>
  </r>
  <r>
    <s v="Pooja Bt"/>
    <s v="Anitha C"/>
    <s v="Akshata Nayak Non IT"/>
    <s v="Kottur Shravan Kumar"/>
    <n v="1"/>
    <s v="C36231044"/>
    <x v="34"/>
    <n v="38377.5"/>
    <n v="13377.5"/>
    <s v="UHG(BCI &amp; SS)"/>
    <n v="6"/>
    <x v="1"/>
    <x v="1"/>
  </r>
  <r>
    <s v="Pearl Melita"/>
    <s v="Namitha Gowda"/>
    <s v="Prathap Sagar"/>
    <s v="Shaik Hamidullah Shariff "/>
    <n v="1"/>
    <s v="C36231341"/>
    <x v="28"/>
    <n v="32130"/>
    <n v="12130"/>
    <s v="UHG(BCI &amp; SS)"/>
    <n v="6"/>
    <x v="1"/>
    <x v="1"/>
  </r>
  <r>
    <s v="Deepthi C"/>
    <s v="Anitha C"/>
    <s v="Akshata Nayak Non IT"/>
    <s v="Kommu Nirmala"/>
    <n v="1"/>
    <s v="C36231058"/>
    <x v="34"/>
    <n v="38377.5"/>
    <n v="13377.5"/>
    <s v="UHG(BCI &amp; SS)"/>
    <n v="6"/>
    <x v="1"/>
    <x v="1"/>
  </r>
  <r>
    <s v="Pearl Melita"/>
    <s v="Namitha Gowda"/>
    <s v="Prathap Sagar"/>
    <s v="Sheelam Rajitha"/>
    <n v="1"/>
    <s v="C36231342"/>
    <x v="28"/>
    <n v="32130"/>
    <n v="12130"/>
    <s v="UHG(BCI &amp; SS)"/>
    <n v="6"/>
    <x v="1"/>
    <x v="1"/>
  </r>
  <r>
    <s v="Moin Khan"/>
    <s v="Namitha Gowda"/>
    <s v="Prathap Sagar"/>
    <s v="Mylavarapu Mani Vardhini "/>
    <n v="1"/>
    <s v="C36231313"/>
    <x v="28"/>
    <n v="32130"/>
    <n v="12130"/>
    <s v="UHG(BCI &amp; SS)"/>
    <n v="6"/>
    <x v="1"/>
    <x v="1"/>
  </r>
  <r>
    <s v="Karthik V"/>
    <s v="Fazila K"/>
    <s v="Prathap Sagar"/>
    <s v="Dhananjay Avinash Chougule"/>
    <n v="2"/>
    <s v="C36231089"/>
    <x v="71"/>
    <n v="178500"/>
    <n v="45167"/>
    <s v="Infosys"/>
    <n v="6"/>
    <x v="2"/>
    <x v="3"/>
  </r>
  <r>
    <s v="Vinith M"/>
    <s v="Tamil C"/>
    <s v="Akshata Nayak"/>
    <s v="Lakshmi.C.T"/>
    <n v="4"/>
    <s v="O36230043"/>
    <x v="90"/>
    <n v="140000"/>
    <n v="56666.67"/>
    <s v="DXC"/>
    <n v="6"/>
    <x v="1"/>
    <x v="6"/>
  </r>
  <r>
    <s v="Dhanush H"/>
    <s v="Mehr Hashim D"/>
    <s v="Mehr Hashim"/>
    <s v="Vishnu Kumar N"/>
    <n v="4"/>
    <s v="O36230045"/>
    <x v="91"/>
    <n v="369600"/>
    <n v="136266.67000000001"/>
    <s v="GE Healthcare Global Private Limited."/>
    <n v="6"/>
    <x v="5"/>
    <x v="10"/>
  </r>
  <r>
    <s v="Lokesh Reddy"/>
    <s v="Mehr Hashim D"/>
    <s v="Mehr Hashim"/>
    <s v=" Md Faisal"/>
    <n v="2"/>
    <s v="C36231103"/>
    <x v="71"/>
    <n v="400000"/>
    <n v="125000"/>
    <s v="Groupon Shared Services Private Limited"/>
    <n v="6"/>
    <x v="5"/>
    <x v="19"/>
  </r>
  <r>
    <s v="Gopinath S N"/>
    <s v="Mehr Hashim D"/>
    <s v="Mehr Hashim"/>
    <s v="MANU J"/>
    <n v="2"/>
    <s v="C36240314"/>
    <x v="96"/>
    <n v="250000"/>
    <n v="58334"/>
    <s v="Hinge Health"/>
    <n v="5"/>
    <x v="5"/>
    <x v="10"/>
  </r>
  <r>
    <s v="Shruthi R"/>
    <s v="Mehr Hashim D"/>
    <s v="Mehr Hashim"/>
    <s v="Arunkumar Palani"/>
    <n v="2"/>
    <s v="C36240334"/>
    <x v="97"/>
    <n v="275000"/>
    <n v="66667"/>
    <s v="Hinge Health"/>
    <n v="5"/>
    <x v="5"/>
    <x v="10"/>
  </r>
  <r>
    <s v="Naveen K"/>
    <s v="Mehr Hashim D"/>
    <s v="Mehr Hashim"/>
    <s v="Perumal Shanmugam"/>
    <n v="2"/>
    <s v="C36240321"/>
    <x v="69"/>
    <n v="250000"/>
    <n v="33333.33"/>
    <s v="Hinge Health"/>
    <n v="5"/>
    <x v="5"/>
    <x v="10"/>
  </r>
  <r>
    <s v="Tamilarasan S"/>
    <s v="Mehr Hashim D"/>
    <s v="Mehr Hashim"/>
    <s v="Pradosh  AC"/>
    <n v="2"/>
    <s v="C36240326"/>
    <x v="69"/>
    <n v="250000"/>
    <n v="58333.33"/>
    <s v="Hinge Health"/>
    <n v="5"/>
    <x v="5"/>
    <x v="10"/>
  </r>
  <r>
    <s v="Sandipta Panigrahi"/>
    <s v="Mehr Hashim D"/>
    <s v="Mehr Hashim"/>
    <s v="V Lalitha"/>
    <n v="4"/>
    <s v="O36240011"/>
    <x v="69"/>
    <n v="225000"/>
    <n v="83334"/>
    <s v="Hinge Health"/>
    <n v="5"/>
    <x v="5"/>
    <x v="10"/>
  </r>
  <r>
    <s v="Krishna Priya"/>
    <s v="Mehr Hashim D"/>
    <s v="Mehr Hashim"/>
    <s v="Krishna  Chaitanya Pagadala"/>
    <n v="2"/>
    <s v="C36240360"/>
    <x v="98"/>
    <n v="250000"/>
    <n v="50000"/>
    <s v="Hinge Health"/>
    <n v="5"/>
    <x v="5"/>
    <x v="10"/>
  </r>
  <r>
    <s v="Ganesh M"/>
    <s v="Pooja M"/>
    <s v="Pooja MS"/>
    <s v="Kammara Jagadeesachari "/>
    <n v="2"/>
    <s v="C36230529"/>
    <x v="0"/>
    <n v="172704"/>
    <n v="21038"/>
    <s v="IBM- PAN India"/>
    <n v="6"/>
    <x v="1"/>
    <x v="7"/>
  </r>
  <r>
    <s v="Pooja K"/>
    <s v="Prathyusha Mangalampalli"/>
    <s v="Akshata Nayak Non IT"/>
    <s v="Sowmiya R"/>
    <n v="2"/>
    <s v="C36231068"/>
    <x v="83"/>
    <n v="17400"/>
    <n v="2400"/>
    <s v="Accenture_BPO"/>
    <n v="5"/>
    <x v="0"/>
    <x v="9"/>
  </r>
  <r>
    <s v="Mouli Roy"/>
    <s v="Prathyusha Mangalampalli"/>
    <s v="Akshata Nayak Non IT"/>
    <s v="Priyanka Velu"/>
    <n v="2"/>
    <s v="C36230975"/>
    <x v="91"/>
    <n v="17400"/>
    <n v="2400"/>
    <s v="Accenture_BPO"/>
    <n v="6"/>
    <x v="0"/>
    <x v="9"/>
  </r>
  <r>
    <s v="Vinith M"/>
    <s v="Tamil C"/>
    <s v="Akshata Nayak"/>
    <s v="Ramya "/>
    <n v="1"/>
    <s v="C36231034"/>
    <x v="72"/>
    <n v="67200"/>
    <n v="8867"/>
    <s v="Socgen"/>
    <n v="6"/>
    <x v="6"/>
    <x v="2"/>
  </r>
  <r>
    <s v="Raja Shekhar"/>
    <s v="Prathyusha Mangalampalli"/>
    <s v="Akshata Nayak Non IT"/>
    <s v="Shaik Gouse"/>
    <n v="1"/>
    <s v="C36231147"/>
    <x v="34"/>
    <n v="72292.5"/>
    <n v="9792.5"/>
    <s v="UHG(BCI &amp; SS)"/>
    <n v="6"/>
    <x v="1"/>
    <x v="1"/>
  </r>
  <r>
    <s v="Bindushree R"/>
    <s v="Prathyusha Mangalampalli"/>
    <s v="Akshata Nayak Non IT"/>
    <s v="Ramya D"/>
    <n v="2"/>
    <s v="C36230963"/>
    <x v="83"/>
    <n v="17400"/>
    <n v="2400"/>
    <s v="Accenture_BPO"/>
    <n v="6"/>
    <x v="0"/>
    <x v="9"/>
  </r>
  <r>
    <s v="Bindushree R"/>
    <s v="Prathyusha Mangalampalli"/>
    <s v="Akshata Nayak Non IT"/>
    <s v="Shweta  Carolin S"/>
    <n v="2"/>
    <s v="C36230995"/>
    <x v="72"/>
    <n v="17400"/>
    <n v="2400"/>
    <s v="Accenture_BPO"/>
    <n v="6"/>
    <x v="0"/>
    <x v="9"/>
  </r>
  <r>
    <s v="Javeed Khan"/>
    <s v="Prathyusha Mangalampalli"/>
    <s v="Akshata Nayak Non IT"/>
    <s v="Roja "/>
    <n v="2"/>
    <s v="C36231140"/>
    <x v="71"/>
    <n v="17400"/>
    <n v="2400"/>
    <s v="Accenture_BPO"/>
    <n v="5"/>
    <x v="0"/>
    <x v="9"/>
  </r>
  <r>
    <s v="Rakhi C"/>
    <s v="Tara VR"/>
    <s v="Prathap Sagar"/>
    <s v="Divya Bharathi R "/>
    <n v="2"/>
    <s v="C36231219"/>
    <x v="20"/>
    <n v="72240"/>
    <n v="9740"/>
    <s v="Koch Industries"/>
    <n v="6"/>
    <x v="2"/>
    <x v="2"/>
  </r>
  <r>
    <s v="Anusha BJ"/>
    <s v="Tara VR"/>
    <s v="Prathap Sagar"/>
    <s v="Shrishail  Pujar"/>
    <n v="2"/>
    <s v="C36231464"/>
    <x v="99"/>
    <n v="50400"/>
    <n v="16234"/>
    <s v="Koch Industries"/>
    <n v="6"/>
    <x v="2"/>
    <x v="2"/>
  </r>
  <r>
    <s v="Sireesha K"/>
    <s v="Prathyusha Mangalampalli"/>
    <s v="Akshata Nayak Non IT"/>
    <s v="Eda Dheeraj "/>
    <n v="1"/>
    <s v="C36231372"/>
    <x v="28"/>
    <n v="32130"/>
    <n v="12130"/>
    <s v="UHG(BCI &amp; SS)"/>
    <n v="6"/>
    <x v="1"/>
    <x v="1"/>
  </r>
  <r>
    <s v="Surekha S"/>
    <s v="Monisha RR"/>
    <s v="Akshata Nayak Non IT"/>
    <s v="  Arpit Rajendra Bansod"/>
    <n v="2"/>
    <s v="C36231071"/>
    <x v="72"/>
    <n v="51999.99"/>
    <n v="8666.99"/>
    <s v="HP"/>
    <n v="5"/>
    <x v="0"/>
    <x v="0"/>
  </r>
  <r>
    <s v="Sai Manish"/>
    <s v="Pradeep P"/>
    <s v="Akshata Nayak Non IT"/>
    <s v="Kaderi Santosh "/>
    <n v="1"/>
    <s v="C36231085"/>
    <x v="34"/>
    <n v="72292.5"/>
    <n v="9792.5"/>
    <s v="UHG(BCI &amp; SS)"/>
    <n v="6"/>
    <x v="1"/>
    <x v="1"/>
  </r>
  <r>
    <s v="Sai Vineeth"/>
    <s v="Pradeep P"/>
    <s v="Akshata Nayak Non IT"/>
    <s v="K Divya "/>
    <n v="1"/>
    <s v="C36231099"/>
    <x v="34"/>
    <n v="38377.5"/>
    <n v="13377.5"/>
    <s v="UHG(BCI &amp; SS)"/>
    <n v="6"/>
    <x v="1"/>
    <x v="1"/>
  </r>
  <r>
    <s v="Sai Manish"/>
    <s v="Pradeep P"/>
    <s v="Akshata Nayak Non IT"/>
    <s v="Kunchala Shirisha "/>
    <n v="1"/>
    <s v="C36231370"/>
    <x v="28"/>
    <n v="0"/>
    <n v="-20000"/>
    <s v="UHG(BCI &amp; SS)"/>
    <n v="6"/>
    <x v="1"/>
    <x v="1"/>
  </r>
  <r>
    <s v="Sachin K"/>
    <s v="Prathyusha Mangalampalli"/>
    <s v="Akshata Nayak Non IT"/>
    <s v="B Meghamala"/>
    <n v="1"/>
    <s v="C36231537"/>
    <x v="28"/>
    <n v="32130"/>
    <n v="12130"/>
    <s v="UHG(BCI &amp; SS)"/>
    <n v="6"/>
    <x v="1"/>
    <x v="1"/>
  </r>
  <r>
    <s v="Naveen K"/>
    <s v="Mehr Hashim D"/>
    <s v="Mehr Hashim"/>
    <s v="Sairam P"/>
    <n v="4"/>
    <s v="O36230046"/>
    <x v="91"/>
    <n v="302400"/>
    <n v="102400"/>
    <s v="GE Healthcare Global Private Limited."/>
    <n v="6"/>
    <x v="5"/>
    <x v="10"/>
  </r>
  <r>
    <s v="Surabhi K"/>
    <s v="Mehr Hashim D"/>
    <s v="Mehr Hashim"/>
    <s v="Raj Shekhar Rai"/>
    <n v="4"/>
    <s v="O36230048"/>
    <x v="100"/>
    <n v="100000"/>
    <n v="20833.330000000002"/>
    <s v="GE Healthcare Global Private Limited."/>
    <n v="6"/>
    <x v="5"/>
    <x v="10"/>
  </r>
  <r>
    <s v="Arpita Biswal"/>
    <s v="Anitha C"/>
    <s v="Akshata Nayak Non IT"/>
    <s v="Shaik Aslam Ali"/>
    <n v="1"/>
    <s v="C36231398"/>
    <x v="28"/>
    <n v="0"/>
    <n v="-20000"/>
    <s v="UHG(BCI &amp; SS)"/>
    <n v="6"/>
    <x v="1"/>
    <x v="1"/>
  </r>
  <r>
    <s v="Shivangi Gupta"/>
    <s v="Mehr Hashim D"/>
    <s v="Mehr Hashim"/>
    <s v="Addanki Pranava "/>
    <n v="4"/>
    <s v="O36230047"/>
    <x v="100"/>
    <n v="220000"/>
    <n v="95000"/>
    <s v="GE Healthcare Global Private Limited."/>
    <n v="6"/>
    <x v="5"/>
    <x v="10"/>
  </r>
  <r>
    <s v="Prateek A"/>
    <s v="Mehr Hashim D"/>
    <s v="Mehr Hashim"/>
    <s v="Kalyani Ghangare"/>
    <n v="2"/>
    <s v="C36230976"/>
    <x v="91"/>
    <n v="285600"/>
    <n v="168934"/>
    <s v="GE Healthcare Global Private Limited."/>
    <n v="6"/>
    <x v="5"/>
    <x v="10"/>
  </r>
  <r>
    <s v="Sireesha K"/>
    <s v="Prathyusha Mangalampalli"/>
    <s v="Akshata Nayak Non IT"/>
    <s v="Amgoth Sandhya"/>
    <n v="1"/>
    <s v="C36231373"/>
    <x v="28"/>
    <n v="32130"/>
    <n v="12130"/>
    <s v="UHG(BCI &amp; SS)"/>
    <n v="6"/>
    <x v="1"/>
    <x v="1"/>
  </r>
  <r>
    <s v="Sireesha K"/>
    <s v="Prathyusha Mangalampalli"/>
    <s v="Akshata Nayak Non IT"/>
    <s v="Nirudu Manjari"/>
    <n v="1"/>
    <s v="C36231374"/>
    <x v="28"/>
    <n v="32130"/>
    <n v="12130"/>
    <s v="UHG(BCI &amp; SS)"/>
    <n v="6"/>
    <x v="1"/>
    <x v="1"/>
  </r>
  <r>
    <s v="Sireesha K"/>
    <s v="Prathyusha Mangalampalli"/>
    <s v="Akshata Nayak Non IT"/>
    <s v="Shaik Rasheeda"/>
    <n v="1"/>
    <s v="C36231375"/>
    <x v="28"/>
    <n v="0"/>
    <n v="-20000"/>
    <s v="UHG(BCI &amp; SS)"/>
    <n v="6"/>
    <x v="1"/>
    <x v="1"/>
  </r>
  <r>
    <s v="Thrupthi S"/>
    <s v="Menaka Prasad"/>
    <s v="karan lalchandani"/>
    <s v="Putti Sunil Kiran  "/>
    <n v="2"/>
    <s v="C36231785"/>
    <x v="101"/>
    <n v="84504"/>
    <n v="17838"/>
    <s v="IBM- PAN India"/>
    <n v="5"/>
    <x v="1"/>
    <x v="7"/>
  </r>
  <r>
    <s v="Pearl Melita"/>
    <s v="Namitha Gowda"/>
    <s v="Prathap Sagar"/>
    <s v="Perumalla Beaulah "/>
    <n v="1"/>
    <s v="C36231343"/>
    <x v="28"/>
    <n v="32130"/>
    <n v="12130"/>
    <s v="UHG(BCI &amp; SS)"/>
    <n v="6"/>
    <x v="1"/>
    <x v="1"/>
  </r>
  <r>
    <s v="Shruthi R"/>
    <s v="Mehr Hashim D"/>
    <s v="Mehr Hashim"/>
    <s v="abhinav kumar"/>
    <n v="4"/>
    <s v="O36230057"/>
    <x v="73"/>
    <n v="270000"/>
    <n v="61667"/>
    <s v="Schneider Electric"/>
    <n v="6"/>
    <x v="5"/>
    <x v="10"/>
  </r>
  <r>
    <s v="Sandipta Panigrahi"/>
    <s v="Mehr Hashim D"/>
    <s v="Mehr Hashim"/>
    <s v="Vineet Unnikrishnan "/>
    <n v="2"/>
    <s v="C36231087"/>
    <x v="73"/>
    <n v="295000"/>
    <n v="86667"/>
    <s v="Schneider Electric"/>
    <n v="5"/>
    <x v="5"/>
    <x v="10"/>
  </r>
  <r>
    <s v="Sai Manish"/>
    <s v="Pradeep P"/>
    <s v="Akshata Nayak Non IT"/>
    <s v="Shaik Tanveer Jahan"/>
    <n v="1"/>
    <s v="C36231045"/>
    <x v="34"/>
    <n v="38377.5"/>
    <n v="13377.5"/>
    <s v="UHG(BCI &amp; SS)"/>
    <n v="6"/>
    <x v="1"/>
    <x v="1"/>
  </r>
  <r>
    <s v="Keerthana S"/>
    <s v="Monisha RR"/>
    <s v="Akshata Nayak Non IT"/>
    <s v="Kshema  Susan Mathew"/>
    <n v="2"/>
    <s v="C36231097"/>
    <x v="71"/>
    <n v="32500"/>
    <n v="7500"/>
    <s v="Accenture-voice"/>
    <n v="5"/>
    <x v="0"/>
    <x v="9"/>
  </r>
  <r>
    <s v="Chaitra BR"/>
    <s v="Fazila K"/>
    <s v="Prathap Sagar"/>
    <s v="Farooq  Ali M"/>
    <n v="2"/>
    <s v="C36231070"/>
    <x v="71"/>
    <n v="84000"/>
    <n v="9000"/>
    <s v="Koch Industries"/>
    <n v="6"/>
    <x v="2"/>
    <x v="2"/>
  </r>
  <r>
    <s v="Sanu S"/>
    <s v="Priyakantha K"/>
    <s v="Prathap Sagar"/>
    <s v="Ravinder Singh"/>
    <n v="7"/>
    <s v="C36231065"/>
    <x v="102"/>
    <n v="64152"/>
    <n v="2762"/>
    <s v="ZTE_payroll"/>
    <n v="5"/>
    <x v="2"/>
    <x v="3"/>
  </r>
  <r>
    <s v="Pushpa S"/>
    <s v="Suman S"/>
    <s v="Prathap Sagar"/>
    <s v="Sairahul Gandla"/>
    <n v="2"/>
    <s v="C36231083"/>
    <x v="73"/>
    <n v="225000"/>
    <n v="9000"/>
    <s v="Accenture_IDB"/>
    <n v="5"/>
    <x v="2"/>
    <x v="3"/>
  </r>
  <r>
    <s v="Sachin K"/>
    <s v="Prathyusha Mangalampalli"/>
    <s v="Akshata Nayak Non IT"/>
    <s v="Sanjay  B R"/>
    <n v="2"/>
    <s v="C36231151"/>
    <x v="71"/>
    <n v="48000"/>
    <n v="8000"/>
    <s v="Accenture-voice"/>
    <n v="5"/>
    <x v="0"/>
    <x v="9"/>
  </r>
  <r>
    <s v="Lahari Likitha"/>
    <s v="Menaka Prasad"/>
    <s v="karan lalchandani"/>
    <s v="Kanchamreddy Naga Chindhuja"/>
    <n v="2"/>
    <s v="C36231849"/>
    <x v="103"/>
    <n v="84504"/>
    <n v="7838"/>
    <s v="IBM- PAN India"/>
    <n v="6"/>
    <x v="1"/>
    <x v="7"/>
  </r>
  <r>
    <s v="Saravana BA"/>
    <s v="Mehr Hashim D"/>
    <s v="Mehr Hashim"/>
    <s v="Arun Raina"/>
    <n v="2"/>
    <s v="C36230994"/>
    <x v="72"/>
    <n v="250000"/>
    <n v="75000"/>
    <s v="SONY Software Development Centre"/>
    <n v="5"/>
    <x v="5"/>
    <x v="10"/>
  </r>
  <r>
    <s v="Thrupthi S"/>
    <s v="Menaka Prasad"/>
    <s v="karan lalchandani"/>
    <s v="Mohammad  Moin"/>
    <n v="4"/>
    <s v="O36240006"/>
    <x v="56"/>
    <n v="3500"/>
    <n v="500"/>
    <s v="JLL"/>
    <n v="5"/>
    <x v="1"/>
    <x v="16"/>
  </r>
  <r>
    <s v="Sachin K"/>
    <s v="Prathyusha Mangalampalli"/>
    <s v="Akshata Nayak Non IT"/>
    <s v="Arundhati Dey"/>
    <n v="2"/>
    <s v="C36231128"/>
    <x v="71"/>
    <n v="32500"/>
    <n v="7500"/>
    <s v="Accenture-voice"/>
    <n v="6"/>
    <x v="0"/>
    <x v="9"/>
  </r>
  <r>
    <s v="Sachin K"/>
    <s v="Prathyusha Mangalampalli"/>
    <s v="Akshata Nayak Non IT"/>
    <s v="Earnest Joseph"/>
    <n v="2"/>
    <s v="C36231129"/>
    <x v="71"/>
    <n v="32500"/>
    <n v="7500"/>
    <s v="Accenture-voice"/>
    <n v="6"/>
    <x v="0"/>
    <x v="9"/>
  </r>
  <r>
    <s v="Chaithra M"/>
    <s v="Vamsi S"/>
    <s v="Mohanish Pillai"/>
    <s v="Kolakaluri Maruti Subbarao"/>
    <n v="2"/>
    <s v="C36231076"/>
    <x v="85"/>
    <n v="119259"/>
    <n v="10926"/>
    <s v="Capgemini-Bangalore"/>
    <n v="5"/>
    <x v="3"/>
    <x v="4"/>
  </r>
  <r>
    <s v="Monika Vakati"/>
    <s v="Prathyusha Mangalampalli"/>
    <s v="Akshata Nayak Non IT"/>
    <s v="Amina Salim"/>
    <n v="2"/>
    <s v="C36231162"/>
    <x v="71"/>
    <n v="48000"/>
    <n v="8000"/>
    <s v="Accenture-voice"/>
    <n v="6"/>
    <x v="0"/>
    <x v="9"/>
  </r>
  <r>
    <s v="Monika Vakati"/>
    <s v="Prathyusha Mangalampalli"/>
    <s v="Akshata Nayak Non IT"/>
    <s v="Yashwant  Khuntia"/>
    <n v="2"/>
    <s v="C36231100"/>
    <x v="71"/>
    <n v="48000"/>
    <n v="8000"/>
    <s v="Accenture-voice"/>
    <n v="5"/>
    <x v="0"/>
    <x v="9"/>
  </r>
  <r>
    <s v="Monika Vakati"/>
    <s v="Prathyusha Mangalampalli"/>
    <s v="Akshata Nayak Non IT"/>
    <s v="Cyril Leonard C"/>
    <n v="2"/>
    <s v="C36231092"/>
    <x v="71"/>
    <n v="48000"/>
    <n v="8000"/>
    <s v="Accenture-voice"/>
    <n v="5"/>
    <x v="0"/>
    <x v="9"/>
  </r>
  <r>
    <s v="Sachin K"/>
    <s v="Prathyusha Mangalampalli"/>
    <s v="Akshata Nayak Non IT"/>
    <s v="M Ramya"/>
    <n v="1"/>
    <s v="C36231067"/>
    <x v="34"/>
    <n v="38377.5"/>
    <n v="13377.5"/>
    <s v="UHG(BCI &amp; SS)"/>
    <n v="6"/>
    <x v="1"/>
    <x v="1"/>
  </r>
  <r>
    <s v="Sachin K"/>
    <s v="Prathyusha Mangalampalli"/>
    <s v="Akshata Nayak Non IT"/>
    <s v="Sahithi  Pusa"/>
    <n v="1"/>
    <s v="C36231096"/>
    <x v="34"/>
    <n v="38378"/>
    <n v="13378"/>
    <s v="UHG(BCI &amp; SS)"/>
    <n v="6"/>
    <x v="1"/>
    <x v="1"/>
  </r>
  <r>
    <s v="Gouri Priya"/>
    <s v="Pradeep P"/>
    <s v="Akshata Nayak Non IT"/>
    <s v="T Ambica"/>
    <n v="1"/>
    <s v="C36231391"/>
    <x v="28"/>
    <n v="32130"/>
    <n v="12130"/>
    <s v="UHG(BCI &amp; SS)"/>
    <n v="6"/>
    <x v="1"/>
    <x v="1"/>
  </r>
  <r>
    <s v="Ram Praveen B"/>
    <s v="Fazila K"/>
    <s v="Prathap Sagar"/>
    <s v="Maaturi Bhaskar "/>
    <n v="2"/>
    <s v="C36231093"/>
    <x v="71"/>
    <n v="198450"/>
    <n v="15117"/>
    <s v="Infosys"/>
    <n v="6"/>
    <x v="2"/>
    <x v="3"/>
  </r>
  <r>
    <s v="Sachin K"/>
    <s v="Prathyusha Mangalampalli"/>
    <s v="Akshata Nayak Non IT"/>
    <s v="Tanay Dilip Rane"/>
    <n v="2"/>
    <s v="C36231109"/>
    <x v="71"/>
    <n v="32500"/>
    <n v="7500"/>
    <s v="Accenture-voice"/>
    <n v="6"/>
    <x v="0"/>
    <x v="9"/>
  </r>
  <r>
    <s v="Sachin K"/>
    <s v="Prathyusha Mangalampalli"/>
    <s v="Akshata Nayak Non IT"/>
    <s v="Preetham M"/>
    <n v="2"/>
    <s v="C36231152"/>
    <x v="71"/>
    <n v="48000"/>
    <n v="8000"/>
    <s v="Accenture-voice"/>
    <n v="5"/>
    <x v="0"/>
    <x v="9"/>
  </r>
  <r>
    <s v="Rajesh R"/>
    <s v="Kamlesh A"/>
    <s v="Menaka Prasad"/>
    <s v="Avinash Kumar  Verma"/>
    <n v="2"/>
    <s v="C36231106"/>
    <x v="79"/>
    <n v="119034.72"/>
    <n v="27368.720000000001"/>
    <s v="IBM -Mercedes"/>
    <n v="5"/>
    <x v="1"/>
    <x v="7"/>
  </r>
  <r>
    <s v="Sireesha K"/>
    <s v="Prathyusha Mangalampalli"/>
    <s v="Akshata Nayak Non IT"/>
    <s v="Fathima F"/>
    <n v="2"/>
    <s v="C36231141"/>
    <x v="71"/>
    <n v="17400"/>
    <n v="2400"/>
    <s v="Accenture_BPO"/>
    <n v="5"/>
    <x v="0"/>
    <x v="9"/>
  </r>
  <r>
    <s v="Sireesha K"/>
    <s v="Prathyusha Mangalampalli"/>
    <s v="Akshata Nayak Non IT"/>
    <s v="Iswariya S"/>
    <n v="2"/>
    <s v="C36231145"/>
    <x v="104"/>
    <n v="17400"/>
    <n v="2400"/>
    <s v="Accenture_BPO"/>
    <n v="6"/>
    <x v="0"/>
    <x v="9"/>
  </r>
  <r>
    <s v="Narendra Kumar Debariki"/>
    <s v="Pradeep P"/>
    <s v="Akshata Nayak Non IT"/>
    <s v="Begari  Surekha"/>
    <n v="1"/>
    <s v="C36231399"/>
    <x v="28"/>
    <n v="0"/>
    <n v="-20000"/>
    <s v="UHG(BCI &amp; SS)"/>
    <n v="6"/>
    <x v="1"/>
    <x v="1"/>
  </r>
  <r>
    <s v="Deepthi C"/>
    <s v="Anitha C"/>
    <s v="Akshata Nayak Non IT"/>
    <s v="Vangapandu  Adarsh Kumar "/>
    <n v="1"/>
    <s v="C36231361"/>
    <x v="28"/>
    <n v="32130"/>
    <n v="12130"/>
    <s v="UHG(BCI &amp; SS)"/>
    <n v="6"/>
    <x v="1"/>
    <x v="1"/>
  </r>
  <r>
    <s v="Karthik Venkatesh"/>
    <s v="Priyakantha K"/>
    <s v="Prathap Sagar"/>
    <s v="Ashish Shivram  Shetty"/>
    <n v="2"/>
    <s v="C36231161"/>
    <x v="105"/>
    <n v="28000"/>
    <n v="1333.33"/>
    <s v="Accenture_IDB"/>
    <n v="6"/>
    <x v="2"/>
    <x v="3"/>
  </r>
  <r>
    <s v="Bhargavi T R"/>
    <s v="Monisha RR"/>
    <s v="Akshata Nayak Non IT"/>
    <s v="Ayesha Siddiqua"/>
    <n v="2"/>
    <s v="C36231214"/>
    <x v="71"/>
    <n v="32500"/>
    <n v="7500"/>
    <s v="Accenture-voice"/>
    <n v="6"/>
    <x v="0"/>
    <x v="9"/>
  </r>
  <r>
    <s v="Mehraj N"/>
    <s v="Prathyusha Mangalampalli"/>
    <s v="Akshata Nayak Non IT"/>
    <s v="Pulkesh Ram Choudhary"/>
    <n v="2"/>
    <s v="C36231101"/>
    <x v="71"/>
    <n v="48000"/>
    <n v="8000"/>
    <s v="Accenture-voice"/>
    <n v="6"/>
    <x v="0"/>
    <x v="9"/>
  </r>
  <r>
    <s v="Jyothi HM"/>
    <s v="Suman S"/>
    <s v="Prathap Sagar"/>
    <s v="Vamsi Krishna"/>
    <n v="2"/>
    <s v="C36231094"/>
    <x v="71"/>
    <n v="90000"/>
    <n v="15000"/>
    <s v="Accenture_IDB"/>
    <n v="6"/>
    <x v="2"/>
    <x v="3"/>
  </r>
  <r>
    <s v="Dhruthi M"/>
    <s v="Eugene kurian"/>
    <s v="Anmol Katoch"/>
    <s v="Sushant Wangate Ankushrao"/>
    <n v="2"/>
    <s v="C36231079"/>
    <x v="73"/>
    <n v="30000"/>
    <n v="1000"/>
    <s v="Accenture_IDB"/>
    <n v="5"/>
    <x v="2"/>
    <x v="3"/>
  </r>
  <r>
    <s v="Karnikasri P"/>
    <s v="Priyakantha K"/>
    <s v="Prathap Sagar"/>
    <s v="Vijayakanth Reddy Bangaru"/>
    <n v="2"/>
    <s v="C36231064"/>
    <x v="85"/>
    <n v="285600"/>
    <n v="85600"/>
    <s v="Koch Industries"/>
    <n v="6"/>
    <x v="2"/>
    <x v="2"/>
  </r>
  <r>
    <s v="Dhruthi M"/>
    <s v="Eugene kurian"/>
    <s v="Anmol Katoch"/>
    <s v="Samindara Harishchandra Pawar "/>
    <n v="2"/>
    <s v="C36231149"/>
    <x v="66"/>
    <n v="28000"/>
    <n v="1000"/>
    <s v="Accenture_IDB"/>
    <n v="5"/>
    <x v="2"/>
    <x v="3"/>
  </r>
  <r>
    <s v="Sheetal AT"/>
    <s v="Suman S"/>
    <s v="Prathap Sagar"/>
    <s v="Rohan Mangesh Bhosale"/>
    <n v="2"/>
    <s v="C36231131"/>
    <x v="78"/>
    <n v="29000"/>
    <n v="667"/>
    <s v="Accenture_IDB"/>
    <n v="5"/>
    <x v="2"/>
    <x v="3"/>
  </r>
  <r>
    <s v="Dhruthi M"/>
    <s v="Eugene kurian"/>
    <s v="Anmol Katoch"/>
    <s v=" Valmik Bhausaheb Ushil"/>
    <n v="2"/>
    <s v="C36231132"/>
    <x v="78"/>
    <n v="30000"/>
    <n v="1000"/>
    <s v="Accenture_IDB"/>
    <n v="5"/>
    <x v="2"/>
    <x v="3"/>
  </r>
  <r>
    <s v="Lokesh Reddy"/>
    <s v="Mehr Hashim D"/>
    <s v="Mehr Hashim"/>
    <s v="Tejaswini S"/>
    <n v="4"/>
    <s v="O36230062"/>
    <x v="66"/>
    <n v="199500"/>
    <n v="107833.33"/>
    <s v="NetApp"/>
    <n v="6"/>
    <x v="5"/>
    <x v="17"/>
  </r>
  <r>
    <s v="Sushmitha NP"/>
    <s v="Poornachandra V"/>
    <s v="Akshata Nayak"/>
    <s v="Harinath Reddy Sane          "/>
    <n v="1"/>
    <s v="C36231080"/>
    <x v="73"/>
    <n v="268000"/>
    <n v="143000"/>
    <s v="BSH"/>
    <n v="5"/>
    <x v="1"/>
    <x v="12"/>
  </r>
  <r>
    <s v="Keerthana S"/>
    <s v="Monisha RR"/>
    <s v="Akshata Nayak Non IT"/>
    <s v="Debabrata Banik"/>
    <n v="2"/>
    <s v="C36231205"/>
    <x v="66"/>
    <n v="41708.33"/>
    <n v="3792.33"/>
    <s v="Kennametal IT"/>
    <n v="5"/>
    <x v="1"/>
    <x v="7"/>
  </r>
  <r>
    <s v="Priya b"/>
    <s v="Prathyusha Mangalampalli"/>
    <s v="Akshata Nayak Non IT"/>
    <s v="Rubashree B"/>
    <n v="2"/>
    <s v="C36231119"/>
    <x v="104"/>
    <n v="17400"/>
    <n v="2400"/>
    <s v="Accenture_BPO"/>
    <n v="5"/>
    <x v="0"/>
    <x v="9"/>
  </r>
  <r>
    <s v="Gopal V"/>
    <s v="Tamil C"/>
    <s v="Akshata Nayak"/>
    <s v="Darshan Anilbhai Chauhan  "/>
    <n v="4"/>
    <s v="O36230058"/>
    <x v="79"/>
    <n v="137931.03"/>
    <n v="12931.03"/>
    <s v="DXC"/>
    <n v="6"/>
    <x v="1"/>
    <x v="6"/>
  </r>
  <r>
    <s v="Maheshwari K S"/>
    <s v="Monisha RR"/>
    <s v="Akshata Nayak Non IT"/>
    <s v="Sabreen Taj"/>
    <n v="2"/>
    <s v="C36231110"/>
    <x v="71"/>
    <n v="32500"/>
    <n v="7500"/>
    <s v="Accenture-voice"/>
    <n v="6"/>
    <x v="0"/>
    <x v="9"/>
  </r>
  <r>
    <s v="Mamtha V"/>
    <s v="Fazila K"/>
    <s v="Prathap Sagar"/>
    <s v="Donga Vijaya Mohan"/>
    <n v="2"/>
    <s v="C36231090"/>
    <x v="71"/>
    <n v="220500"/>
    <n v="12166.67"/>
    <s v="Infosys"/>
    <n v="6"/>
    <x v="2"/>
    <x v="3"/>
  </r>
  <r>
    <s v="Pooja K"/>
    <s v="Prathyusha Mangalampalli"/>
    <s v="Akshata Nayak Non IT"/>
    <s v="Kushwaha Sachin Rajanarayan "/>
    <n v="2"/>
    <s v="C36231146"/>
    <x v="79"/>
    <n v="34500"/>
    <n v="4500"/>
    <s v="Accenture-voice"/>
    <n v="5"/>
    <x v="0"/>
    <x v="9"/>
  </r>
  <r>
    <s v="Sharmila P"/>
    <s v="Sabreena Jabeen"/>
    <s v="Sabreena Jabeen"/>
    <s v="Pooja Shahi"/>
    <n v="2"/>
    <s v="C36231207"/>
    <x v="104"/>
    <n v="140280"/>
    <n v="48613.33"/>
    <s v="Mercedes benz"/>
    <n v="6"/>
    <x v="6"/>
    <x v="14"/>
  </r>
  <r>
    <s v="Gouri Priya"/>
    <s v="Pradeep P"/>
    <s v="Akshata Nayak Non IT"/>
    <s v="Katam Vijay Kumar"/>
    <n v="1"/>
    <s v="C36231668"/>
    <x v="93"/>
    <n v="32130"/>
    <n v="12130"/>
    <s v="UHG(BCI &amp; SS)"/>
    <n v="6"/>
    <x v="1"/>
    <x v="1"/>
  </r>
  <r>
    <s v="Gouri Priya"/>
    <s v="Pradeep P"/>
    <s v="Akshata Nayak Non IT"/>
    <s v="Sandhya "/>
    <n v="1"/>
    <s v="C36231392"/>
    <x v="28"/>
    <n v="32130"/>
    <n v="12130"/>
    <s v="UHG(BCI &amp; SS)"/>
    <n v="6"/>
    <x v="1"/>
    <x v="1"/>
  </r>
  <r>
    <s v="Bindushree R"/>
    <s v="Prathyusha Mangalampalli"/>
    <s v="Akshata Nayak Non IT"/>
    <s v="Lakshmi N"/>
    <n v="2"/>
    <s v="C36231144"/>
    <x v="79"/>
    <n v="24265"/>
    <n v="3165"/>
    <s v="Accenture_BPO"/>
    <n v="5"/>
    <x v="0"/>
    <x v="9"/>
  </r>
  <r>
    <s v="Gouri Priya"/>
    <s v="Pradeep P"/>
    <s v="Akshata Nayak Non IT"/>
    <s v="Mohammed Saber"/>
    <n v="1"/>
    <s v="C36231400"/>
    <x v="28"/>
    <n v="32130"/>
    <n v="12130"/>
    <s v="UHG(BCI &amp; SS)"/>
    <n v="6"/>
    <x v="1"/>
    <x v="1"/>
  </r>
  <r>
    <s v="Raja Shekhar"/>
    <s v="Prathyusha Mangalampalli"/>
    <s v="Akshata Nayak Non IT"/>
    <s v="Mohammed Afrose  mohiuddin"/>
    <n v="1"/>
    <s v="C36231209"/>
    <x v="85"/>
    <n v="38377"/>
    <n v="13377"/>
    <s v="UHG(BCI &amp; SS)"/>
    <n v="6"/>
    <x v="1"/>
    <x v="1"/>
  </r>
  <r>
    <s v="Poorvi Kundur"/>
    <s v="Monisha RR"/>
    <s v="Akshata Nayak Non IT"/>
    <s v="Kiran Manoj U"/>
    <n v="6"/>
    <s v="C36231111"/>
    <x v="73"/>
    <n v="34375"/>
    <n v="6875"/>
    <s v="HP"/>
    <n v="5"/>
    <x v="0"/>
    <x v="0"/>
  </r>
  <r>
    <s v="Narendra Kumar Debariki"/>
    <s v="Pradeep P"/>
    <s v="Akshata Nayak Non IT"/>
    <s v="Badini  Srinivas"/>
    <n v="1"/>
    <s v="C36231159"/>
    <x v="79"/>
    <n v="72292.5"/>
    <n v="9792.5"/>
    <s v="UHG(BCI &amp; SS)"/>
    <n v="6"/>
    <x v="1"/>
    <x v="1"/>
  </r>
  <r>
    <s v="Nivetha M"/>
    <s v="Anmol K"/>
    <s v="Gurudutt kh"/>
    <s v="Sayyad Sohel Imam"/>
    <n v="2"/>
    <s v="C36231133"/>
    <x v="78"/>
    <n v="27000"/>
    <n v="1000"/>
    <s v="Accenture_IDB"/>
    <n v="5"/>
    <x v="2"/>
    <x v="3"/>
  </r>
  <r>
    <s v="Sharad Kiran"/>
    <s v="Prathyusha Mangalampalli"/>
    <s v="Akshata Nayak Non IT"/>
    <s v="Hitesh Jairam Chawla"/>
    <n v="2"/>
    <s v="C36231172"/>
    <x v="71"/>
    <n v="48000"/>
    <n v="8000"/>
    <s v="Accenture-voice"/>
    <n v="6"/>
    <x v="0"/>
    <x v="9"/>
  </r>
  <r>
    <s v="Sharad Kiran"/>
    <s v="Prathyusha Mangalampalli"/>
    <s v="Akshata Nayak Non IT"/>
    <s v="Javed Khan"/>
    <n v="2"/>
    <s v="C36231232"/>
    <x v="71"/>
    <n v="48000"/>
    <n v="8000"/>
    <s v="Accenture-voice"/>
    <n v="6"/>
    <x v="0"/>
    <x v="9"/>
  </r>
  <r>
    <s v="Monika Vakati"/>
    <s v="Prathyusha Mangalampalli"/>
    <s v="Akshata Nayak Non IT"/>
    <s v="Judhajit  Ray"/>
    <n v="2"/>
    <s v="C36231102"/>
    <x v="71"/>
    <n v="46560"/>
    <n v="7760"/>
    <s v="Accenture-voice"/>
    <n v="6"/>
    <x v="0"/>
    <x v="9"/>
  </r>
  <r>
    <s v="Moin Khan"/>
    <s v="Namitha Gowda"/>
    <s v="Prathap Sagar"/>
    <s v="Prasad Laxman Thorat"/>
    <n v="1"/>
    <s v="C36231136"/>
    <x v="78"/>
    <n v="26000"/>
    <n v="1000"/>
    <s v="Accenture_IDB"/>
    <n v="5"/>
    <x v="2"/>
    <x v="3"/>
  </r>
  <r>
    <s v="Mouli Roy"/>
    <s v="Prathyusha Mangalampalli"/>
    <s v="Akshata Nayak Non IT"/>
    <s v="Varun Suresh Mhatre"/>
    <n v="2"/>
    <s v="C36231114"/>
    <x v="71"/>
    <n v="38400"/>
    <n v="6400"/>
    <s v="Accenture-voice"/>
    <n v="6"/>
    <x v="0"/>
    <x v="9"/>
  </r>
  <r>
    <s v="Monika Vakati"/>
    <s v="Prathyusha Mangalampalli"/>
    <s v="Akshata Nayak Non IT"/>
    <s v="Wasim  maqbool Sayed"/>
    <n v="2"/>
    <s v="C36231173"/>
    <x v="71"/>
    <n v="48000"/>
    <n v="8000"/>
    <s v="Accenture-voice"/>
    <n v="6"/>
    <x v="0"/>
    <x v="9"/>
  </r>
  <r>
    <s v="Sumanth K"/>
    <s v="Fazila K"/>
    <s v="Prathap Sagar"/>
    <s v=" Kunal Bhaskar Prabhu "/>
    <n v="2"/>
    <s v="C36231134"/>
    <x v="78"/>
    <n v="29000"/>
    <n v="1500"/>
    <s v="Accenture_IDB"/>
    <n v="5"/>
    <x v="2"/>
    <x v="3"/>
  </r>
  <r>
    <s v="Sharad Kiran"/>
    <s v="Prathyusha Mangalampalli"/>
    <s v="Akshata Nayak Non IT"/>
    <s v="Angelica Pereira"/>
    <n v="2"/>
    <s v="C36231170"/>
    <x v="71"/>
    <n v="36000"/>
    <n v="6000"/>
    <s v="Accenture-voice"/>
    <n v="5"/>
    <x v="0"/>
    <x v="9"/>
  </r>
  <r>
    <s v="Sagar CM"/>
    <s v="Suman S"/>
    <s v="Prathap Sagar"/>
    <s v="Deepak M "/>
    <n v="2"/>
    <s v="C36231120"/>
    <x v="104"/>
    <n v="195000"/>
    <n v="7500"/>
    <s v="Accenture_IDB"/>
    <n v="6"/>
    <x v="2"/>
    <x v="3"/>
  </r>
  <r>
    <s v="Sireesha K"/>
    <s v="Prathyusha Mangalampalli"/>
    <s v="Akshata Nayak Non IT"/>
    <s v="Sweta Pramod  Dussa"/>
    <n v="2"/>
    <s v="C36231208"/>
    <x v="79"/>
    <n v="28750"/>
    <n v="3750"/>
    <s v="Accenture_BPO"/>
    <n v="6"/>
    <x v="0"/>
    <x v="9"/>
  </r>
  <r>
    <s v="Pooja K"/>
    <s v="Prathyusha Mangalampalli"/>
    <s v="Akshata Nayak Non IT"/>
    <s v="M Kowshiga "/>
    <n v="2"/>
    <s v="C36231139"/>
    <x v="30"/>
    <n v="17400"/>
    <n v="2400"/>
    <s v="Accenture_BPO"/>
    <n v="6"/>
    <x v="0"/>
    <x v="9"/>
  </r>
  <r>
    <s v="Javeed Khan"/>
    <s v="Prathyusha Mangalampalli"/>
    <s v="Akshata Nayak Non IT"/>
    <s v="Praveenaa N"/>
    <n v="2"/>
    <s v="C36231124"/>
    <x v="104"/>
    <n v="17400"/>
    <n v="2400"/>
    <s v="Accenture_BPO"/>
    <n v="6"/>
    <x v="0"/>
    <x v="9"/>
  </r>
  <r>
    <s v="Surekha S"/>
    <s v="Monisha RR"/>
    <s v="Akshata Nayak Non IT"/>
    <s v="Janis Jasin M"/>
    <n v="2"/>
    <s v="C36231810"/>
    <x v="106"/>
    <n v="41708.33"/>
    <n v="3791.67"/>
    <s v="Kennametal IT"/>
    <n v="6"/>
    <x v="1"/>
    <x v="7"/>
  </r>
  <r>
    <s v="Saravana BA"/>
    <s v="Mehr Hashim D"/>
    <s v="Mehr Hashim"/>
    <s v="Paresh Nath Swain"/>
    <n v="2"/>
    <s v="C36231239"/>
    <x v="107"/>
    <n v="373800"/>
    <n v="132134"/>
    <s v="GE Healthcare Global Private Limited."/>
    <n v="5"/>
    <x v="5"/>
    <x v="10"/>
  </r>
  <r>
    <s v="Karthik AK"/>
    <s v="Rashmi N"/>
    <s v="Vignesh P"/>
    <s v="Jyothi N"/>
    <n v="2"/>
    <s v="C36231377"/>
    <x v="87"/>
    <n v="61749.87"/>
    <n v="14249.87"/>
    <s v="NetApp"/>
    <n v="5"/>
    <x v="5"/>
    <x v="17"/>
  </r>
  <r>
    <s v="Karthik Venkatesh"/>
    <s v="Priyakantha K"/>
    <s v="Prathap Sagar"/>
    <s v="Tabeer Shafi  Bhat"/>
    <n v="2"/>
    <s v="C36231195"/>
    <x v="86"/>
    <n v="30000"/>
    <n v="5000"/>
    <s v="Accenture_IDB"/>
    <n v="6"/>
    <x v="2"/>
    <x v="3"/>
  </r>
  <r>
    <s v="Mehraj N"/>
    <s v="Prathyusha Mangalampalli"/>
    <s v="Akshata Nayak Non IT"/>
    <s v="R Chandana"/>
    <n v="2"/>
    <s v="C36231220"/>
    <x v="20"/>
    <n v="48000"/>
    <n v="8000"/>
    <s v="Accenture-voice"/>
    <n v="6"/>
    <x v="0"/>
    <x v="9"/>
  </r>
  <r>
    <s v="Mehraj N"/>
    <s v="Prathyusha Mangalampalli"/>
    <s v="Akshata Nayak Non IT"/>
    <s v="Manideepa L"/>
    <n v="2"/>
    <s v="C36231221"/>
    <x v="20"/>
    <n v="45600"/>
    <n v="7600"/>
    <s v="Accenture-voice"/>
    <n v="5"/>
    <x v="0"/>
    <x v="9"/>
  </r>
  <r>
    <s v="Priya b"/>
    <s v="Prathyusha Mangalampalli"/>
    <s v="Akshata Nayak Non IT"/>
    <s v="Nancy Metilda Johnson"/>
    <n v="2"/>
    <s v="C36231222"/>
    <x v="20"/>
    <n v="17400"/>
    <n v="2400"/>
    <s v="Accenture_BPO"/>
    <n v="5"/>
    <x v="0"/>
    <x v="9"/>
  </r>
  <r>
    <s v="Mehraj N"/>
    <s v="Prathyusha Mangalampalli"/>
    <s v="Akshata Nayak Non IT"/>
    <s v="Tanisha P U"/>
    <n v="2"/>
    <s v="C36231223"/>
    <x v="20"/>
    <n v="48000"/>
    <n v="8000"/>
    <s v="Accenture-voice"/>
    <n v="5"/>
    <x v="0"/>
    <x v="9"/>
  </r>
  <r>
    <s v="Priya b"/>
    <s v="Prathyusha Mangalampalli"/>
    <s v="Akshata Nayak Non IT"/>
    <s v=" MunigantiPavan Chary"/>
    <n v="1"/>
    <s v="C36231321"/>
    <x v="28"/>
    <n v="0"/>
    <n v="-20000"/>
    <s v="UHG(BCI &amp; SS)"/>
    <n v="6"/>
    <x v="1"/>
    <x v="1"/>
  </r>
  <r>
    <s v="Priya b"/>
    <s v="Prathyusha Mangalampalli"/>
    <s v="Akshata Nayak Non IT"/>
    <s v="Koppula Maria Showry"/>
    <n v="1"/>
    <s v="C36231532"/>
    <x v="92"/>
    <n v="26775"/>
    <n v="6775"/>
    <s v="UHG(BCI &amp; SS)"/>
    <n v="6"/>
    <x v="1"/>
    <x v="1"/>
  </r>
  <r>
    <s v="Gouri Priya"/>
    <s v="Pradeep P"/>
    <s v="Akshata Nayak Non IT"/>
    <s v="Hussain Bin Ali Kaseri"/>
    <n v="1"/>
    <s v="C36231401"/>
    <x v="28"/>
    <n v="32130"/>
    <n v="12130"/>
    <s v="UHG(BCI &amp; SS)"/>
    <n v="6"/>
    <x v="1"/>
    <x v="1"/>
  </r>
  <r>
    <s v="Arpita Biswal"/>
    <s v="Anitha C"/>
    <s v="Akshata Nayak Non IT"/>
    <s v="Pavitra E"/>
    <n v="2"/>
    <s v="C36231171"/>
    <x v="76"/>
    <n v="34500"/>
    <n v="4500"/>
    <s v="Accenture_BPO"/>
    <n v="5"/>
    <x v="0"/>
    <x v="9"/>
  </r>
  <r>
    <s v="Deepthi C"/>
    <s v="Anitha C"/>
    <s v="Akshata Nayak Non IT"/>
    <s v="Debabrata Sahoo"/>
    <n v="2"/>
    <s v="C36231167"/>
    <x v="76"/>
    <n v="34500"/>
    <n v="4500"/>
    <s v="Accenture_BPO"/>
    <n v="6"/>
    <x v="0"/>
    <x v="9"/>
  </r>
  <r>
    <s v="Gouri Priya"/>
    <s v="Pradeep P"/>
    <s v="Akshata Nayak Non IT"/>
    <s v="Shaik Asif Basha"/>
    <n v="1"/>
    <s v="C36231669"/>
    <x v="93"/>
    <n v="32130"/>
    <n v="12130"/>
    <s v="UHG(BCI &amp; SS)"/>
    <n v="6"/>
    <x v="1"/>
    <x v="1"/>
  </r>
  <r>
    <s v="Deepthi C"/>
    <s v="Anitha C"/>
    <s v="Akshata Nayak Non IT"/>
    <s v="Shreya K R "/>
    <n v="2"/>
    <s v="C36231168"/>
    <x v="76"/>
    <n v="35400"/>
    <n v="5400"/>
    <s v="Accenture_BPO"/>
    <n v="6"/>
    <x v="0"/>
    <x v="9"/>
  </r>
  <r>
    <s v="Gopal V"/>
    <s v="Tamil C"/>
    <s v="Akshata Nayak"/>
    <s v="Bijaya Ray"/>
    <n v="1"/>
    <s v="C36231553"/>
    <x v="89"/>
    <n v="295566.5"/>
    <n v="53900.5"/>
    <s v="DXC"/>
    <n v="5"/>
    <x v="1"/>
    <x v="6"/>
  </r>
  <r>
    <s v="Uma Sree"/>
    <s v="Mehr Hashim D"/>
    <s v="Mehr Hashim"/>
    <s v="Karthikeyan  R"/>
    <n v="2"/>
    <s v="C36231117"/>
    <x v="79"/>
    <n v="286000"/>
    <n v="111000"/>
    <s v="SONY Software Development Centre"/>
    <n v="5"/>
    <x v="5"/>
    <x v="10"/>
  </r>
  <r>
    <s v="Karthik Venkatesh"/>
    <s v="Priyakantha K"/>
    <s v="Prathap Sagar"/>
    <s v="Shreyas  V"/>
    <n v="2"/>
    <s v="C36231188"/>
    <x v="76"/>
    <n v="37000"/>
    <n v="7000"/>
    <s v="Accenture_IDB"/>
    <n v="5"/>
    <x v="2"/>
    <x v="3"/>
  </r>
  <r>
    <s v="Manjunath R"/>
    <s v="Mehr Hashim D"/>
    <s v="Mehr Hashim"/>
    <s v="Tanwisha Kanjilal"/>
    <n v="2"/>
    <s v="C36231150"/>
    <x v="78"/>
    <n v="160000"/>
    <n v="60000"/>
    <s v="Schneider Electric"/>
    <n v="5"/>
    <x v="5"/>
    <x v="10"/>
  </r>
  <r>
    <s v="Prateek A"/>
    <s v="Mehr Hashim D"/>
    <s v="Mehr Hashim"/>
    <s v="Vaishnavi Kakad"/>
    <n v="2"/>
    <s v="C36231121"/>
    <x v="79"/>
    <n v="180000"/>
    <n v="42500"/>
    <s v="SONY Software Development Centre"/>
    <n v="6"/>
    <x v="5"/>
    <x v="10"/>
  </r>
  <r>
    <s v="Arpita Biswal"/>
    <s v="Anitha C"/>
    <s v="Akshata Nayak Non IT"/>
    <s v="Gujja Likhitha"/>
    <n v="1"/>
    <s v="C36231403"/>
    <x v="28"/>
    <n v="32130"/>
    <n v="12130"/>
    <s v="UHG(BCI &amp; SS)"/>
    <n v="6"/>
    <x v="1"/>
    <x v="1"/>
  </r>
  <r>
    <s v="Deepthi C"/>
    <s v="Anitha C"/>
    <s v="Akshata Nayak Non IT"/>
    <s v="Aravindan S "/>
    <n v="2"/>
    <s v="C36231331"/>
    <x v="76"/>
    <n v="34500"/>
    <n v="4500"/>
    <s v="Accenture_BPO"/>
    <n v="5"/>
    <x v="0"/>
    <x v="9"/>
  </r>
  <r>
    <s v="Arpita Biswal"/>
    <s v="Anitha C"/>
    <s v="Akshata Nayak Non IT"/>
    <s v="Narasimha Sai Pathro"/>
    <n v="1"/>
    <s v="C36231543"/>
    <x v="92"/>
    <n v="26775"/>
    <n v="6775"/>
    <s v="UHG(BCI &amp; SS)"/>
    <n v="6"/>
    <x v="1"/>
    <x v="1"/>
  </r>
  <r>
    <s v="Mehraj N"/>
    <s v="Prathyusha Mangalampalli"/>
    <s v="Akshata Nayak Non IT"/>
    <s v="Rukmini Krishnan Venkatraman"/>
    <n v="2"/>
    <s v="C36231224"/>
    <x v="20"/>
    <n v="42000"/>
    <n v="7000"/>
    <s v="Accenture-voice"/>
    <n v="6"/>
    <x v="0"/>
    <x v="9"/>
  </r>
  <r>
    <s v="Arpita Biswal"/>
    <s v="Anitha C"/>
    <s v="Akshata Nayak Non IT"/>
    <s v="J Kiran Kumar"/>
    <n v="1"/>
    <s v="C36231565"/>
    <x v="92"/>
    <n v="26775"/>
    <n v="6775"/>
    <s v="UHG(BCI &amp; SS)"/>
    <n v="6"/>
    <x v="1"/>
    <x v="1"/>
  </r>
  <r>
    <s v="Mouli Roy"/>
    <s v="Prathyusha Mangalampalli"/>
    <s v="Akshata Nayak Non IT"/>
    <s v="Shankar G S"/>
    <n v="2"/>
    <s v="C36231156"/>
    <x v="66"/>
    <n v="28750"/>
    <n v="3750"/>
    <s v="Accenture_BPO"/>
    <n v="5"/>
    <x v="0"/>
    <x v="9"/>
  </r>
  <r>
    <s v="Mehraj N"/>
    <s v="Prathyusha Mangalampalli"/>
    <s v="Akshata Nayak Non IT"/>
    <s v="T Gireesha "/>
    <n v="2"/>
    <s v="C36231155"/>
    <x v="105"/>
    <n v="24265"/>
    <n v="3165"/>
    <s v="Accenture_BPO"/>
    <n v="5"/>
    <x v="0"/>
    <x v="9"/>
  </r>
  <r>
    <s v="Surabhi K"/>
    <s v="Mehr Hashim D"/>
    <s v="Mehr Hashim"/>
    <s v="Saket Harsh"/>
    <n v="2"/>
    <s v="C36231125"/>
    <x v="104"/>
    <n v="170000"/>
    <n v="45000"/>
    <s v="SONY Software Development Centre"/>
    <n v="5"/>
    <x v="5"/>
    <x v="10"/>
  </r>
  <r>
    <s v="Moin Khan"/>
    <s v="Namitha Gowda"/>
    <s v="Prathap Sagar"/>
    <s v="Ramesh Sarjerao Jadhav"/>
    <n v="1"/>
    <s v="C36231163"/>
    <x v="76"/>
    <n v="26000"/>
    <n v="1000"/>
    <s v="Accenture_IDB"/>
    <n v="5"/>
    <x v="2"/>
    <x v="3"/>
  </r>
  <r>
    <s v="Maheshwari K S"/>
    <s v="Monisha RR"/>
    <s v="Akshata Nayak Non IT"/>
    <s v="Mithun S S"/>
    <n v="2"/>
    <s v="C36232087"/>
    <x v="108"/>
    <n v="32083.33"/>
    <n v="2917.33"/>
    <s v="Kennametal IT"/>
    <n v="5"/>
    <x v="1"/>
    <x v="7"/>
  </r>
  <r>
    <s v="Bindushree R"/>
    <s v="Prathyusha Mangalampalli"/>
    <s v="Akshata Nayak Non IT"/>
    <s v="Sherlin "/>
    <n v="2"/>
    <s v="C36231206"/>
    <x v="30"/>
    <n v="17400"/>
    <n v="2400"/>
    <s v="Accenture_BPO"/>
    <n v="5"/>
    <x v="0"/>
    <x v="9"/>
  </r>
  <r>
    <s v="Pariki Pradeep"/>
    <s v="Akshata Nayak"/>
    <s v="Pariki Pradeep"/>
    <s v="Shaik Abdul Salam"/>
    <n v="1"/>
    <s v="C36231881"/>
    <x v="103"/>
    <n v="72292.5"/>
    <n v="9792.5"/>
    <s v="UHG(BCI &amp; SS)"/>
    <n v="6"/>
    <x v="1"/>
    <x v="1"/>
  </r>
  <r>
    <s v="Vinayak Kamath"/>
    <s v="Namitha Gowda"/>
    <s v="Prathap Sagar"/>
    <s v="Gurajapu Mohan kumar "/>
    <n v="1"/>
    <s v="C36231344"/>
    <x v="28"/>
    <n v="32130"/>
    <n v="12130"/>
    <s v="UHG(BCI &amp; SS)"/>
    <n v="6"/>
    <x v="1"/>
    <x v="1"/>
  </r>
  <r>
    <s v="Rohit M"/>
    <s v="Namitha Gowda"/>
    <s v="Prathap Sagar"/>
    <s v="Sonal  Kadave"/>
    <n v="2"/>
    <s v="C36231164"/>
    <x v="76"/>
    <n v="29000"/>
    <n v="4000"/>
    <s v="Accenture_IDB"/>
    <n v="5"/>
    <x v="2"/>
    <x v="3"/>
  </r>
  <r>
    <s v="Karnikasri P"/>
    <s v="Priyakantha K"/>
    <s v="Prathap Sagar"/>
    <s v="Ravishankar Prabhunath Yadav"/>
    <n v="2"/>
    <s v="C36231196"/>
    <x v="86"/>
    <n v="28000"/>
    <n v="2000"/>
    <s v="Accenture_IDB"/>
    <n v="5"/>
    <x v="2"/>
    <x v="3"/>
  </r>
  <r>
    <s v="Poorvi Kundur"/>
    <s v="Monisha RR"/>
    <s v="Akshata Nayak Non IT"/>
    <s v="Donapati Manohar Reddy"/>
    <n v="2"/>
    <s v="C36230885"/>
    <x v="58"/>
    <n v="27500"/>
    <n v="2500"/>
    <s v="Kennametal shared services"/>
    <n v="5"/>
    <x v="1"/>
    <x v="7"/>
  </r>
  <r>
    <s v="Manjunath R"/>
    <s v="Mehr Hashim D"/>
    <s v="Mehr Hashim"/>
    <s v="Omprakash  E.S.R"/>
    <n v="2"/>
    <s v="C36231177"/>
    <x v="109"/>
    <n v="314500"/>
    <n v="22834"/>
    <s v="Schneider Electric"/>
    <n v="6"/>
    <x v="5"/>
    <x v="10"/>
  </r>
  <r>
    <s v="Maheshwari K S"/>
    <s v="Monisha RR"/>
    <s v="Akshata Nayak Non IT"/>
    <s v="Papunu Raul"/>
    <n v="2"/>
    <s v="C36232028"/>
    <x v="110"/>
    <n v="41708.33"/>
    <n v="3792.33"/>
    <s v="Kennametal shared services"/>
    <n v="5"/>
    <x v="1"/>
    <x v="7"/>
  </r>
  <r>
    <s v="Bharath Raj"/>
    <s v="Namitha Gowda"/>
    <s v="Prathap Sagar"/>
    <s v="Pranay Dipak Pavar"/>
    <n v="2"/>
    <s v="C36231200"/>
    <x v="109"/>
    <n v="26000"/>
    <n v="1000"/>
    <s v="Accenture_IDB"/>
    <n v="5"/>
    <x v="2"/>
    <x v="3"/>
  </r>
  <r>
    <s v="Gopal V"/>
    <s v="Tamil C"/>
    <s v="Akshata Nayak"/>
    <s v="Hemant Daiya"/>
    <n v="4"/>
    <s v="O36230061"/>
    <x v="78"/>
    <n v="369458.13"/>
    <n v="77792.13"/>
    <s v="DXC"/>
    <n v="6"/>
    <x v="1"/>
    <x v="6"/>
  </r>
  <r>
    <s v="Deepthi C"/>
    <s v="Anitha C"/>
    <s v="Akshata Nayak Non IT"/>
    <s v="Racharla Shyam Sunder"/>
    <n v="2"/>
    <s v="C36231203"/>
    <x v="76"/>
    <n v="34500"/>
    <n v="4500"/>
    <s v="Accenture_BPO"/>
    <n v="5"/>
    <x v="0"/>
    <x v="9"/>
  </r>
  <r>
    <s v="Sai Vineeth"/>
    <s v="Pradeep P"/>
    <s v="Akshata Nayak Non IT"/>
    <s v="Vodala  Karthik"/>
    <n v="1"/>
    <s v="C36231566"/>
    <x v="92"/>
    <n v="26775"/>
    <n v="6775"/>
    <s v="UHG(BCI &amp; SS)"/>
    <n v="6"/>
    <x v="1"/>
    <x v="1"/>
  </r>
  <r>
    <s v="Maheshwari K S"/>
    <s v="Monisha RR"/>
    <s v="Akshata Nayak Non IT"/>
    <s v="Sowmya.G"/>
    <n v="2"/>
    <s v="C36232109"/>
    <x v="111"/>
    <n v="41708.33"/>
    <n v="3792.33"/>
    <s v="Kennametal shared services"/>
    <n v="6"/>
    <x v="1"/>
    <x v="7"/>
  </r>
  <r>
    <s v="Shiva Prasad"/>
    <s v="Fazila K"/>
    <s v="Prathap Sagar"/>
    <s v="Krushna Bhika  Darade"/>
    <n v="2"/>
    <s v="C36231278"/>
    <x v="112"/>
    <n v="25680"/>
    <n v="680"/>
    <s v="Accenture_IDB"/>
    <n v="6"/>
    <x v="2"/>
    <x v="3"/>
  </r>
  <r>
    <s v="Ram Praveen B"/>
    <s v="Fazila K"/>
    <s v="Prathap Sagar"/>
    <s v="Tanaji Babaso Jadhav "/>
    <n v="2"/>
    <s v="C36231233"/>
    <x v="113"/>
    <n v="25000"/>
    <n v="667"/>
    <s v="Accenture_IDB"/>
    <n v="5"/>
    <x v="2"/>
    <x v="3"/>
  </r>
  <r>
    <s v="Shiva Prasad"/>
    <s v="Fazila K"/>
    <s v="Prathap Sagar"/>
    <s v="Mahima M. Chhinchani"/>
    <n v="2"/>
    <s v="C36231154"/>
    <x v="66"/>
    <n v="178500"/>
    <n v="61834"/>
    <s v="Infosys"/>
    <n v="6"/>
    <x v="2"/>
    <x v="3"/>
  </r>
  <r>
    <s v="Sachin K"/>
    <s v="Prathyusha Mangalampalli"/>
    <s v="Akshata Nayak Non IT"/>
    <s v="Urmila Umakant Parida"/>
    <n v="2"/>
    <s v="C36231252"/>
    <x v="20"/>
    <n v="48000"/>
    <n v="8000"/>
    <s v="Accenture-voice"/>
    <n v="5"/>
    <x v="0"/>
    <x v="9"/>
  </r>
  <r>
    <s v="Bindushree R"/>
    <s v="Prathyusha Mangalampalli"/>
    <s v="Akshata Nayak Non IT"/>
    <s v="Uppula Vamshi  Raj"/>
    <n v="1"/>
    <s v="C36231590"/>
    <x v="92"/>
    <n v="26775"/>
    <n v="6775"/>
    <s v="UHG(BCI &amp; SS)"/>
    <n v="6"/>
    <x v="1"/>
    <x v="1"/>
  </r>
  <r>
    <s v="Bindushree R"/>
    <s v="Prathyusha Mangalampalli"/>
    <s v="Akshata Nayak Non IT"/>
    <s v="Doupati Vijaykumar "/>
    <n v="1"/>
    <s v="C36231591"/>
    <x v="92"/>
    <n v="26775"/>
    <n v="6775"/>
    <s v="UHG(BCI &amp; SS)"/>
    <n v="6"/>
    <x v="1"/>
    <x v="1"/>
  </r>
  <r>
    <s v="Athriya Shet"/>
    <s v="Suman S"/>
    <s v="Prathap Sagar"/>
    <s v=" Swarangi Rajendra Borkar "/>
    <n v="2"/>
    <s v="C36231179"/>
    <x v="109"/>
    <n v="26000"/>
    <n v="1000"/>
    <s v="Accenture_IDB"/>
    <n v="5"/>
    <x v="2"/>
    <x v="3"/>
  </r>
  <r>
    <s v="Athriya Shet"/>
    <s v="Suman S"/>
    <s v="Prathap Sagar"/>
    <s v="Bhushan Bhagwan Pawar"/>
    <n v="2"/>
    <s v="C36231211"/>
    <x v="86"/>
    <n v="27000"/>
    <n v="2000"/>
    <s v="Accenture_IDB"/>
    <n v="5"/>
    <x v="2"/>
    <x v="3"/>
  </r>
  <r>
    <s v="Anusha BJ"/>
    <s v="Tara VR"/>
    <s v="Prathap Sagar"/>
    <s v="Aparna Subhash Veer"/>
    <n v="2"/>
    <s v="C36231192"/>
    <x v="109"/>
    <n v="28000"/>
    <n v="1334"/>
    <s v="Accenture_IDB"/>
    <n v="5"/>
    <x v="2"/>
    <x v="3"/>
  </r>
  <r>
    <s v="Sagar CM"/>
    <s v="Suman S"/>
    <s v="Prathap Sagar"/>
    <s v="Vishal Vilas Mahajan "/>
    <n v="2"/>
    <s v="C36231279"/>
    <x v="112"/>
    <n v="27000"/>
    <n v="1166.67"/>
    <s v="Accenture_IDB"/>
    <n v="6"/>
    <x v="2"/>
    <x v="3"/>
  </r>
  <r>
    <s v="Chaitra BR"/>
    <s v="Fazila K"/>
    <s v="Prathap Sagar"/>
    <s v="Shailesh Dnyandev kachare"/>
    <n v="2"/>
    <s v="C36231166"/>
    <x v="76"/>
    <n v="26750"/>
    <n v="1750"/>
    <s v="Accenture_IDB"/>
    <n v="5"/>
    <x v="2"/>
    <x v="3"/>
  </r>
  <r>
    <s v="Nivetha M"/>
    <s v="Anmol K"/>
    <s v="Gurudutt kh"/>
    <s v="Priyanka Dilip Shingade "/>
    <n v="2"/>
    <s v="C36231169"/>
    <x v="76"/>
    <n v="28000"/>
    <n v="2500"/>
    <s v="Accenture_IDB"/>
    <n v="5"/>
    <x v="2"/>
    <x v="3"/>
  </r>
  <r>
    <s v="Sindhu N"/>
    <s v="Eugene kurian"/>
    <s v="Anmol Katoch"/>
    <s v="Umeshchandra  Jaiswal"/>
    <n v="2"/>
    <s v="C36231236"/>
    <x v="113"/>
    <n v="26000"/>
    <n v="1000"/>
    <s v="Accenture_IDB"/>
    <n v="5"/>
    <x v="2"/>
    <x v="3"/>
  </r>
  <r>
    <s v="Swathi Shetty"/>
    <s v="Suman S"/>
    <s v="Prathap Sagar"/>
    <s v="Shaikh Nazim Shaikh Nasir"/>
    <n v="2"/>
    <s v="C36231197"/>
    <x v="86"/>
    <n v="26000"/>
    <n v="1000"/>
    <s v="Accenture_IDB"/>
    <n v="5"/>
    <x v="2"/>
    <x v="3"/>
  </r>
  <r>
    <s v="Manda Ushodaya"/>
    <s v="Fazila K"/>
    <s v="Prathap Sagar"/>
    <s v="Chillarge Ganesh Devendra  "/>
    <n v="2"/>
    <s v="C36231198"/>
    <x v="86"/>
    <n v="26000"/>
    <n v="1000"/>
    <s v="Accenture_IDB"/>
    <n v="5"/>
    <x v="2"/>
    <x v="3"/>
  </r>
  <r>
    <s v="Mehraj N"/>
    <s v="Prathyusha Mangalampalli"/>
    <s v="Akshata Nayak Non IT"/>
    <s v="Rohit Mohan Shinde"/>
    <n v="2"/>
    <s v="C36231225"/>
    <x v="20"/>
    <n v="48000"/>
    <n v="8000"/>
    <s v="Accenture-voice"/>
    <n v="6"/>
    <x v="0"/>
    <x v="9"/>
  </r>
  <r>
    <s v="Mehraj N"/>
    <s v="Prathyusha Mangalampalli"/>
    <s v="Akshata Nayak Non IT"/>
    <s v=" Mohd Wasiuddin "/>
    <n v="1"/>
    <s v="C36231422"/>
    <x v="28"/>
    <n v="0"/>
    <n v="-20000"/>
    <s v="UHG(BCI &amp; SS)"/>
    <n v="6"/>
    <x v="1"/>
    <x v="1"/>
  </r>
  <r>
    <s v="Bilasini Tripathy"/>
    <s v="Suman S"/>
    <s v="Prathap Sagar"/>
    <s v="Bomma Sulakshana "/>
    <n v="2"/>
    <s v="C36231358"/>
    <x v="114"/>
    <n v="65000"/>
    <n v="9167"/>
    <s v="Accenture_IDB"/>
    <n v="5"/>
    <x v="2"/>
    <x v="3"/>
  </r>
  <r>
    <s v="Anu Radhakrishnan"/>
    <s v="Sabreena Jabeen"/>
    <s v="Sabreena Jabeen"/>
    <s v="Rahul Waikar"/>
    <n v="2"/>
    <s v="C36231212"/>
    <x v="86"/>
    <n v="26000"/>
    <n v="4000"/>
    <s v="Accenture_IDB"/>
    <n v="5"/>
    <x v="2"/>
    <x v="3"/>
  </r>
  <r>
    <s v="Mehraj N"/>
    <s v="Prathyusha Mangalampalli"/>
    <s v="Akshata Nayak Non IT"/>
    <s v="Yara Shirisha"/>
    <n v="1"/>
    <s v="C36231544"/>
    <x v="92"/>
    <n v="26775"/>
    <n v="6775"/>
    <s v="UHG(BCI &amp; SS)"/>
    <n v="6"/>
    <x v="1"/>
    <x v="1"/>
  </r>
  <r>
    <s v="Sandipta Panigrahi"/>
    <s v="Mehr Hashim D"/>
    <s v="Mehr Hashim"/>
    <s v="Kamma Praveen Kumar "/>
    <n v="2"/>
    <s v="C36231277"/>
    <x v="115"/>
    <n v="474999.84"/>
    <n v="58333.84"/>
    <s v="Pure Storage"/>
    <n v="5"/>
    <x v="5"/>
    <x v="10"/>
  </r>
  <r>
    <s v="Mehraj N"/>
    <s v="Prathyusha Mangalampalli"/>
    <s v="Akshata Nayak Non IT"/>
    <s v="Melam Stalin Nehimiah"/>
    <n v="1"/>
    <s v="C36231567"/>
    <x v="92"/>
    <n v="26775"/>
    <n v="6775"/>
    <s v="UHG(BCI &amp; SS)"/>
    <n v="6"/>
    <x v="1"/>
    <x v="1"/>
  </r>
  <r>
    <s v="Shivangi Gupta"/>
    <s v="Mehr Hashim D"/>
    <s v="Mehr Hashim"/>
    <s v="Vipul Saini"/>
    <n v="2"/>
    <s v="C36231201"/>
    <x v="109"/>
    <n v="336000"/>
    <n v="69334"/>
    <s v="GE Healthcare Global Private Limited."/>
    <n v="5"/>
    <x v="5"/>
    <x v="10"/>
  </r>
  <r>
    <s v="Poorvi Kundur"/>
    <s v="Monisha RR"/>
    <s v="Akshata Nayak Non IT"/>
    <s v=" N Chetan Kumar"/>
    <n v="6"/>
    <s v="C36231180"/>
    <x v="109"/>
    <n v="34375"/>
    <n v="6875"/>
    <s v="HP"/>
    <n v="6"/>
    <x v="0"/>
    <x v="0"/>
  </r>
  <r>
    <s v="Krishna priya"/>
    <s v="Suman S"/>
    <s v="Prathap Sagar"/>
    <s v="Prashanta Mahesha Umarani"/>
    <n v="2"/>
    <s v="C36231234"/>
    <x v="20"/>
    <n v="30000"/>
    <n v="5000"/>
    <s v="Accenture_IDB"/>
    <n v="5"/>
    <x v="2"/>
    <x v="3"/>
  </r>
  <r>
    <s v="Mouli Roy"/>
    <s v="Prathyusha Mangalampalli"/>
    <s v="Akshata Nayak Non IT"/>
    <s v="Akanksha Balasaheb Balladhye"/>
    <n v="2"/>
    <s v="C36231267"/>
    <x v="20"/>
    <n v="38400"/>
    <n v="6400"/>
    <s v="Accenture-voice"/>
    <n v="6"/>
    <x v="0"/>
    <x v="9"/>
  </r>
  <r>
    <s v="Sai Vineeth"/>
    <s v="Pradeep P"/>
    <s v="Akshata Nayak Non IT"/>
    <s v="Basiri Supriya"/>
    <n v="1"/>
    <s v="C36231406"/>
    <x v="28"/>
    <n v="0"/>
    <n v="-20000"/>
    <s v="UHG(BCI &amp; SS)"/>
    <n v="6"/>
    <x v="1"/>
    <x v="1"/>
  </r>
  <r>
    <s v="Keerthana S"/>
    <s v="Monisha RR"/>
    <s v="Akshata Nayak Non IT"/>
    <s v="Keerthana Krishnan"/>
    <n v="6"/>
    <s v="C36231202"/>
    <x v="109"/>
    <n v="34375"/>
    <n v="6875"/>
    <s v="HP"/>
    <n v="5"/>
    <x v="0"/>
    <x v="0"/>
  </r>
  <r>
    <s v="Pradeep S"/>
    <s v="Monisha RR"/>
    <s v="Akshata Nayak Non IT"/>
    <s v="Ashmit Chakraborty"/>
    <n v="2"/>
    <s v="C36232104"/>
    <x v="108"/>
    <n v="45832"/>
    <n v="4166"/>
    <s v="Kennametal shared services"/>
    <n v="5"/>
    <x v="1"/>
    <x v="7"/>
  </r>
  <r>
    <s v="Sheetal B"/>
    <s v="Tamil C"/>
    <s v="Akshata Nayak"/>
    <s v="Prashanth Krishnasamy"/>
    <n v="1"/>
    <s v="C36231165"/>
    <x v="76"/>
    <n v="315270.94"/>
    <n v="115270.94"/>
    <s v="DXC"/>
    <n v="6"/>
    <x v="1"/>
    <x v="6"/>
  </r>
  <r>
    <s v="Sachin K"/>
    <s v="Prathyusha Mangalampalli"/>
    <s v="Akshata Nayak Non IT"/>
    <s v="Steve Varghese"/>
    <n v="2"/>
    <s v="C36231253"/>
    <x v="20"/>
    <n v="32500"/>
    <n v="7500"/>
    <s v="Accenture-voice"/>
    <n v="6"/>
    <x v="0"/>
    <x v="9"/>
  </r>
  <r>
    <s v="Sharad Kiran"/>
    <s v="Prathyusha Mangalampalli"/>
    <s v="Akshata Nayak Non IT"/>
    <s v="Urvashi Sanjay Sakhare"/>
    <n v="2"/>
    <s v="C36231320"/>
    <x v="20"/>
    <n v="38400"/>
    <n v="6400"/>
    <s v="Accenture-voice"/>
    <n v="6"/>
    <x v="0"/>
    <x v="9"/>
  </r>
  <r>
    <s v="Sharad Kiran"/>
    <s v="Prathyusha Mangalampalli"/>
    <s v="Akshata Nayak Non IT"/>
    <s v="GunjanKaur Avtarsingh  Gurbuxsinghhani"/>
    <n v="2"/>
    <s v="C36231301"/>
    <x v="20"/>
    <n v="46560"/>
    <n v="7760"/>
    <s v="Accenture-voice"/>
    <n v="6"/>
    <x v="0"/>
    <x v="9"/>
  </r>
  <r>
    <s v="Javeed Khan"/>
    <s v="Prathyusha Mangalampalli"/>
    <s v="Akshata Nayak Non IT"/>
    <s v="Sarvanand Elango Mudliyar"/>
    <n v="2"/>
    <s v="C36231213"/>
    <x v="109"/>
    <n v="21850"/>
    <n v="2850"/>
    <s v="Accenture_BPO"/>
    <n v="6"/>
    <x v="0"/>
    <x v="9"/>
  </r>
  <r>
    <s v="Shrimai NY"/>
    <s v="Fazila K"/>
    <s v="Prathap Sagar"/>
    <s v="Sarat Chandra Bheema"/>
    <n v="2"/>
    <s v="C36231240"/>
    <x v="107"/>
    <n v="205800"/>
    <n v="39134"/>
    <s v="Infosys"/>
    <n v="6"/>
    <x v="2"/>
    <x v="3"/>
  </r>
  <r>
    <s v="Pradeep S"/>
    <s v="Monisha RR"/>
    <s v="Akshata Nayak Non IT"/>
    <s v="R. karan "/>
    <n v="6"/>
    <s v="C36231181"/>
    <x v="109"/>
    <n v="34375"/>
    <n v="6875"/>
    <s v="HP"/>
    <n v="6"/>
    <x v="0"/>
    <x v="0"/>
  </r>
  <r>
    <s v="Pradeep S"/>
    <s v="Monisha RR"/>
    <s v="Akshata Nayak Non IT"/>
    <s v="Anirudh S Kashyap"/>
    <n v="6"/>
    <s v="C36231182"/>
    <x v="109"/>
    <n v="34375"/>
    <n v="6875"/>
    <s v="HP"/>
    <n v="5"/>
    <x v="0"/>
    <x v="0"/>
  </r>
  <r>
    <s v="Muhammed faizal"/>
    <s v="Namitha Gowda"/>
    <s v="Prathap Sagar"/>
    <s v="Thota Siva Kumar"/>
    <n v="2"/>
    <s v="C36231226"/>
    <x v="20"/>
    <n v="156492"/>
    <n v="48159"/>
    <s v="Mercedes benz"/>
    <n v="6"/>
    <x v="6"/>
    <x v="14"/>
  </r>
  <r>
    <s v="Priya b"/>
    <s v="Prathyusha Mangalampalli"/>
    <s v="Akshata Nayak Non IT"/>
    <s v="JAFFER KHAN"/>
    <n v="2"/>
    <s v="C36231268"/>
    <x v="20"/>
    <n v="48000"/>
    <n v="8000"/>
    <s v="Accenture-voice"/>
    <n v="5"/>
    <x v="0"/>
    <x v="9"/>
  </r>
  <r>
    <s v="Sandipta Panigrahi"/>
    <s v="Mehr Hashim D"/>
    <s v="Mehr Hashim"/>
    <s v="Sanjay S"/>
    <n v="2"/>
    <s v="C36231189"/>
    <x v="76"/>
    <n v="336000"/>
    <n v="127667"/>
    <s v="GE Healthcare Global Private Limited."/>
    <n v="5"/>
    <x v="5"/>
    <x v="10"/>
  </r>
  <r>
    <s v="Pradeep S"/>
    <s v="Monisha RR"/>
    <s v="Akshata Nayak Non IT"/>
    <s v="Chandan M"/>
    <n v="6"/>
    <s v="C36231183"/>
    <x v="109"/>
    <n v="34375"/>
    <n v="6875"/>
    <s v="HP"/>
    <n v="5"/>
    <x v="0"/>
    <x v="0"/>
  </r>
  <r>
    <s v="Pradeep S"/>
    <s v="Monisha RR"/>
    <s v="Akshata Nayak Non IT"/>
    <s v="Alina Kulsum"/>
    <n v="6"/>
    <s v="C36231185"/>
    <x v="109"/>
    <n v="34375"/>
    <n v="6875"/>
    <s v="HP"/>
    <n v="6"/>
    <x v="0"/>
    <x v="0"/>
  </r>
  <r>
    <s v="Sheetal B"/>
    <s v="Tamil C"/>
    <s v="Akshata Nayak"/>
    <s v="Balakrishna Seetha"/>
    <n v="4"/>
    <s v="O36230063"/>
    <x v="76"/>
    <n v="236453.2"/>
    <n v="94787.199999999997"/>
    <s v="DXC"/>
    <n v="6"/>
    <x v="1"/>
    <x v="6"/>
  </r>
  <r>
    <s v="Pradeep S"/>
    <s v="Monisha RR"/>
    <s v="Akshata Nayak Non IT"/>
    <s v="Abdul Shahid"/>
    <n v="6"/>
    <s v="C36231184"/>
    <x v="109"/>
    <n v="34375"/>
    <n v="6875"/>
    <s v="HP"/>
    <n v="6"/>
    <x v="0"/>
    <x v="0"/>
  </r>
  <r>
    <s v="Deepthi C"/>
    <s v="Anitha C"/>
    <s v="Akshata Nayak Non IT"/>
    <s v="MOUNICA SHARON K"/>
    <n v="2"/>
    <s v="C36231404"/>
    <x v="87"/>
    <n v="42000"/>
    <n v="7000"/>
    <s v="Swiss Re"/>
    <n v="5"/>
    <x v="1"/>
    <x v="14"/>
  </r>
  <r>
    <s v="Priya b"/>
    <s v="Prathyusha Mangalampalli"/>
    <s v="Akshata Nayak Non IT"/>
    <s v="Bendadi Narasingarao  "/>
    <n v="1"/>
    <s v="C36231533"/>
    <x v="92"/>
    <n v="32130"/>
    <n v="12130"/>
    <s v="UHG(BCI &amp; SS)"/>
    <n v="6"/>
    <x v="1"/>
    <x v="1"/>
  </r>
  <r>
    <s v="Javeed Khan"/>
    <s v="Prathyusha Mangalampalli"/>
    <s v="Akshata Nayak Non IT"/>
    <s v="Sarthak Sushilkumar Shrivastav"/>
    <n v="2"/>
    <s v="C36231216"/>
    <x v="20"/>
    <n v="21850"/>
    <n v="2850"/>
    <s v="Accenture_BPO"/>
    <n v="5"/>
    <x v="0"/>
    <x v="9"/>
  </r>
  <r>
    <s v="Sachin K"/>
    <s v="Prathyusha Mangalampalli"/>
    <s v="Akshata Nayak Non IT"/>
    <s v="Gopika P R  Nair"/>
    <n v="2"/>
    <s v="C36231721"/>
    <x v="93"/>
    <n v="32500"/>
    <n v="7500"/>
    <s v="Accenture-voice"/>
    <n v="5"/>
    <x v="0"/>
    <x v="9"/>
  </r>
  <r>
    <s v="Gifty Sunny"/>
    <s v="Prathyusha Mangalampalli"/>
    <s v="Akshata Nayak Non IT"/>
    <s v="Khushi Ojha"/>
    <n v="2"/>
    <s v="C36231275"/>
    <x v="86"/>
    <n v="17400"/>
    <n v="2400"/>
    <s v="Accenture_BPO"/>
    <n v="5"/>
    <x v="0"/>
    <x v="9"/>
  </r>
  <r>
    <s v="Bindushree R"/>
    <s v="Prathyusha Mangalampalli"/>
    <s v="Akshata Nayak Non IT"/>
    <s v="Magimailishi  D"/>
    <n v="2"/>
    <s v="C36231227"/>
    <x v="20"/>
    <n v="17400"/>
    <n v="2400"/>
    <s v="Accenture_BPO"/>
    <n v="5"/>
    <x v="0"/>
    <x v="9"/>
  </r>
  <r>
    <s v="Bindushree R"/>
    <s v="Prathyusha Mangalampalli"/>
    <s v="Akshata Nayak Non IT"/>
    <s v="Pushpalatha  E"/>
    <n v="2"/>
    <s v="C36231231"/>
    <x v="86"/>
    <n v="17400"/>
    <n v="2400"/>
    <s v="Accenture_BPO"/>
    <n v="6"/>
    <x v="0"/>
    <x v="9"/>
  </r>
  <r>
    <s v="Bhargavi T R"/>
    <s v="Monisha RR"/>
    <s v="Akshata Nayak Non IT"/>
    <s v="S Damini"/>
    <n v="6"/>
    <s v="C36231186"/>
    <x v="109"/>
    <n v="34375"/>
    <n v="6875"/>
    <s v="HP"/>
    <n v="6"/>
    <x v="0"/>
    <x v="0"/>
  </r>
  <r>
    <s v="Vaishnavi  Shekar "/>
    <s v="Monisha RR"/>
    <s v="Akshata Nayak Non IT"/>
    <s v="Maria Sumithra"/>
    <n v="6"/>
    <s v="C36231187"/>
    <x v="109"/>
    <n v="34375"/>
    <n v="6875"/>
    <s v="HP"/>
    <n v="6"/>
    <x v="0"/>
    <x v="0"/>
  </r>
  <r>
    <s v="Narendra Kumar Debariki"/>
    <s v="Pradeep P"/>
    <s v="Akshata Nayak Non IT"/>
    <s v="B Sai Keerthi Kiran"/>
    <n v="1"/>
    <s v="C36231463"/>
    <x v="28"/>
    <n v="72292.5"/>
    <n v="9792.5"/>
    <s v="UHG(BCI &amp; SS)"/>
    <n v="6"/>
    <x v="1"/>
    <x v="1"/>
  </r>
  <r>
    <s v="Pooja Bt"/>
    <s v="Anitha C"/>
    <s v="Akshata Nayak Non IT"/>
    <s v="Gangaraboina  Pravan Kumar"/>
    <n v="1"/>
    <s v="C36231493"/>
    <x v="92"/>
    <n v="26775"/>
    <n v="6775"/>
    <s v="UHG(BCI &amp; SS)"/>
    <n v="5"/>
    <x v="1"/>
    <x v="1"/>
  </r>
  <r>
    <s v="Pooja Bt"/>
    <s v="Anitha C"/>
    <s v="Akshata Nayak Non IT"/>
    <s v="Guduru Shireesha"/>
    <n v="1"/>
    <s v="C36231327"/>
    <x v="28"/>
    <n v="32130"/>
    <n v="12130"/>
    <s v="UHG(BCI &amp; SS)"/>
    <n v="6"/>
    <x v="1"/>
    <x v="1"/>
  </r>
  <r>
    <s v="Pooja Bt"/>
    <s v="Anitha C"/>
    <s v="Akshata Nayak Non IT"/>
    <s v="Perumala Vignesh "/>
    <n v="1"/>
    <s v="C36231534"/>
    <x v="92"/>
    <n v="26775"/>
    <n v="6775"/>
    <s v="UHG(BCI &amp; SS)"/>
    <n v="6"/>
    <x v="1"/>
    <x v="1"/>
  </r>
  <r>
    <s v="Rajesh R"/>
    <s v="Kamlesh A"/>
    <s v="Menaka Prasad"/>
    <s v="Rutuja Ravindra Jadhav"/>
    <n v="2"/>
    <s v="C36231176"/>
    <x v="105"/>
    <n v="118540.8"/>
    <n v="18540.8"/>
    <s v="IBM -Mercedes"/>
    <n v="5"/>
    <x v="1"/>
    <x v="7"/>
  </r>
  <r>
    <s v="Bindushree R"/>
    <s v="Prathyusha Mangalampalli"/>
    <s v="Akshata Nayak Non IT"/>
    <s v="Thambadi Sunil Kumar "/>
    <n v="2"/>
    <s v="C36231217"/>
    <x v="20"/>
    <n v="40250"/>
    <n v="5250"/>
    <s v="Accenture_BPO"/>
    <n v="5"/>
    <x v="0"/>
    <x v="9"/>
  </r>
  <r>
    <s v="Sheetal AT"/>
    <s v="Suman S"/>
    <s v="Prathap Sagar"/>
    <s v="Tirumalasetti Siva  Subrahmanya Sai Kumar"/>
    <n v="2"/>
    <s v="C36231262"/>
    <x v="115"/>
    <n v="70000"/>
    <n v="7500"/>
    <s v="Accenture_IDB"/>
    <n v="6"/>
    <x v="2"/>
    <x v="3"/>
  </r>
  <r>
    <s v="Karthik Venkatesh"/>
    <s v="Priyakantha K"/>
    <s v="Prathap Sagar"/>
    <s v=" Pooja  Ravindra Shirture"/>
    <n v="2"/>
    <s v="C36231199"/>
    <x v="86"/>
    <n v="39000"/>
    <n v="9834"/>
    <s v="Accenture_IDB"/>
    <n v="5"/>
    <x v="2"/>
    <x v="3"/>
  </r>
  <r>
    <s v="Dhanush H"/>
    <s v="Mehr Hashim D"/>
    <s v="Mehr Hashim"/>
    <s v="Vishnu Kumar N"/>
    <n v="2"/>
    <s v="C36231174"/>
    <x v="76"/>
    <n v="369600"/>
    <n v="136267"/>
    <s v="GE Healthcare Global Private Limited."/>
    <n v="6"/>
    <x v="5"/>
    <x v="10"/>
  </r>
  <r>
    <s v="Sachin K"/>
    <s v="Prathyusha Mangalampalli"/>
    <s v="Akshata Nayak Non IT"/>
    <s v="Shubham Umesh Pandey"/>
    <n v="2"/>
    <s v="C36231722"/>
    <x v="93"/>
    <n v="32500"/>
    <n v="7500"/>
    <s v="Accenture-voice"/>
    <n v="6"/>
    <x v="0"/>
    <x v="9"/>
  </r>
  <r>
    <s v="Pooja Bt"/>
    <s v="Anitha C"/>
    <s v="Akshata Nayak Non IT"/>
    <s v="Galebe Madhuri "/>
    <n v="1"/>
    <s v="C36231614"/>
    <x v="92"/>
    <n v="26775"/>
    <n v="6775"/>
    <s v="UHG(BCI &amp; SS)"/>
    <n v="6"/>
    <x v="1"/>
    <x v="1"/>
  </r>
  <r>
    <s v="Tamilarasan S"/>
    <s v="Mehr Hashim D"/>
    <s v="Mehr Hashim"/>
    <s v="Satya Prakash Kumar "/>
    <n v="2"/>
    <s v="C36231190"/>
    <x v="76"/>
    <n v="166668"/>
    <n v="33335"/>
    <s v="Airbus"/>
    <n v="5"/>
    <x v="5"/>
    <x v="10"/>
  </r>
  <r>
    <s v="shweta kamathgi"/>
    <s v="Dummy Record Lead"/>
    <s v="Menaka Prasad"/>
    <s v="Laishetti Mahesh "/>
    <n v="2"/>
    <s v="C36231204"/>
    <x v="105"/>
    <n v="95088"/>
    <n v="15922"/>
    <s v="IBM -Mercedes"/>
    <n v="6"/>
    <x v="1"/>
    <x v="7"/>
  </r>
  <r>
    <s v="Rajesh R"/>
    <s v="Kamlesh A"/>
    <s v="Menaka Prasad"/>
    <s v="B.REKHA"/>
    <n v="2"/>
    <s v="C36231193"/>
    <x v="105"/>
    <n v="88576.320000000007"/>
    <n v="14410.32"/>
    <s v="IBM -Mercedes"/>
    <n v="5"/>
    <x v="1"/>
    <x v="7"/>
  </r>
  <r>
    <s v="Pooja Bt"/>
    <s v="Anitha C"/>
    <s v="Akshata Nayak Non IT"/>
    <s v=" A Arundathi"/>
    <n v="1"/>
    <s v="C36231494"/>
    <x v="92"/>
    <n v="26775"/>
    <n v="6775"/>
    <s v="UHG(BCI &amp; SS)"/>
    <n v="6"/>
    <x v="1"/>
    <x v="1"/>
  </r>
  <r>
    <s v="Pooja Bt"/>
    <s v="Anitha C"/>
    <s v="Akshata Nayak Non IT"/>
    <s v="Polishetti Sony Anusha"/>
    <n v="1"/>
    <s v="C36231615"/>
    <x v="92"/>
    <n v="26775"/>
    <n v="6775"/>
    <s v="UHG(BCI &amp; SS)"/>
    <n v="6"/>
    <x v="1"/>
    <x v="1"/>
  </r>
  <r>
    <s v="Uma Sree"/>
    <s v="Mehr Hashim D"/>
    <s v="Mehr Hashim"/>
    <s v="Dhirendra Kumar"/>
    <n v="4"/>
    <s v="O36230064"/>
    <x v="116"/>
    <n v="436800"/>
    <n v="220134"/>
    <s v="GE Healthcare Global Private Limited."/>
    <n v="6"/>
    <x v="5"/>
    <x v="10"/>
  </r>
  <r>
    <s v="Surabhi K"/>
    <s v="Mehr Hashim D"/>
    <s v="Mehr Hashim"/>
    <s v="Raj Shekhar Rai"/>
    <n v="2"/>
    <s v="C36231175"/>
    <x v="76"/>
    <n v="100000"/>
    <n v="20834"/>
    <s v="GE Healthcare Global Private Limited."/>
    <n v="5"/>
    <x v="5"/>
    <x v="10"/>
  </r>
  <r>
    <s v="Sireesha K"/>
    <s v="Prathyusha Mangalampalli"/>
    <s v="Akshata Nayak Non IT"/>
    <s v="Ramya Chandrasekar"/>
    <n v="2"/>
    <s v="C36231269"/>
    <x v="20"/>
    <n v="17400"/>
    <n v="2400"/>
    <s v="Accenture_BPO"/>
    <n v="6"/>
    <x v="0"/>
    <x v="9"/>
  </r>
  <r>
    <s v="Tanzeel Ahmed"/>
    <s v="Mehr Hashim D"/>
    <s v="Mehr Hashim"/>
    <s v="vinod kumar"/>
    <n v="2"/>
    <s v="C36231191"/>
    <x v="76"/>
    <n v="445200"/>
    <n v="103534"/>
    <s v="GE Healthcare Global Private Limited."/>
    <n v="6"/>
    <x v="5"/>
    <x v="10"/>
  </r>
  <r>
    <s v="Sharad Kiran"/>
    <s v="Prathyusha Mangalampalli"/>
    <s v="Akshata Nayak Non IT"/>
    <s v="Rutuja Ravindra Shinde"/>
    <n v="2"/>
    <s v="C36231346"/>
    <x v="20"/>
    <n v="38400"/>
    <n v="6400"/>
    <s v="Accenture-voice"/>
    <n v="6"/>
    <x v="0"/>
    <x v="9"/>
  </r>
  <r>
    <s v="Priya b"/>
    <s v="Prathyusha Mangalampalli"/>
    <s v="Akshata Nayak Non IT"/>
    <s v="Manish Ashok Mane"/>
    <n v="2"/>
    <s v="C36231270"/>
    <x v="20"/>
    <n v="47760"/>
    <n v="7960"/>
    <s v="Accenture-voice"/>
    <n v="6"/>
    <x v="0"/>
    <x v="9"/>
  </r>
  <r>
    <s v="Monika Vakati"/>
    <s v="Prathyusha Mangalampalli"/>
    <s v="Akshata Nayak Non IT"/>
    <s v="Karishma Dilip Gaikwad"/>
    <n v="2"/>
    <s v="C36231271"/>
    <x v="20"/>
    <n v="48000"/>
    <n v="8000"/>
    <s v="Accenture-voice"/>
    <n v="5"/>
    <x v="0"/>
    <x v="9"/>
  </r>
  <r>
    <s v="Sharad Kiran"/>
    <s v="Prathyusha Mangalampalli"/>
    <s v="Akshata Nayak Non IT"/>
    <s v="Aviraj Vilas Waingankar"/>
    <n v="2"/>
    <s v="C36231492"/>
    <x v="87"/>
    <n v="47760"/>
    <n v="7960"/>
    <s v="Accenture-voice"/>
    <n v="6"/>
    <x v="0"/>
    <x v="9"/>
  </r>
  <r>
    <s v="Monika Vakati"/>
    <s v="Prathyusha Mangalampalli"/>
    <s v="Akshata Nayak Non IT"/>
    <s v="Ajab Ahamed"/>
    <n v="2"/>
    <s v="C36231272"/>
    <x v="20"/>
    <n v="46800"/>
    <n v="7800"/>
    <s v="Accenture-voice"/>
    <n v="5"/>
    <x v="0"/>
    <x v="9"/>
  </r>
  <r>
    <s v="Sachin K"/>
    <s v="Prathyusha Mangalampalli"/>
    <s v="Akshata Nayak Non IT"/>
    <s v="Arbaz Inayat Sayed"/>
    <n v="2"/>
    <s v="C36231254"/>
    <x v="20"/>
    <n v="46560"/>
    <n v="7760"/>
    <s v="Accenture-voice"/>
    <n v="6"/>
    <x v="0"/>
    <x v="9"/>
  </r>
  <r>
    <s v="Gifty Sunny"/>
    <s v="Prathyusha Mangalampalli"/>
    <s v="Akshata Nayak Non IT"/>
    <s v="Aanchal"/>
    <n v="2"/>
    <s v="C36231402"/>
    <x v="115"/>
    <n v="38525"/>
    <n v="5025"/>
    <s v="Accenture_BPO"/>
    <n v="5"/>
    <x v="0"/>
    <x v="9"/>
  </r>
  <r>
    <s v="Priya b"/>
    <s v="Prathyusha Mangalampalli"/>
    <s v="Akshata Nayak Non IT"/>
    <s v="Richard Anbarasjaykumar  Thomas"/>
    <n v="2"/>
    <s v="C36231384"/>
    <x v="28"/>
    <n v="48000"/>
    <n v="8000"/>
    <s v="Accenture-voice"/>
    <n v="5"/>
    <x v="0"/>
    <x v="9"/>
  </r>
  <r>
    <s v="Pooja K"/>
    <s v="Prathyusha Mangalampalli"/>
    <s v="Akshata Nayak Non IT"/>
    <s v=" Satyam Babulnath  Shukla"/>
    <n v="2"/>
    <s v="C36231592"/>
    <x v="92"/>
    <n v="34500"/>
    <n v="4500"/>
    <s v="Accenture-voice"/>
    <n v="5"/>
    <x v="0"/>
    <x v="9"/>
  </r>
  <r>
    <s v="Vaishnavi  Shekar "/>
    <s v="Monisha RR"/>
    <s v="Akshata Nayak Non IT"/>
    <s v="Neeraj Rana"/>
    <n v="2"/>
    <s v="C36231289"/>
    <x v="20"/>
    <n v="46800"/>
    <n v="7800"/>
    <s v="Accenture-voice"/>
    <n v="6"/>
    <x v="0"/>
    <x v="9"/>
  </r>
  <r>
    <s v="Priya b"/>
    <s v="Prathyusha Mangalampalli"/>
    <s v="Akshata Nayak Non IT"/>
    <s v="Sadiya Banu"/>
    <n v="2"/>
    <s v="C36231314"/>
    <x v="28"/>
    <n v="48000"/>
    <n v="8000"/>
    <s v="Accenture-voice"/>
    <n v="6"/>
    <x v="0"/>
    <x v="9"/>
  </r>
  <r>
    <s v="Priya b"/>
    <s v="Prathyusha Mangalampalli"/>
    <s v="Akshata Nayak Non IT"/>
    <s v="Saurabh Jagdish Vishwakarma"/>
    <n v="2"/>
    <s v="C36231228"/>
    <x v="20"/>
    <n v="32500"/>
    <n v="7500"/>
    <s v="Accenture-voice"/>
    <n v="6"/>
    <x v="0"/>
    <x v="9"/>
  </r>
  <r>
    <s v="Sai Manish"/>
    <s v="Pradeep P"/>
    <s v="Akshata Nayak Non IT"/>
    <s v="Mathangi Soujanya "/>
    <n v="1"/>
    <s v="C36231178"/>
    <x v="34"/>
    <n v="0"/>
    <n v="-25000"/>
    <s v="UHG(BCI &amp; SS)"/>
    <n v="6"/>
    <x v="1"/>
    <x v="1"/>
  </r>
  <r>
    <s v="Sai Manish"/>
    <s v="Pradeep P"/>
    <s v="Akshata Nayak Non IT"/>
    <s v="Kari Venkata Naga Sai Shashank"/>
    <n v="1"/>
    <s v="C36231593"/>
    <x v="92"/>
    <n v="26775"/>
    <n v="6775"/>
    <s v="UHG(BCI &amp; SS)"/>
    <n v="6"/>
    <x v="1"/>
    <x v="1"/>
  </r>
  <r>
    <s v="Priya b"/>
    <s v="Prathyusha Mangalampalli"/>
    <s v="Akshata Nayak Non IT"/>
    <s v="Eden Sontumyra"/>
    <n v="2"/>
    <s v="C36231333"/>
    <x v="28"/>
    <n v="48000"/>
    <n v="8000"/>
    <s v="Accenture-voice"/>
    <n v="5"/>
    <x v="0"/>
    <x v="9"/>
  </r>
  <r>
    <s v="Raja Shekhar"/>
    <s v="Prathyusha Mangalampalli"/>
    <s v="Akshata Nayak Non IT"/>
    <s v="Alimili Pavithra "/>
    <n v="1"/>
    <s v="C36231294"/>
    <x v="20"/>
    <n v="42483"/>
    <n v="3317"/>
    <s v="UHG(BCI &amp; SS)"/>
    <n v="5"/>
    <x v="1"/>
    <x v="1"/>
  </r>
  <r>
    <s v="Gouri Priya"/>
    <s v="Pradeep P"/>
    <s v="Akshata Nayak Non IT"/>
    <s v="Raparthi Sree Sai Kumar"/>
    <n v="1"/>
    <s v="C36231737"/>
    <x v="93"/>
    <n v="0"/>
    <n v="-20000"/>
    <s v="UHG(BCI &amp; SS)"/>
    <n v="6"/>
    <x v="1"/>
    <x v="1"/>
  </r>
  <r>
    <s v="Pooja K"/>
    <s v="Prathyusha Mangalampalli"/>
    <s v="Akshata Nayak Non IT"/>
    <s v="Parameshwari B"/>
    <n v="2"/>
    <s v="C36231273"/>
    <x v="20"/>
    <n v="17400"/>
    <n v="2400"/>
    <s v="Accenture_BPO"/>
    <n v="5"/>
    <x v="0"/>
    <x v="9"/>
  </r>
  <r>
    <s v="Monika Vakati"/>
    <s v="Prathyusha Mangalampalli"/>
    <s v="Akshata Nayak Non IT"/>
    <s v=" Sangeetha priya S"/>
    <n v="2"/>
    <s v="C36231263"/>
    <x v="107"/>
    <n v="17400"/>
    <n v="2400"/>
    <s v="Accenture_BPO"/>
    <n v="5"/>
    <x v="0"/>
    <x v="9"/>
  </r>
  <r>
    <s v="Bindushree R"/>
    <s v="Prathyusha Mangalampalli"/>
    <s v="Akshata Nayak Non IT"/>
    <s v="Priya Jayaraman"/>
    <n v="2"/>
    <s v="C36231241"/>
    <x v="107"/>
    <n v="17400"/>
    <n v="2400"/>
    <s v="Accenture_BPO"/>
    <n v="5"/>
    <x v="0"/>
    <x v="9"/>
  </r>
  <r>
    <s v="Sireesha K"/>
    <s v="Prathyusha Mangalampalli"/>
    <s v="Akshata Nayak Non IT"/>
    <s v="Nerati Rajesh Kumar"/>
    <n v="1"/>
    <s v="C36231354"/>
    <x v="20"/>
    <n v="45517.5"/>
    <n v="6351.5"/>
    <s v="UHG"/>
    <n v="5"/>
    <x v="0"/>
    <x v="1"/>
  </r>
  <r>
    <s v="Gifty Sunny"/>
    <s v="Prathyusha Mangalampalli"/>
    <s v="Akshata Nayak Non IT"/>
    <s v="Sri Vidhya Manjunath"/>
    <n v="2"/>
    <s v="C36231218"/>
    <x v="20"/>
    <n v="48000"/>
    <n v="8000"/>
    <s v="Accenture-voice"/>
    <n v="6"/>
    <x v="0"/>
    <x v="9"/>
  </r>
  <r>
    <s v="Sai Manish"/>
    <s v="Pradeep P"/>
    <s v="Akshata Nayak Non IT"/>
    <s v="Godha Nirmal Kumar Yadav"/>
    <n v="1"/>
    <s v="C36231681"/>
    <x v="92"/>
    <n v="26775"/>
    <n v="6775"/>
    <s v="UHG(BCI &amp; SS)"/>
    <n v="6"/>
    <x v="1"/>
    <x v="1"/>
  </r>
  <r>
    <s v="Mouli Roy"/>
    <s v="Prathyusha Mangalampalli"/>
    <s v="Akshata Nayak Non IT"/>
    <s v="Kalpit  Pravin Marchande"/>
    <n v="2"/>
    <s v="C36231237"/>
    <x v="20"/>
    <n v="45000"/>
    <n v="7500"/>
    <s v="Accenture-voice"/>
    <n v="5"/>
    <x v="0"/>
    <x v="9"/>
  </r>
  <r>
    <s v="Pradeep S"/>
    <s v="Monisha RR"/>
    <s v="Akshata Nayak Non IT"/>
    <s v="Dinesh Nithiyaanand"/>
    <n v="2"/>
    <s v="C36232106"/>
    <x v="108"/>
    <n v="59583.33"/>
    <n v="5417.33"/>
    <s v="Kennametal shared services"/>
    <n v="5"/>
    <x v="1"/>
    <x v="7"/>
  </r>
  <r>
    <s v="Sachin K"/>
    <s v="Prathyusha Mangalampalli"/>
    <s v="Akshata Nayak Non IT"/>
    <s v="Chetan Kaluram Harad"/>
    <n v="2"/>
    <s v="C36231723"/>
    <x v="93"/>
    <n v="32500"/>
    <n v="7500"/>
    <s v="Accenture-voice"/>
    <n v="6"/>
    <x v="0"/>
    <x v="9"/>
  </r>
  <r>
    <s v="Pooja K"/>
    <s v="Prathyusha Mangalampalli"/>
    <s v="Akshata Nayak Non IT"/>
    <s v=" R Bhuvaneshwari "/>
    <n v="2"/>
    <s v="C36231352"/>
    <x v="107"/>
    <n v="17400"/>
    <n v="2400"/>
    <s v="Accenture_BPO"/>
    <n v="5"/>
    <x v="0"/>
    <x v="9"/>
  </r>
  <r>
    <s v="Mehraj N"/>
    <s v="Prathyusha Mangalampalli"/>
    <s v="Akshata Nayak Non IT"/>
    <s v="Dechamma P P"/>
    <n v="2"/>
    <s v="C36231255"/>
    <x v="20"/>
    <n v="48000"/>
    <n v="8000"/>
    <s v="Accenture-voice"/>
    <n v="5"/>
    <x v="0"/>
    <x v="9"/>
  </r>
  <r>
    <s v="Gouri Priya"/>
    <s v="Pradeep P"/>
    <s v="Akshata Nayak Non IT"/>
    <s v="Attigadda Rahul"/>
    <n v="1"/>
    <s v="C36231594"/>
    <x v="92"/>
    <n v="26775"/>
    <n v="6775"/>
    <s v="UHG(BCI &amp; SS)"/>
    <n v="6"/>
    <x v="1"/>
    <x v="1"/>
  </r>
  <r>
    <s v="Gouri Priya"/>
    <s v="Pradeep P"/>
    <s v="Akshata Nayak Non IT"/>
    <s v="Kommu Pavan Vikranth"/>
    <n v="1"/>
    <s v="C36231616"/>
    <x v="92"/>
    <n v="26775"/>
    <n v="6775"/>
    <s v="UHG(BCI &amp; SS)"/>
    <n v="6"/>
    <x v="1"/>
    <x v="1"/>
  </r>
  <r>
    <s v="Sai Manish"/>
    <s v="Pradeep P"/>
    <s v="Akshata Nayak Non IT"/>
    <s v="Yerram Mounika "/>
    <n v="1"/>
    <s v="C36231640"/>
    <x v="92"/>
    <n v="26775"/>
    <n v="6775"/>
    <s v="UHG(BCI &amp; SS)"/>
    <n v="6"/>
    <x v="1"/>
    <x v="1"/>
  </r>
  <r>
    <s v="Gouri Priya"/>
    <s v="Pradeep P"/>
    <s v="Akshata Nayak Non IT"/>
    <s v="Thatikayala Anil"/>
    <n v="1"/>
    <s v="C36231699"/>
    <x v="92"/>
    <n v="26775"/>
    <n v="6775"/>
    <s v="UHG(BCI &amp; SS)"/>
    <n v="6"/>
    <x v="1"/>
    <x v="1"/>
  </r>
  <r>
    <s v="Sai Manish"/>
    <s v="Pradeep P"/>
    <s v="Akshata Nayak Non IT"/>
    <s v="Pooduru Shivani "/>
    <n v="1"/>
    <s v="C36231700"/>
    <x v="92"/>
    <n v="26775"/>
    <n v="6775"/>
    <s v="UHG(BCI &amp; SS)"/>
    <n v="6"/>
    <x v="1"/>
    <x v="1"/>
  </r>
  <r>
    <s v="Monika Vakati"/>
    <s v="Prathyusha Mangalampalli"/>
    <s v="Akshata Nayak Non IT"/>
    <s v="Pavithra V Padmashalli  "/>
    <n v="2"/>
    <s v="C36231274"/>
    <x v="20"/>
    <n v="45600"/>
    <n v="7600"/>
    <s v="Accenture-voice"/>
    <n v="6"/>
    <x v="0"/>
    <x v="9"/>
  </r>
  <r>
    <s v="Gouri Priya"/>
    <s v="Pradeep P"/>
    <s v="Akshata Nayak Non IT"/>
    <s v="Koninti Sampurna"/>
    <n v="1"/>
    <s v="C36231595"/>
    <x v="92"/>
    <n v="26775"/>
    <n v="6775"/>
    <s v="UHG(BCI &amp; SS)"/>
    <n v="6"/>
    <x v="1"/>
    <x v="1"/>
  </r>
  <r>
    <s v="Bindushree R"/>
    <s v="Prathyusha Mangalampalli"/>
    <s v="Akshata Nayak Non IT"/>
    <s v=" Utala Navya"/>
    <n v="1"/>
    <s v="C36231596"/>
    <x v="92"/>
    <n v="26775"/>
    <n v="6775"/>
    <s v="UHG UNET"/>
    <n v="5"/>
    <x v="1"/>
    <x v="1"/>
  </r>
  <r>
    <s v="Sai Vineeth"/>
    <s v="Pradeep P"/>
    <s v="Akshata Nayak Non IT"/>
    <s v="Pusya LalitaKumari"/>
    <n v="1"/>
    <s v="C36231763"/>
    <x v="93"/>
    <n v="32130"/>
    <n v="12130"/>
    <s v="UHG(BCI &amp; SS)"/>
    <n v="6"/>
    <x v="1"/>
    <x v="1"/>
  </r>
  <r>
    <s v="Gouri Priya"/>
    <s v="Pradeep P"/>
    <s v="Akshata Nayak Non IT"/>
    <s v="Haripuri Jayanth"/>
    <n v="1"/>
    <s v="C36231597"/>
    <x v="92"/>
    <n v="26775"/>
    <n v="6775"/>
    <s v="UHG(BCI &amp; SS)"/>
    <n v="6"/>
    <x v="1"/>
    <x v="1"/>
  </r>
  <r>
    <s v="Gouri Priya"/>
    <s v="Pradeep P"/>
    <s v="Akshata Nayak Non IT"/>
    <s v="Gulari Uday Kiran Goud"/>
    <n v="1"/>
    <s v="C36231598"/>
    <x v="92"/>
    <n v="26775"/>
    <n v="6775"/>
    <s v="UHG(BCI &amp; SS)"/>
    <n v="6"/>
    <x v="1"/>
    <x v="1"/>
  </r>
  <r>
    <s v="Priya b"/>
    <s v="Prathyusha Mangalampalli"/>
    <s v="Akshata Nayak Non IT"/>
    <s v="Syed Musaddiq"/>
    <n v="2"/>
    <s v="C36231360"/>
    <x v="114"/>
    <n v="48000"/>
    <n v="8000"/>
    <s v="Accenture-voice"/>
    <n v="5"/>
    <x v="0"/>
    <x v="9"/>
  </r>
  <r>
    <s v="Pariki Pradeep"/>
    <s v="Akshata Nayak"/>
    <s v="Pariki Pradeep"/>
    <s v="Mohammed Riyan Ahmed"/>
    <n v="1"/>
    <s v="C36231865"/>
    <x v="117"/>
    <n v="26775"/>
    <n v="6775"/>
    <s v="UHG(BCI &amp; SS)"/>
    <n v="6"/>
    <x v="1"/>
    <x v="1"/>
  </r>
  <r>
    <s v="Arpita Sangavi"/>
    <s v="Shashank Gowda"/>
    <s v="Prathap Sagar"/>
    <s v="Mukesh "/>
    <n v="7"/>
    <s v="C36231465"/>
    <x v="99"/>
    <n v="60860.800000000003"/>
    <n v="2620.8000000000002"/>
    <s v="ZTE_payroll"/>
    <n v="5"/>
    <x v="2"/>
    <x v="3"/>
  </r>
  <r>
    <s v="Sai Manish"/>
    <s v="Pradeep P"/>
    <s v="Akshata Nayak Non IT"/>
    <s v="Bogala Nikitha "/>
    <n v="1"/>
    <s v="C36231641"/>
    <x v="92"/>
    <n v="26775"/>
    <n v="6775"/>
    <s v="UHG(BCI &amp; SS)"/>
    <n v="6"/>
    <x v="1"/>
    <x v="1"/>
  </r>
  <r>
    <s v="Sharad Kiran"/>
    <s v="Prathyusha Mangalampalli"/>
    <s v="Akshata Nayak Non IT"/>
    <s v="Navin Wasekar"/>
    <n v="2"/>
    <s v="C36231335"/>
    <x v="20"/>
    <n v="32500"/>
    <n v="7500"/>
    <s v="Accenture-voice"/>
    <n v="6"/>
    <x v="0"/>
    <x v="9"/>
  </r>
  <r>
    <s v="Arpita Biswal"/>
    <s v="Anitha C"/>
    <s v="Akshata Nayak Non IT"/>
    <s v="Veerabomma Nagaraju "/>
    <n v="1"/>
    <s v="C36231617"/>
    <x v="92"/>
    <n v="26775"/>
    <n v="6775"/>
    <s v="UHG(BCI &amp; SS)"/>
    <n v="6"/>
    <x v="1"/>
    <x v="1"/>
  </r>
  <r>
    <s v="Gouri Priya"/>
    <s v="Pradeep P"/>
    <s v="Akshata Nayak Non IT"/>
    <s v="Sura Sura Neeharika"/>
    <n v="1"/>
    <s v="C36231599"/>
    <x v="92"/>
    <n v="26775"/>
    <n v="6775"/>
    <s v="UHG(BCI &amp; SS)"/>
    <n v="6"/>
    <x v="1"/>
    <x v="1"/>
  </r>
  <r>
    <s v="Gouri Priya"/>
    <s v="Pradeep P"/>
    <s v="Akshata Nayak Non IT"/>
    <s v="Jogu Anitha"/>
    <n v="1"/>
    <s v="C36231600"/>
    <x v="92"/>
    <n v="26775"/>
    <n v="6775"/>
    <s v="UHG(BCI &amp; SS)"/>
    <n v="6"/>
    <x v="1"/>
    <x v="1"/>
  </r>
  <r>
    <s v="Swathi Shetty"/>
    <s v="Suman S"/>
    <s v="Prathap Sagar"/>
    <s v="Shaik Mahammad Iliyas Basha"/>
    <n v="1"/>
    <s v="C36231385"/>
    <x v="28"/>
    <n v="32130"/>
    <n v="12130"/>
    <s v="UHG-Non IT"/>
    <n v="6"/>
    <x v="1"/>
    <x v="1"/>
  </r>
  <r>
    <s v="Sai Vineeth"/>
    <s v="Pradeep P"/>
    <s v="Akshata Nayak Non IT"/>
    <s v="Shaik Assan Mahamad"/>
    <n v="1"/>
    <s v="C36231407"/>
    <x v="28"/>
    <n v="32130"/>
    <n v="12130"/>
    <s v="UHG(BCI &amp; SS)"/>
    <n v="6"/>
    <x v="1"/>
    <x v="1"/>
  </r>
  <r>
    <s v="Gouri Priya"/>
    <s v="Pradeep P"/>
    <s v="Akshata Nayak Non IT"/>
    <s v="Kasthuripally Rajesh"/>
    <n v="1"/>
    <s v="C36231577"/>
    <x v="92"/>
    <n v="26775"/>
    <n v="6775"/>
    <s v="UHG(BCI &amp; SS)"/>
    <n v="6"/>
    <x v="1"/>
    <x v="1"/>
  </r>
  <r>
    <s v="Chandana K"/>
    <s v="Anitha C"/>
    <s v="Akshata Nayak Non IT"/>
    <s v="Prerna Sharma"/>
    <n v="2"/>
    <s v="C36240296"/>
    <x v="118"/>
    <n v="27500"/>
    <n v="2500"/>
    <s v="Kennametal shared services"/>
    <n v="5"/>
    <x v="1"/>
    <x v="7"/>
  </r>
  <r>
    <s v="Sachin K"/>
    <s v="Prathyusha Mangalampalli"/>
    <s v="Akshata Nayak Non IT"/>
    <s v="S Dhanush "/>
    <n v="2"/>
    <s v="C36231256"/>
    <x v="20"/>
    <n v="32500"/>
    <n v="7500"/>
    <s v="Accenture-voice"/>
    <n v="6"/>
    <x v="0"/>
    <x v="9"/>
  </r>
  <r>
    <s v="Bindushree R"/>
    <s v="Prathyusha Mangalampalli"/>
    <s v="Akshata Nayak Non IT"/>
    <s v="Glenn Roney Castelino"/>
    <n v="2"/>
    <s v="C36231257"/>
    <x v="20"/>
    <n v="48000"/>
    <n v="8000"/>
    <s v="Accenture-voice"/>
    <n v="6"/>
    <x v="0"/>
    <x v="9"/>
  </r>
  <r>
    <s v="Priya b"/>
    <s v="Prathyusha Mangalampalli"/>
    <s v="Akshata Nayak Non IT"/>
    <s v="Ashish Manmohan Kamath"/>
    <n v="2"/>
    <s v="C36231651"/>
    <x v="93"/>
    <n v="33600"/>
    <n v="5600"/>
    <s v="Accenture-voice"/>
    <n v="5"/>
    <x v="0"/>
    <x v="9"/>
  </r>
  <r>
    <s v="Sharad Kiran"/>
    <s v="Prathyusha Mangalampalli"/>
    <s v="Akshata Nayak Non IT"/>
    <s v="Shaikh Faiz Mohammed Abbas "/>
    <n v="2"/>
    <s v="C36231347"/>
    <x v="20"/>
    <n v="47760"/>
    <n v="7760"/>
    <s v="Accenture-voice"/>
    <n v="6"/>
    <x v="0"/>
    <x v="9"/>
  </r>
  <r>
    <s v="Ruhi Taslim"/>
    <s v="Poornachandra V"/>
    <s v="Akshata Nayak"/>
    <s v="Vasanthi Gopisetty"/>
    <n v="2"/>
    <s v="C36231235"/>
    <x v="109"/>
    <n v="120960"/>
    <n v="16794"/>
    <s v="IBM -Mercedes"/>
    <n v="6"/>
    <x v="1"/>
    <x v="7"/>
  </r>
  <r>
    <s v="Ansh  Sharma "/>
    <s v="Kishore Kumar"/>
    <s v="Vishal M"/>
    <s v="Jilla Yogesh"/>
    <n v="1"/>
    <s v="C36231315"/>
    <x v="28"/>
    <n v="32130"/>
    <n v="12130"/>
    <s v="UHG-Non IT"/>
    <n v="6"/>
    <x v="1"/>
    <x v="1"/>
  </r>
  <r>
    <s v="Gouri Priya"/>
    <s v="Pradeep P"/>
    <s v="Akshata Nayak Non IT"/>
    <s v="Raparthi Sai Deep "/>
    <n v="1"/>
    <s v="C36231618"/>
    <x v="92"/>
    <n v="26775"/>
    <n v="6775"/>
    <s v="UHG(BCI &amp; SS)"/>
    <n v="6"/>
    <x v="1"/>
    <x v="1"/>
  </r>
  <r>
    <s v="Gouri Priya"/>
    <s v="Pradeep P"/>
    <s v="Akshata Nayak Non IT"/>
    <s v="Godha Neeraj Kumar Yadav"/>
    <n v="1"/>
    <s v="C36231701"/>
    <x v="92"/>
    <n v="26775"/>
    <n v="6775"/>
    <s v="UHG(BCI &amp; SS)"/>
    <n v="6"/>
    <x v="1"/>
    <x v="1"/>
  </r>
  <r>
    <s v="Gouri Priya"/>
    <s v="Pradeep P"/>
    <s v="Akshata Nayak Non IT"/>
    <s v="Thadichettu Pooja Goud"/>
    <n v="1"/>
    <s v="C36231578"/>
    <x v="92"/>
    <n v="26775"/>
    <n v="6775"/>
    <s v="UHG(BCI &amp; SS)"/>
    <n v="6"/>
    <x v="1"/>
    <x v="1"/>
  </r>
  <r>
    <s v="Gouri Priya"/>
    <s v="Pradeep P"/>
    <s v="Akshata Nayak Non IT"/>
    <s v="T Unnathi"/>
    <n v="1"/>
    <s v="C36231619"/>
    <x v="92"/>
    <n v="26775"/>
    <n v="6775"/>
    <s v="UHG(BCI &amp; SS)"/>
    <n v="6"/>
    <x v="1"/>
    <x v="1"/>
  </r>
  <r>
    <s v="Abhilash P"/>
    <s v="Kamlesh A"/>
    <s v="Menaka Prasad"/>
    <s v="Srilatha  Changa"/>
    <n v="2"/>
    <s v="C36231297"/>
    <x v="116"/>
    <n v="67200"/>
    <n v="21367"/>
    <s v="Socgen"/>
    <n v="5"/>
    <x v="6"/>
    <x v="2"/>
  </r>
  <r>
    <s v="Siba Prasad"/>
    <s v="Kamlesh A"/>
    <s v="Menaka Prasad"/>
    <s v="Aravind  V"/>
    <n v="2"/>
    <s v="C36231238"/>
    <x v="109"/>
    <n v="102241.44"/>
    <n v="14741.44"/>
    <s v="IBM -Mercedes"/>
    <n v="5"/>
    <x v="1"/>
    <x v="7"/>
  </r>
  <r>
    <s v="Deepthi C"/>
    <s v="Anitha C"/>
    <s v="Akshata Nayak Non IT"/>
    <s v="Cheemala Hemalatha "/>
    <n v="1"/>
    <s v="C36231495"/>
    <x v="92"/>
    <n v="26775"/>
    <n v="6775"/>
    <s v="UHG(BCI &amp; SS)"/>
    <n v="6"/>
    <x v="1"/>
    <x v="1"/>
  </r>
  <r>
    <s v="Sharad Kiran"/>
    <s v="Prathyusha Mangalampalli"/>
    <s v="Akshata Nayak Non IT"/>
    <s v="Aditi Prakash Haryan"/>
    <n v="2"/>
    <s v="C36231468"/>
    <x v="28"/>
    <n v="43200"/>
    <n v="7200"/>
    <s v="Accenture-voice"/>
    <n v="6"/>
    <x v="0"/>
    <x v="9"/>
  </r>
  <r>
    <s v="T Manoj Kumar"/>
    <s v="Shoeb Ahmed"/>
    <s v="Shoeb  Ahmed"/>
    <s v="Maruti Labbi"/>
    <n v="2"/>
    <s v="C36232287"/>
    <x v="119"/>
    <n v="104166.67"/>
    <n v="20833.669999999998"/>
    <s v="Lam Research"/>
    <n v="5"/>
    <x v="7"/>
    <x v="20"/>
  </r>
  <r>
    <s v="Mamtha V"/>
    <s v="Fazila K"/>
    <s v="Prathap Sagar"/>
    <s v="D Rajagopal Reddy"/>
    <n v="2"/>
    <s v="C36231243"/>
    <x v="116"/>
    <n v="170100"/>
    <n v="61766.67"/>
    <s v="Infosys"/>
    <n v="6"/>
    <x v="2"/>
    <x v="3"/>
  </r>
  <r>
    <s v="T Manoj Kumar"/>
    <s v="Shoeb Ahmed"/>
    <s v="Shoeb  Ahmed"/>
    <s v="Smitha G"/>
    <n v="2"/>
    <s v="C36240291"/>
    <x v="120"/>
    <n v="97500"/>
    <n v="22500"/>
    <s v="Lam Research"/>
    <n v="5"/>
    <x v="7"/>
    <x v="20"/>
  </r>
  <r>
    <s v="Naveen K"/>
    <s v="Mehr Hashim D"/>
    <s v="Mehr Hashim"/>
    <s v="Subhnesh  Kumar"/>
    <n v="2"/>
    <s v="C36231281"/>
    <x v="112"/>
    <n v="268800"/>
    <n v="110467"/>
    <s v="GE Healthcare Global Private Limited."/>
    <n v="6"/>
    <x v="5"/>
    <x v="10"/>
  </r>
  <r>
    <s v="Poorvi Kundur"/>
    <s v="Monisha RR"/>
    <s v="Akshata Nayak Non IT"/>
    <s v="Umme Kulsum B"/>
    <n v="6"/>
    <s v="C36231276"/>
    <x v="86"/>
    <n v="34375"/>
    <n v="6875"/>
    <s v="HP"/>
    <n v="5"/>
    <x v="0"/>
    <x v="0"/>
  </r>
  <r>
    <s v="Sachin K"/>
    <s v="Prathyusha Mangalampalli"/>
    <s v="Akshata Nayak Non IT"/>
    <s v="Gandhar Vinay Naik"/>
    <n v="2"/>
    <s v="C36231724"/>
    <x v="93"/>
    <n v="32500"/>
    <n v="7500"/>
    <s v="Accenture-voice"/>
    <n v="6"/>
    <x v="0"/>
    <x v="9"/>
  </r>
  <r>
    <s v="Sai Vineeth"/>
    <s v="Pradeep P"/>
    <s v="Akshata Nayak Non IT"/>
    <s v="Nafimunnisa"/>
    <n v="1"/>
    <s v="C36231459"/>
    <x v="87"/>
    <n v="72292.5"/>
    <n v="9792.5"/>
    <s v="UHG(BCI &amp; SS)"/>
    <n v="6"/>
    <x v="1"/>
    <x v="1"/>
  </r>
  <r>
    <s v="Hemanth SM"/>
    <s v="Priyakantha K"/>
    <s v="Prathap Sagar"/>
    <s v="Ganesh Parasram Thombre"/>
    <n v="2"/>
    <s v="C36231251"/>
    <x v="113"/>
    <n v="26000"/>
    <n v="1000"/>
    <s v="Accenture_IDB"/>
    <n v="6"/>
    <x v="2"/>
    <x v="3"/>
  </r>
  <r>
    <s v="Dhanush H"/>
    <s v="Mehr Hashim D"/>
    <s v="Mehr Hashim"/>
    <s v="Akarsh Shrivastava "/>
    <n v="2"/>
    <s v="C36231298"/>
    <x v="116"/>
    <n v="160000"/>
    <n v="110000"/>
    <s v="Cleartrip"/>
    <n v="6"/>
    <x v="5"/>
    <x v="8"/>
  </r>
  <r>
    <s v="Sanu S"/>
    <s v="Priyakantha K"/>
    <s v="Prathap Sagar"/>
    <s v="Anandhu B  Kumar"/>
    <n v="2"/>
    <s v="C36231282"/>
    <x v="112"/>
    <n v="70000"/>
    <n v="14000"/>
    <s v="Accenture_IDB"/>
    <n v="5"/>
    <x v="2"/>
    <x v="3"/>
  </r>
  <r>
    <s v="Karthik Venkatesh"/>
    <s v="Priyakantha K"/>
    <s v="Prathap Sagar"/>
    <s v="Mary Atline  Antony "/>
    <n v="2"/>
    <s v="C36231283"/>
    <x v="112"/>
    <n v="30000"/>
    <n v="5000"/>
    <s v="Accenture_IDB"/>
    <n v="5"/>
    <x v="2"/>
    <x v="3"/>
  </r>
  <r>
    <s v="Sanu S"/>
    <s v="Priyakantha K"/>
    <s v="Prathap Sagar"/>
    <s v="Odela Venkata Ganesh  Kumar"/>
    <n v="2"/>
    <s v="C36231292"/>
    <x v="112"/>
    <n v="100000"/>
    <n v="4167"/>
    <s v="Accenture_IDB"/>
    <n v="5"/>
    <x v="2"/>
    <x v="3"/>
  </r>
  <r>
    <s v="Priya b"/>
    <s v="Prathyusha Mangalampalli"/>
    <s v="Akshata Nayak Non IT"/>
    <s v="Varad Vijay Tiwrekar"/>
    <n v="2"/>
    <s v="C36231652"/>
    <x v="93"/>
    <n v="36000"/>
    <n v="6000"/>
    <s v="Accenture-voice"/>
    <n v="6"/>
    <x v="0"/>
    <x v="9"/>
  </r>
  <r>
    <s v="Narendra Kumar Debariki"/>
    <s v="Pradeep P"/>
    <s v="Akshata Nayak Non IT"/>
    <s v="Gangaram  Kailash Singh"/>
    <n v="1"/>
    <s v="C36231716"/>
    <x v="92"/>
    <n v="26775"/>
    <n v="6775"/>
    <s v="UHG(BCI &amp; SS)"/>
    <n v="6"/>
    <x v="1"/>
    <x v="1"/>
  </r>
  <r>
    <s v="Narendra Kumar Debariki"/>
    <s v="Pradeep P"/>
    <s v="Akshata Nayak Non IT"/>
    <s v="Vadagam Geetha"/>
    <n v="1"/>
    <s v="C36231579"/>
    <x v="92"/>
    <n v="26775"/>
    <n v="6775"/>
    <s v="UHG(BCI &amp; SS)"/>
    <n v="6"/>
    <x v="1"/>
    <x v="1"/>
  </r>
  <r>
    <s v="Sai Vineeth"/>
    <s v="Pradeep P"/>
    <s v="Akshata Nayak Non IT"/>
    <s v="Magduri  Ramesh"/>
    <n v="1"/>
    <s v="C36231764"/>
    <x v="93"/>
    <n v="32130"/>
    <n v="12130"/>
    <s v="UHG(BCI &amp; SS)"/>
    <n v="6"/>
    <x v="1"/>
    <x v="1"/>
  </r>
  <r>
    <s v="Narendra Kumar Debariki"/>
    <s v="Pradeep P"/>
    <s v="Akshata Nayak Non IT"/>
    <s v="A K  Priya"/>
    <n v="1"/>
    <s v="C36231580"/>
    <x v="92"/>
    <n v="26775"/>
    <n v="6775"/>
    <s v="UHG(BCI &amp; SS)"/>
    <n v="6"/>
    <x v="1"/>
    <x v="1"/>
  </r>
  <r>
    <s v="Narendra Kumar Debariki"/>
    <s v="Pradeep P"/>
    <s v="Akshata Nayak Non IT"/>
    <s v="B Manasa "/>
    <n v="1"/>
    <s v="C36231568"/>
    <x v="92"/>
    <n v="26775"/>
    <n v="6775"/>
    <s v="UHG(BCI &amp; SS)"/>
    <n v="6"/>
    <x v="1"/>
    <x v="1"/>
  </r>
  <r>
    <s v="Sneha Mahaveer"/>
    <s v="Namitha Gowda"/>
    <s v="Prathap Sagar"/>
    <s v="Md Saif  Ahmed "/>
    <n v="1"/>
    <s v="C36231545"/>
    <x v="92"/>
    <n v="26775"/>
    <n v="6775"/>
    <s v="UHG-Non IT"/>
    <n v="6"/>
    <x v="1"/>
    <x v="1"/>
  </r>
  <r>
    <s v="Lakheswari Ranjan"/>
    <s v="Sheetal B"/>
    <s v="Tamil Chelvan"/>
    <s v="Venkatesh Gottam"/>
    <n v="1"/>
    <s v="C36231316"/>
    <x v="28"/>
    <n v="113300.49"/>
    <n v="13300.49"/>
    <s v="DXC"/>
    <n v="6"/>
    <x v="1"/>
    <x v="6"/>
  </r>
  <r>
    <s v="Sai Vineeth"/>
    <s v="Pradeep P"/>
    <s v="Akshata Nayak Non IT"/>
    <s v="K Ravinder Reddy"/>
    <n v="1"/>
    <s v="C36231444"/>
    <x v="28"/>
    <n v="32130"/>
    <n v="12130"/>
    <s v="UHG(BCI &amp; SS)"/>
    <n v="6"/>
    <x v="1"/>
    <x v="1"/>
  </r>
  <r>
    <s v="Subha Bharathi"/>
    <s v="Tamil C"/>
    <s v="Akshata Nayak"/>
    <s v="Abhishek Sharma"/>
    <n v="1"/>
    <s v="C36231244"/>
    <x v="107"/>
    <n v="315270"/>
    <n v="131937"/>
    <s v="DXC"/>
    <n v="6"/>
    <x v="1"/>
    <x v="6"/>
  </r>
  <r>
    <s v="Sai Manish"/>
    <s v="Pradeep P"/>
    <s v="Akshata Nayak Non IT"/>
    <s v="Kandukuri Vaishnavi "/>
    <n v="1"/>
    <s v="C36231702"/>
    <x v="92"/>
    <n v="26775"/>
    <n v="6775"/>
    <s v="UHG(BCI &amp; SS)"/>
    <n v="5"/>
    <x v="1"/>
    <x v="1"/>
  </r>
  <r>
    <s v="Sai Manish"/>
    <s v="Pradeep P"/>
    <s v="Akshata Nayak Non IT"/>
    <s v="Kaasam Ramya "/>
    <n v="1"/>
    <s v="C36231682"/>
    <x v="92"/>
    <n v="26775"/>
    <n v="6775"/>
    <s v="UHG(BCI &amp; SS)"/>
    <n v="6"/>
    <x v="1"/>
    <x v="1"/>
  </r>
  <r>
    <s v="Poorvi Kundur"/>
    <s v="Monisha RR"/>
    <s v="Akshata Nayak Non IT"/>
    <s v="Priyanka Rao"/>
    <n v="6"/>
    <s v="C36231524"/>
    <x v="87"/>
    <n v="36600"/>
    <n v="6100"/>
    <s v="HP"/>
    <n v="5"/>
    <x v="0"/>
    <x v="0"/>
  </r>
  <r>
    <s v="Sai Manish"/>
    <s v="Pradeep P"/>
    <s v="Akshata Nayak Non IT"/>
    <s v="Konanki Roopa "/>
    <n v="1"/>
    <s v="C36231601"/>
    <x v="92"/>
    <n v="26775"/>
    <n v="6775"/>
    <s v="UHG(BCI &amp; SS)"/>
    <n v="6"/>
    <x v="1"/>
    <x v="1"/>
  </r>
  <r>
    <s v="Karthik AK"/>
    <s v="Rashmi N"/>
    <s v="Abhishek S"/>
    <s v="Parasurama Gouda E"/>
    <n v="2"/>
    <s v="C36231290"/>
    <x v="20"/>
    <n v="108150"/>
    <n v="24817"/>
    <s v="NetApp"/>
    <n v="5"/>
    <x v="5"/>
    <x v="17"/>
  </r>
  <r>
    <s v="Justin Dsilva"/>
    <s v="Namitha Gowda"/>
    <s v="Prathap Sagar"/>
    <s v="Bonala  Ravali"/>
    <n v="1"/>
    <s v="C36231620"/>
    <x v="92"/>
    <n v="26775"/>
    <n v="6775"/>
    <s v="UHG-Non IT"/>
    <n v="6"/>
    <x v="1"/>
    <x v="1"/>
  </r>
  <r>
    <s v="Poorvi Kundur"/>
    <s v="Monisha RR"/>
    <s v="Akshata Nayak Non IT"/>
    <s v="KEERTHANA S"/>
    <n v="6"/>
    <s v="C36231293"/>
    <x v="107"/>
    <n v="34375"/>
    <n v="6875"/>
    <s v="HP"/>
    <n v="5"/>
    <x v="0"/>
    <x v="0"/>
  </r>
  <r>
    <s v="Poorvi Kundur"/>
    <s v="Monisha RR"/>
    <s v="Akshata Nayak Non IT"/>
    <s v="Nishma J  Reddy"/>
    <n v="6"/>
    <s v="C36231245"/>
    <x v="107"/>
    <n v="34375"/>
    <n v="6875"/>
    <s v="HP"/>
    <n v="6"/>
    <x v="0"/>
    <x v="0"/>
  </r>
  <r>
    <s v="Sneha Mahaveer"/>
    <s v="Namitha Gowda"/>
    <s v="Prathap Sagar"/>
    <s v="Anem  Mounika"/>
    <n v="1"/>
    <s v="C36231602"/>
    <x v="92"/>
    <n v="26775"/>
    <n v="6775"/>
    <s v="UHG-Non IT"/>
    <n v="5"/>
    <x v="1"/>
    <x v="1"/>
  </r>
  <r>
    <s v="Vinay Kumar"/>
    <s v="Shashank Gowda"/>
    <s v="Prathap Sagar"/>
    <s v=" Gadidapati Priya "/>
    <n v="1"/>
    <s v="C36231621"/>
    <x v="92"/>
    <n v="26775"/>
    <n v="6775"/>
    <s v="UHG-Non IT"/>
    <n v="5"/>
    <x v="1"/>
    <x v="1"/>
  </r>
  <r>
    <s v="Sai Vineeth"/>
    <s v="Pradeep P"/>
    <s v="Akshata Nayak Non IT"/>
    <s v="Kaleru Vineeth"/>
    <n v="1"/>
    <s v="C36231703"/>
    <x v="92"/>
    <n v="26775"/>
    <n v="6775"/>
    <s v="UHG(BCI &amp; SS)"/>
    <n v="6"/>
    <x v="1"/>
    <x v="1"/>
  </r>
  <r>
    <s v="Sai Vineeth"/>
    <s v="Pradeep P"/>
    <s v="Akshata Nayak Non IT"/>
    <s v="Dasi Swetha"/>
    <n v="1"/>
    <s v="C36231683"/>
    <x v="92"/>
    <n v="26775"/>
    <n v="6775"/>
    <s v="UHG(BCI &amp; SS)"/>
    <n v="5"/>
    <x v="1"/>
    <x v="1"/>
  </r>
  <r>
    <s v="Surekha S"/>
    <s v="Monisha RR"/>
    <s v="Akshata Nayak Non IT"/>
    <s v="Koushik V"/>
    <n v="6"/>
    <s v="C36231264"/>
    <x v="107"/>
    <n v="34375"/>
    <n v="6875"/>
    <s v="HP"/>
    <n v="5"/>
    <x v="0"/>
    <x v="0"/>
  </r>
  <r>
    <s v="Maheshwari K S"/>
    <s v="Monisha RR"/>
    <s v="Akshata Nayak Non IT"/>
    <s v="Henna Kousar F"/>
    <n v="6"/>
    <s v="C36231246"/>
    <x v="107"/>
    <n v="34375"/>
    <n v="6875"/>
    <s v="HP"/>
    <n v="6"/>
    <x v="0"/>
    <x v="0"/>
  </r>
  <r>
    <s v="Bhargavi T R"/>
    <s v="Monisha RR"/>
    <s v="Akshata Nayak Non IT"/>
    <s v="Syeda Saniya"/>
    <n v="6"/>
    <s v="C36231247"/>
    <x v="107"/>
    <n v="34375"/>
    <n v="6875"/>
    <s v="HP"/>
    <n v="5"/>
    <x v="0"/>
    <x v="0"/>
  </r>
  <r>
    <s v="Vaishnavi  Shekar "/>
    <s v="Monisha RR"/>
    <s v="Akshata Nayak Non IT"/>
    <s v="Aqeeb Khan"/>
    <n v="6"/>
    <s v="C36231248"/>
    <x v="107"/>
    <n v="34375"/>
    <n v="6875"/>
    <s v="HP"/>
    <n v="5"/>
    <x v="0"/>
    <x v="0"/>
  </r>
  <r>
    <s v="Sai Vineeth"/>
    <s v="Pradeep P"/>
    <s v="Akshata Nayak Non IT"/>
    <s v="Dasi Jagadeesh"/>
    <n v="1"/>
    <s v="C36231684"/>
    <x v="92"/>
    <n v="26775"/>
    <n v="6775"/>
    <s v="UHG(BCI &amp; SS)"/>
    <n v="6"/>
    <x v="1"/>
    <x v="1"/>
  </r>
  <r>
    <s v="Javeed Khan"/>
    <s v="Prathyusha Mangalampalli"/>
    <s v="Akshata Nayak Non IT"/>
    <s v="Manda Kalyan  "/>
    <n v="1"/>
    <s v="C36231581"/>
    <x v="92"/>
    <n v="26775"/>
    <n v="6775"/>
    <s v="UHG(BCI &amp; SS)"/>
    <n v="6"/>
    <x v="1"/>
    <x v="1"/>
  </r>
  <r>
    <s v="Maheshwari K S"/>
    <s v="Monisha RR"/>
    <s v="Akshata Nayak Non IT"/>
    <s v="Dimple Prasad"/>
    <n v="6"/>
    <s v="C36231249"/>
    <x v="107"/>
    <n v="34375"/>
    <n v="6875"/>
    <s v="HP"/>
    <n v="5"/>
    <x v="0"/>
    <x v="0"/>
  </r>
  <r>
    <s v="Pradeep S"/>
    <s v="Monisha RR"/>
    <s v="Akshata Nayak Non IT"/>
    <s v="Deepak Kumar Choudhary"/>
    <n v="6"/>
    <s v="C36231250"/>
    <x v="107"/>
    <n v="34375"/>
    <n v="6875"/>
    <s v="HP"/>
    <n v="6"/>
    <x v="0"/>
    <x v="0"/>
  </r>
  <r>
    <s v="Monika Vakati"/>
    <s v="Prathyusha Mangalampalli"/>
    <s v="Akshata Nayak Non IT"/>
    <s v="Kommoju Chandu sai Rama chandra Murthy "/>
    <n v="1"/>
    <s v="C36231334"/>
    <x v="28"/>
    <n v="32130"/>
    <n v="12130"/>
    <s v="UHG(BCI &amp; SS)"/>
    <n v="6"/>
    <x v="1"/>
    <x v="1"/>
  </r>
  <r>
    <s v="Maheshwari K S"/>
    <s v="Monisha RR"/>
    <s v="Akshata Nayak Non IT"/>
    <s v="Anwesha Chatterjee"/>
    <n v="6"/>
    <s v="C36231353"/>
    <x v="107"/>
    <n v="34375"/>
    <n v="6875"/>
    <s v="HP"/>
    <n v="5"/>
    <x v="0"/>
    <x v="0"/>
  </r>
  <r>
    <s v="Mouli Roy"/>
    <s v="Prathyusha Mangalampalli"/>
    <s v="Akshata Nayak Non IT"/>
    <s v="kanamarla  Raghunandan  "/>
    <n v="1"/>
    <s v="C36231429"/>
    <x v="28"/>
    <n v="32130"/>
    <n v="12130"/>
    <s v="UHG(BCI &amp; SS)"/>
    <n v="6"/>
    <x v="1"/>
    <x v="1"/>
  </r>
  <r>
    <s v="Pradeep S"/>
    <s v="Monisha RR"/>
    <s v="Akshata Nayak Non IT"/>
    <s v="Afiya Zaiba A"/>
    <n v="6"/>
    <s v="C36231265"/>
    <x v="107"/>
    <n v="34375"/>
    <n v="6875"/>
    <s v="HP"/>
    <n v="5"/>
    <x v="0"/>
    <x v="0"/>
  </r>
  <r>
    <s v="Sai Vineeth"/>
    <s v="Pradeep P"/>
    <s v="Akshata Nayak Non IT"/>
    <s v="KORICHVRLA VAISHNAVI"/>
    <n v="1"/>
    <s v="C36231704"/>
    <x v="92"/>
    <n v="26775"/>
    <n v="6775"/>
    <s v="UHG(BCI &amp; SS)"/>
    <n v="6"/>
    <x v="1"/>
    <x v="1"/>
  </r>
  <r>
    <s v="Monika Vakati"/>
    <s v="Prathyusha Mangalampalli"/>
    <s v="Akshata Nayak Non IT"/>
    <s v="Pothu Ashwitha "/>
    <n v="1"/>
    <s v="C36231376"/>
    <x v="28"/>
    <n v="0"/>
    <n v="-20000"/>
    <s v="UHG(BCI &amp; SS)"/>
    <n v="6"/>
    <x v="1"/>
    <x v="1"/>
  </r>
  <r>
    <s v="Sai Vineeth"/>
    <s v="Pradeep P"/>
    <s v="Akshata Nayak Non IT"/>
    <s v="Tokala Abhishalom"/>
    <n v="1"/>
    <s v="C36231622"/>
    <x v="92"/>
    <n v="26775"/>
    <n v="6775"/>
    <s v="UHG(BCI &amp; SS)"/>
    <n v="6"/>
    <x v="1"/>
    <x v="1"/>
  </r>
  <r>
    <s v="Javeed Khan"/>
    <s v="Prathyusha Mangalampalli"/>
    <s v="Akshata Nayak Non IT"/>
    <s v="Kothoju Radhika "/>
    <n v="1"/>
    <s v="C36231603"/>
    <x v="92"/>
    <n v="26775"/>
    <n v="6775"/>
    <s v="UHG(BCI &amp; SS)"/>
    <n v="5"/>
    <x v="1"/>
    <x v="1"/>
  </r>
  <r>
    <s v="Sai Vineeth"/>
    <s v="Pradeep P"/>
    <s v="Akshata Nayak Non IT"/>
    <s v="Shaik ShashaVali"/>
    <n v="1"/>
    <s v="C36231727"/>
    <x v="92"/>
    <n v="26775"/>
    <n v="6775"/>
    <s v="UHG(BCI &amp; SS)"/>
    <n v="6"/>
    <x v="1"/>
    <x v="1"/>
  </r>
  <r>
    <s v="Sai Vineeth"/>
    <s v="Pradeep P"/>
    <s v="Akshata Nayak Non IT"/>
    <s v="Gunde Vaishnavi"/>
    <n v="1"/>
    <s v="C36231623"/>
    <x v="92"/>
    <n v="26775"/>
    <n v="6775"/>
    <s v="UHG(BCI &amp; SS)"/>
    <n v="6"/>
    <x v="1"/>
    <x v="1"/>
  </r>
  <r>
    <s v="Sai Vineeth"/>
    <s v="Pradeep P"/>
    <s v="Akshata Nayak Non IT"/>
    <s v="Gudlavaleti Sowjanya"/>
    <n v="1"/>
    <s v="C36231729"/>
    <x v="92"/>
    <n v="26775"/>
    <n v="6775"/>
    <s v="UHG(BCI &amp; SS)"/>
    <n v="6"/>
    <x v="1"/>
    <x v="1"/>
  </r>
  <r>
    <s v="Sai Vineeth"/>
    <s v="Pradeep P"/>
    <s v="Akshata Nayak Non IT"/>
    <s v="Kolanupaka Bhargavi "/>
    <n v="1"/>
    <s v="C36231705"/>
    <x v="92"/>
    <n v="26775"/>
    <n v="6775"/>
    <s v="UHG(BCI &amp; SS)"/>
    <n v="6"/>
    <x v="1"/>
    <x v="1"/>
  </r>
  <r>
    <s v="Sai Vineeth"/>
    <s v="Pradeep P"/>
    <s v="Akshata Nayak Non IT"/>
    <s v="Bandaru Madhusudha naChari"/>
    <n v="1"/>
    <s v="C36231624"/>
    <x v="92"/>
    <n v="26775"/>
    <n v="6775"/>
    <s v="UHG(BCI &amp; SS)"/>
    <n v="6"/>
    <x v="1"/>
    <x v="1"/>
  </r>
  <r>
    <s v="Sai Vineeth"/>
    <s v="Pradeep P"/>
    <s v="Akshata Nayak Non IT"/>
    <s v="Panigantla Nandhini"/>
    <n v="1"/>
    <s v="C36231706"/>
    <x v="92"/>
    <n v="26775"/>
    <n v="6775"/>
    <s v="UHG(BCI &amp; SS)"/>
    <n v="6"/>
    <x v="1"/>
    <x v="1"/>
  </r>
  <r>
    <s v="Mehraj N"/>
    <s v="Prathyusha Mangalampalli"/>
    <s v="Akshata Nayak Non IT"/>
    <s v="Surabhi Sharma"/>
    <n v="2"/>
    <s v="C36231317"/>
    <x v="28"/>
    <n v="48000"/>
    <n v="8000"/>
    <s v="Accenture-voice"/>
    <n v="5"/>
    <x v="0"/>
    <x v="9"/>
  </r>
  <r>
    <s v="Priya b"/>
    <s v="Prathyusha Mangalampalli"/>
    <s v="Akshata Nayak Non IT"/>
    <s v="Inchiparambil Raymon Paulose"/>
    <n v="2"/>
    <s v="C36231309"/>
    <x v="87"/>
    <n v="32500"/>
    <n v="7500"/>
    <s v="Accenture-voice"/>
    <n v="6"/>
    <x v="0"/>
    <x v="9"/>
  </r>
  <r>
    <s v="Keerthana S"/>
    <s v="Monisha RR"/>
    <s v="Akshata Nayak Non IT"/>
    <s v="Apeksha Bhavikatti"/>
    <n v="6"/>
    <s v="C36231258"/>
    <x v="107"/>
    <n v="34375"/>
    <n v="6875"/>
    <s v="HP"/>
    <n v="5"/>
    <x v="0"/>
    <x v="0"/>
  </r>
  <r>
    <s v="Keerthana S"/>
    <s v="Monisha RR"/>
    <s v="Akshata Nayak Non IT"/>
    <s v="Shikha Shina"/>
    <n v="6"/>
    <s v="C36231259"/>
    <x v="107"/>
    <n v="34375"/>
    <n v="6875"/>
    <s v="HP"/>
    <n v="5"/>
    <x v="0"/>
    <x v="0"/>
  </r>
  <r>
    <s v="Sai Vineeth"/>
    <s v="Pradeep P"/>
    <s v="Akshata Nayak Non IT"/>
    <s v="B Madhusudan "/>
    <n v="1"/>
    <s v="C36231625"/>
    <x v="92"/>
    <n v="26775"/>
    <n v="6775"/>
    <s v="UHG(BCI &amp; SS)"/>
    <n v="6"/>
    <x v="1"/>
    <x v="1"/>
  </r>
  <r>
    <s v="Keerthana S"/>
    <s v="Monisha RR"/>
    <s v="Akshata Nayak Non IT"/>
    <s v="Marufa "/>
    <n v="6"/>
    <s v="C36231260"/>
    <x v="107"/>
    <n v="34375"/>
    <n v="6875"/>
    <s v="HP"/>
    <n v="6"/>
    <x v="0"/>
    <x v="0"/>
  </r>
  <r>
    <s v="Keerthana S"/>
    <s v="Monisha RR"/>
    <s v="Akshata Nayak Non IT"/>
    <s v="Saiqua Maheen M A"/>
    <n v="6"/>
    <s v="C36231261"/>
    <x v="107"/>
    <n v="34375"/>
    <n v="6875"/>
    <s v="HP"/>
    <n v="6"/>
    <x v="0"/>
    <x v="0"/>
  </r>
  <r>
    <s v="Vinay Kumar"/>
    <s v="Shashank Gowda"/>
    <s v="Prathap Sagar"/>
    <s v="Kommu Jyothi"/>
    <n v="1"/>
    <s v="C36231546"/>
    <x v="92"/>
    <n v="26775"/>
    <n v="6775"/>
    <s v="UHG-Non IT"/>
    <n v="6"/>
    <x v="1"/>
    <x v="1"/>
  </r>
  <r>
    <s v="Sai Manish"/>
    <s v="Pradeep P"/>
    <s v="Akshata Nayak Non IT"/>
    <s v="Gunji Deepika "/>
    <n v="1"/>
    <s v="C36231642"/>
    <x v="92"/>
    <n v="26775"/>
    <n v="6775"/>
    <s v="UHG(BCI &amp; SS)"/>
    <n v="6"/>
    <x v="1"/>
    <x v="1"/>
  </r>
  <r>
    <s v="Ansh  Sharma "/>
    <s v="Kishore Kumar"/>
    <s v="Vishal M"/>
    <s v="Pallekadi Shashidhar"/>
    <n v="1"/>
    <s v="C36231783"/>
    <x v="92"/>
    <n v="26775"/>
    <n v="6775"/>
    <s v="UHG-Non IT"/>
    <n v="6"/>
    <x v="1"/>
    <x v="1"/>
  </r>
  <r>
    <s v="Narendra Kumar Debariki"/>
    <s v="Pradeep P"/>
    <s v="Akshata Nayak Non IT"/>
    <s v="Madari Sai Karthik"/>
    <n v="1"/>
    <s v="C36231569"/>
    <x v="92"/>
    <n v="26775"/>
    <n v="6775"/>
    <s v="UHG(BCI &amp; SS)"/>
    <n v="6"/>
    <x v="1"/>
    <x v="1"/>
  </r>
  <r>
    <s v="Priya b"/>
    <s v="Prathyusha Mangalampalli"/>
    <s v="Akshata Nayak Non IT"/>
    <s v="S Helan  Monica"/>
    <n v="2"/>
    <s v="C36231299"/>
    <x v="116"/>
    <n v="17400"/>
    <n v="2400"/>
    <s v="Accenture_BPO"/>
    <n v="5"/>
    <x v="0"/>
    <x v="9"/>
  </r>
  <r>
    <s v="Priya b"/>
    <s v="Prathyusha Mangalampalli"/>
    <s v="Akshata Nayak Non IT"/>
    <s v="Kodaganti  Bhuvaneshwari"/>
    <n v="1"/>
    <s v="C36231866"/>
    <x v="117"/>
    <n v="26775"/>
    <n v="6775"/>
    <s v="UHG UNET"/>
    <n v="5"/>
    <x v="1"/>
    <x v="1"/>
  </r>
  <r>
    <s v="Narendra Kumar Debariki"/>
    <s v="Pradeep P"/>
    <s v="Akshata Nayak Non IT"/>
    <s v="Mundla prardhana "/>
    <n v="1"/>
    <s v="C36231570"/>
    <x v="92"/>
    <n v="26775"/>
    <n v="6775"/>
    <s v="UHG(BCI &amp; SS)"/>
    <n v="6"/>
    <x v="1"/>
    <x v="1"/>
  </r>
  <r>
    <s v="Saravana BA"/>
    <s v="Mehr Hashim D"/>
    <s v="Mehr Hashim"/>
    <s v=" Soubhagya Hota "/>
    <n v="2"/>
    <s v="C36231285"/>
    <x v="112"/>
    <n v="436800"/>
    <n v="145134"/>
    <s v="GE Healthcare Global Private Limited."/>
    <n v="6"/>
    <x v="5"/>
    <x v="10"/>
  </r>
  <r>
    <s v="Gouri Priya"/>
    <s v="Pradeep P"/>
    <s v="Akshata Nayak Non IT"/>
    <s v="Koyalkar Girija"/>
    <n v="1"/>
    <s v="C36231707"/>
    <x v="92"/>
    <n v="26775"/>
    <n v="6775"/>
    <s v="UHG(BCI &amp; SS)"/>
    <n v="6"/>
    <x v="1"/>
    <x v="1"/>
  </r>
  <r>
    <s v="Maheshwari K S"/>
    <s v="Monisha RR"/>
    <s v="Akshata Nayak Non IT"/>
    <s v="Pramod Upadhyaya PK "/>
    <n v="6"/>
    <s v="C36231330"/>
    <x v="107"/>
    <n v="34375"/>
    <n v="6875"/>
    <s v="HP"/>
    <n v="5"/>
    <x v="0"/>
    <x v="0"/>
  </r>
  <r>
    <s v="Bhargavi T R"/>
    <s v="Monisha RR"/>
    <s v="Akshata Nayak Non IT"/>
    <s v="Dhanraj Singh"/>
    <n v="2"/>
    <s v="C36231504"/>
    <x v="92"/>
    <n v="26775"/>
    <n v="6775"/>
    <s v="UHG(BCI &amp; SS)"/>
    <n v="6"/>
    <x v="1"/>
    <x v="1"/>
  </r>
  <r>
    <s v="Rohit M"/>
    <s v="Namitha Gowda"/>
    <s v="Prathap Sagar"/>
    <s v="Phalke Aniket Rahul"/>
    <n v="2"/>
    <s v="C36231305"/>
    <x v="116"/>
    <n v="140280"/>
    <n v="40280"/>
    <s v="Mercedes benz"/>
    <n v="6"/>
    <x v="6"/>
    <x v="14"/>
  </r>
  <r>
    <s v="Shivangi Gupta"/>
    <s v="Mehr Hashim D"/>
    <s v="Mehr Hashim"/>
    <s v="Sharath B Kodad"/>
    <n v="2"/>
    <s v="C36231266"/>
    <x v="88"/>
    <n v="369600"/>
    <n v="115433.33"/>
    <s v="GE Healthcare Global Private Limited."/>
    <n v="5"/>
    <x v="5"/>
    <x v="10"/>
  </r>
  <r>
    <s v="Mohammed hamza"/>
    <s v="Mehr Hashim D"/>
    <s v="Mehr Hashim"/>
    <s v="S Murali Krishna"/>
    <n v="2"/>
    <s v="C36231296"/>
    <x v="115"/>
    <n v="161280"/>
    <n v="69614"/>
    <s v="GE Healthcare Global Private Limited."/>
    <n v="5"/>
    <x v="5"/>
    <x v="10"/>
  </r>
  <r>
    <s v="Shivangi Gupta"/>
    <s v="Mehr Hashim D"/>
    <s v="Mehr Hashim"/>
    <s v="Gunjan Swaroop Sharma"/>
    <n v="4"/>
    <s v="O36230065"/>
    <x v="116"/>
    <n v="336000"/>
    <n v="61000"/>
    <s v="GE Healthcare Global Private Limited."/>
    <n v="5"/>
    <x v="5"/>
    <x v="10"/>
  </r>
  <r>
    <s v="Mouli Roy"/>
    <s v="Prathyusha Mangalampalli"/>
    <s v="Akshata Nayak Non IT"/>
    <s v="Rajshekar "/>
    <n v="2"/>
    <s v="C36231357"/>
    <x v="112"/>
    <n v="24265"/>
    <n v="3165"/>
    <s v="Accenture_BPO"/>
    <n v="5"/>
    <x v="0"/>
    <x v="9"/>
  </r>
  <r>
    <s v="Mehraj N"/>
    <s v="Prathyusha Mangalampalli"/>
    <s v="Akshata Nayak Non IT"/>
    <s v="Geetha "/>
    <n v="2"/>
    <s v="C36231286"/>
    <x v="112"/>
    <n v="17400"/>
    <n v="2400"/>
    <s v="Accenture_BPO"/>
    <n v="6"/>
    <x v="0"/>
    <x v="9"/>
  </r>
  <r>
    <s v="Hussain Saheb P"/>
    <s v="Shoeb Ahmed"/>
    <s v="Shoeb  Ahmed"/>
    <s v="Naveen Kumar M N"/>
    <n v="2"/>
    <s v="C36240357"/>
    <x v="121"/>
    <n v="54166.67"/>
    <n v="19583.669999999998"/>
    <s v="Lam Research"/>
    <n v="5"/>
    <x v="7"/>
    <x v="20"/>
  </r>
  <r>
    <s v="Gifty Sunny"/>
    <s v="Prathyusha Mangalampalli"/>
    <s v="Akshata Nayak Non IT"/>
    <s v="Shakthi M"/>
    <n v="2"/>
    <s v="C36231329"/>
    <x v="112"/>
    <n v="24265"/>
    <n v="3165"/>
    <s v="Accenture_BPO"/>
    <n v="5"/>
    <x v="0"/>
    <x v="9"/>
  </r>
  <r>
    <s v="Chethan K"/>
    <s v="Rashmi N"/>
    <s v="Abhishek S"/>
    <s v="Varsha Prakashlal Chawrai"/>
    <n v="2"/>
    <s v="C36231300"/>
    <x v="116"/>
    <n v="268000"/>
    <n v="18000"/>
    <s v="Schneider Electric"/>
    <n v="5"/>
    <x v="5"/>
    <x v="10"/>
  </r>
  <r>
    <s v="Ram Praveen B"/>
    <s v="Fazila K"/>
    <s v="Prathap Sagar"/>
    <s v="Haritha P"/>
    <n v="2"/>
    <s v="C36231287"/>
    <x v="112"/>
    <n v="142800"/>
    <n v="34466.67"/>
    <s v="Infosys"/>
    <n v="6"/>
    <x v="2"/>
    <x v="3"/>
  </r>
  <r>
    <s v="Gouri Priya"/>
    <s v="Pradeep P"/>
    <s v="Akshata Nayak Non IT"/>
    <s v="Kethuri Sindhuja"/>
    <n v="1"/>
    <s v="C36231900"/>
    <x v="117"/>
    <n v="26775"/>
    <n v="6775"/>
    <s v="UHG(BCI &amp; SS)"/>
    <n v="6"/>
    <x v="1"/>
    <x v="1"/>
  </r>
  <r>
    <s v="Deepthi C"/>
    <s v="Anitha C"/>
    <s v="Akshata Nayak Non IT"/>
    <s v="Neha Kumari "/>
    <n v="1"/>
    <s v="C36231349"/>
    <x v="116"/>
    <n v="52500"/>
    <n v="16667"/>
    <s v="Soc gen Ops "/>
    <n v="6"/>
    <x v="4"/>
    <x v="2"/>
  </r>
  <r>
    <s v="Pradeep S"/>
    <s v="Monisha RR"/>
    <s v="Akshata Nayak Non IT"/>
    <s v="Sharmaine Maria Ignatio"/>
    <n v="6"/>
    <s v="C36231362"/>
    <x v="107"/>
    <n v="34375"/>
    <n v="6875"/>
    <s v="HP"/>
    <n v="5"/>
    <x v="0"/>
    <x v="0"/>
  </r>
  <r>
    <s v="Gifty Sunny"/>
    <s v="Prathyusha Mangalampalli"/>
    <s v="Akshata Nayak Non IT"/>
    <s v="S Dilip Kumar"/>
    <n v="2"/>
    <s v="C36231371"/>
    <x v="114"/>
    <n v="41300"/>
    <n v="6300"/>
    <s v="Accenture_BPO"/>
    <n v="5"/>
    <x v="0"/>
    <x v="9"/>
  </r>
  <r>
    <s v="Pooja K"/>
    <s v="Prathyusha Mangalampalli"/>
    <s v="Akshata Nayak Non IT"/>
    <s v="Khushal Chetankumar Chaudhary"/>
    <n v="2"/>
    <s v="C36231351"/>
    <x v="116"/>
    <n v="21275"/>
    <n v="2775"/>
    <s v="Accenture_BPO"/>
    <n v="6"/>
    <x v="0"/>
    <x v="9"/>
  </r>
  <r>
    <s v="Mehraj N"/>
    <s v="Prathyusha Mangalampalli"/>
    <s v="Akshata Nayak Non IT"/>
    <s v="Tanvi Sanjay Shinde "/>
    <n v="2"/>
    <s v="C36231302"/>
    <x v="116"/>
    <n v="21275"/>
    <n v="2775"/>
    <s v="Accenture_BPO"/>
    <n v="6"/>
    <x v="0"/>
    <x v="9"/>
  </r>
  <r>
    <s v="Arpita Sangavi"/>
    <s v="Shashank Gowda"/>
    <s v="Prathap Sagar"/>
    <s v="Yelike Venkata Subash Chandra  Bose"/>
    <n v="2"/>
    <s v="C36231288"/>
    <x v="116"/>
    <n v="181440"/>
    <n v="23107"/>
    <s v="Capgemini-Bangalore"/>
    <n v="6"/>
    <x v="3"/>
    <x v="4"/>
  </r>
  <r>
    <s v="Bhargavi T R"/>
    <s v="Monisha RR"/>
    <s v="Akshata Nayak Non IT"/>
    <s v="Harshitha S"/>
    <n v="2"/>
    <s v="C36231348"/>
    <x v="28"/>
    <n v="32500"/>
    <n v="7500"/>
    <s v="Accenture-voice"/>
    <n v="5"/>
    <x v="0"/>
    <x v="9"/>
  </r>
  <r>
    <s v="Sai Vineeth"/>
    <s v="Pradeep P"/>
    <s v="Akshata Nayak Non IT"/>
    <s v="Mallela Deepika "/>
    <n v="1"/>
    <s v="C36231408"/>
    <x v="28"/>
    <n v="32130"/>
    <n v="12130"/>
    <s v="UHG(BCI &amp; SS)"/>
    <n v="6"/>
    <x v="1"/>
    <x v="1"/>
  </r>
  <r>
    <s v="Monika Vakati"/>
    <s v="Prathyusha Mangalampalli"/>
    <s v="Akshata Nayak Non IT"/>
    <s v="Tabinda   Mehmood"/>
    <n v="2"/>
    <s v="C36231345"/>
    <x v="28"/>
    <n v="32500"/>
    <n v="7500"/>
    <s v="Accenture-voice"/>
    <n v="6"/>
    <x v="0"/>
    <x v="9"/>
  </r>
  <r>
    <s v="Monika Vakati"/>
    <s v="Prathyusha Mangalampalli"/>
    <s v="Akshata Nayak Non IT"/>
    <s v="Methari Mahima Sri  "/>
    <n v="1"/>
    <s v="C36231535"/>
    <x v="92"/>
    <n v="26775"/>
    <n v="6775"/>
    <s v="UHG(BCI &amp; SS)"/>
    <n v="6"/>
    <x v="1"/>
    <x v="1"/>
  </r>
  <r>
    <s v="Muhammed faizal"/>
    <s v="Namitha Gowda"/>
    <s v="Prathap Sagar"/>
    <s v=" Vijayakumar"/>
    <n v="2"/>
    <s v="C36231308"/>
    <x v="116"/>
    <n v="150087"/>
    <n v="50087"/>
    <s v="Mercedes benz"/>
    <n v="5"/>
    <x v="6"/>
    <x v="14"/>
  </r>
  <r>
    <s v="Sharad Kiran"/>
    <s v="Prathyusha Mangalampalli"/>
    <s v="Akshata Nayak Non IT"/>
    <s v="Denzil Donald Baretto"/>
    <n v="2"/>
    <s v="C36231475"/>
    <x v="28"/>
    <n v="44400"/>
    <n v="7400"/>
    <s v="Accenture-voice"/>
    <n v="5"/>
    <x v="0"/>
    <x v="9"/>
  </r>
  <r>
    <s v="Vaishnavi G"/>
    <s v="Shoeb Ahmed"/>
    <s v="Antati Deekshith"/>
    <s v="Razia Sulthana"/>
    <n v="4"/>
    <s v="O36230039"/>
    <x v="77"/>
    <n v="42900"/>
    <n v="9900"/>
    <s v="Manipal Global "/>
    <n v="6"/>
    <x v="5"/>
    <x v="21"/>
  </r>
  <r>
    <s v="Tanzeel Ahmed"/>
    <s v="Mehr Hashim D"/>
    <s v="Mehr Hashim"/>
    <s v="Divya P"/>
    <n v="2"/>
    <s v="C36231295"/>
    <x v="87"/>
    <n v="189000"/>
    <n v="43167"/>
    <s v="Pure Storage"/>
    <n v="5"/>
    <x v="5"/>
    <x v="10"/>
  </r>
  <r>
    <s v="Lakheswari Ranjan"/>
    <s v="Sheetal B"/>
    <s v="Tamil Chelvan"/>
    <s v="Akhil Gupta"/>
    <n v="1"/>
    <s v="C36231336"/>
    <x v="122"/>
    <n v="256157"/>
    <n v="31157"/>
    <s v="DXC"/>
    <n v="6"/>
    <x v="1"/>
    <x v="6"/>
  </r>
  <r>
    <s v="Narendra Kumar Debariki"/>
    <s v="Pradeep P"/>
    <s v="Akshata Nayak Non IT"/>
    <s v="Gajji  Mahesh"/>
    <n v="1"/>
    <s v="C36231571"/>
    <x v="92"/>
    <n v="26775"/>
    <n v="6775"/>
    <s v="UHG(BCI &amp; SS)"/>
    <n v="6"/>
    <x v="1"/>
    <x v="1"/>
  </r>
  <r>
    <s v="Narendra Kumar Debariki"/>
    <s v="Pradeep P"/>
    <s v="Akshata Nayak Non IT"/>
    <s v="Nakkala Sai Charan  Yadav"/>
    <n v="1"/>
    <s v="C36231572"/>
    <x v="92"/>
    <n v="26775"/>
    <n v="6775"/>
    <s v="UHG(BCI &amp; SS)"/>
    <n v="6"/>
    <x v="1"/>
    <x v="1"/>
  </r>
  <r>
    <s v="Narendra Kumar Debariki"/>
    <s v="Pradeep P"/>
    <s v="Akshata Nayak Non IT"/>
    <s v=" Atmakuri  Sai "/>
    <n v="1"/>
    <s v="C36231626"/>
    <x v="92"/>
    <n v="26775"/>
    <n v="6775"/>
    <s v="UHG(BCI &amp; SS)"/>
    <n v="6"/>
    <x v="1"/>
    <x v="1"/>
  </r>
  <r>
    <s v="Mehraj N"/>
    <s v="Prathyusha Mangalampalli"/>
    <s v="Akshata Nayak Non IT"/>
    <s v="Nikita Sharma"/>
    <n v="2"/>
    <s v="C36231355"/>
    <x v="122"/>
    <n v="21275"/>
    <n v="2775"/>
    <s v="Accenture-voice"/>
    <n v="5"/>
    <x v="0"/>
    <x v="9"/>
  </r>
  <r>
    <s v="Mehraj N"/>
    <s v="Prathyusha Mangalampalli"/>
    <s v="Akshata Nayak Non IT"/>
    <s v="Kiran S"/>
    <n v="2"/>
    <s v="C36231445"/>
    <x v="84"/>
    <n v="48000"/>
    <n v="8000"/>
    <s v="Accenture-voice"/>
    <n v="5"/>
    <x v="0"/>
    <x v="9"/>
  </r>
  <r>
    <s v="Vaishnavi  Shekar "/>
    <s v="Monisha RR"/>
    <s v="Akshata Nayak Non IT"/>
    <s v=" M Varsha "/>
    <n v="2"/>
    <s v="C36231319"/>
    <x v="116"/>
    <n v="40000"/>
    <n v="6667"/>
    <s v="HP"/>
    <n v="5"/>
    <x v="0"/>
    <x v="0"/>
  </r>
  <r>
    <s v="Mehraj N"/>
    <s v="Prathyusha Mangalampalli"/>
    <s v="Akshata Nayak Non IT"/>
    <s v="Ashwin  Kumar"/>
    <n v="2"/>
    <s v="C36231409"/>
    <x v="123"/>
    <n v="48000"/>
    <n v="8000"/>
    <s v="Accenture-voice"/>
    <n v="6"/>
    <x v="0"/>
    <x v="9"/>
  </r>
  <r>
    <s v="Bindushree R"/>
    <s v="Prathyusha Mangalampalli"/>
    <s v="Akshata Nayak Non IT"/>
    <s v="Rishi Kailash Joshi"/>
    <n v="2"/>
    <s v="C36231350"/>
    <x v="122"/>
    <n v="21275"/>
    <n v="2775"/>
    <s v="Accenture_BPO"/>
    <n v="5"/>
    <x v="0"/>
    <x v="9"/>
  </r>
  <r>
    <s v="Morla  Pavani"/>
    <s v="Vinay Murthy"/>
    <s v="Antati Deekshith"/>
    <s v=" Akshaya S"/>
    <n v="4"/>
    <s v="O36230040"/>
    <x v="81"/>
    <n v="29700"/>
    <n v="9700"/>
    <s v="Manipal Global "/>
    <n v="6"/>
    <x v="5"/>
    <x v="21"/>
  </r>
  <r>
    <s v="Balaji Neela  Prasad"/>
    <s v="Sabreena Jabeen"/>
    <s v="Sabreena Jabeen"/>
    <s v="Monigha Dhanabalan"/>
    <n v="2"/>
    <s v="C36231306"/>
    <x v="116"/>
    <n v="140280"/>
    <n v="31947"/>
    <s v="Mercedes benz"/>
    <n v="6"/>
    <x v="6"/>
    <x v="14"/>
  </r>
  <r>
    <s v="Sandipta Panigrahi"/>
    <s v="Mehr Hashim D"/>
    <s v="Mehr Hashim"/>
    <s v="Priyanka Warad"/>
    <n v="4"/>
    <s v="O36230066"/>
    <x v="116"/>
    <n v="100000"/>
    <n v="50000"/>
    <s v="GE Healthcare Global Private Limited."/>
    <n v="6"/>
    <x v="5"/>
    <x v="10"/>
  </r>
  <r>
    <s v="Shrimai NY"/>
    <s v="Fazila K"/>
    <s v="Prathap Sagar"/>
    <s v="Kurakula Nagaraju "/>
    <n v="2"/>
    <s v="C36231378"/>
    <x v="87"/>
    <n v="210000"/>
    <n v="18334"/>
    <s v="Infosys"/>
    <n v="5"/>
    <x v="2"/>
    <x v="3"/>
  </r>
  <r>
    <s v="Monika Vakati"/>
    <s v="Prathyusha Mangalampalli"/>
    <s v="Akshata Nayak Non IT"/>
    <s v="Kiran R S"/>
    <n v="2"/>
    <s v="C36231421"/>
    <x v="28"/>
    <n v="48000"/>
    <n v="8000"/>
    <s v="Accenture-voice"/>
    <n v="5"/>
    <x v="0"/>
    <x v="9"/>
  </r>
  <r>
    <s v="Lakheswari Ranjan"/>
    <s v="Sheetal B"/>
    <s v="Tamil Chelvan"/>
    <s v="Jinna Kala Madhav Reddy"/>
    <n v="1"/>
    <s v="C36231338"/>
    <x v="88"/>
    <n v="197044.33"/>
    <n v="13711.33"/>
    <s v="DXC"/>
    <n v="6"/>
    <x v="1"/>
    <x v="6"/>
  </r>
  <r>
    <s v="Naveen K"/>
    <s v="Mehr Hashim D"/>
    <s v="Mehr Hashim"/>
    <s v="Sairam Panguluri"/>
    <n v="2"/>
    <s v="C36231303"/>
    <x v="116"/>
    <n v="302400"/>
    <n v="102400"/>
    <s v="GE Healthcare Global Private Limited."/>
    <n v="6"/>
    <x v="5"/>
    <x v="10"/>
  </r>
  <r>
    <s v="Shiva Prasad"/>
    <s v="Fazila K"/>
    <s v="Prathap Sagar"/>
    <s v="Cheekatla Ganesh "/>
    <n v="2"/>
    <s v="C36231379"/>
    <x v="87"/>
    <n v="220500"/>
    <n v="20500"/>
    <s v="Infosys"/>
    <n v="5"/>
    <x v="2"/>
    <x v="3"/>
  </r>
  <r>
    <s v="Deekshith MS"/>
    <s v="Poornachandra V"/>
    <s v="Akshata Nayak"/>
    <s v="Neha Tabassum "/>
    <n v="4"/>
    <s v="O36230076"/>
    <x v="84"/>
    <n v="832"/>
    <n v="766"/>
    <s v="EY"/>
    <n v="6"/>
    <x v="1"/>
    <x v="7"/>
  </r>
  <r>
    <s v="Deekshith MS"/>
    <s v="Poornachandra V"/>
    <s v="Akshata Nayak"/>
    <s v="Edith Deborah"/>
    <n v="4"/>
    <s v="O36230069"/>
    <x v="84"/>
    <n v="1144"/>
    <n v="1053"/>
    <s v="EY"/>
    <n v="6"/>
    <x v="1"/>
    <x v="7"/>
  </r>
  <r>
    <s v="Deekshith MS"/>
    <s v="Poornachandra V"/>
    <s v="Akshata Nayak"/>
    <s v="Mohana Bhavya Y"/>
    <n v="4"/>
    <s v="O36230079"/>
    <x v="84"/>
    <n v="832"/>
    <n v="766"/>
    <s v="EY"/>
    <n v="6"/>
    <x v="1"/>
    <x v="7"/>
  </r>
  <r>
    <s v="Ruhi Taslim"/>
    <s v="Poornachandra V"/>
    <s v="Akshata Nayak"/>
    <s v="Snehal Neel Pathak"/>
    <n v="4"/>
    <s v="O36230077"/>
    <x v="84"/>
    <n v="1144"/>
    <n v="1053"/>
    <s v="EY"/>
    <n v="6"/>
    <x v="1"/>
    <x v="7"/>
  </r>
  <r>
    <s v="Shaik  Nayeem"/>
    <s v="Dummy Record Lead"/>
    <s v="Vinod K"/>
    <s v="Nidhi Arunsingh Bhadoriya"/>
    <n v="4"/>
    <s v="O36230071"/>
    <x v="84"/>
    <n v="832"/>
    <n v="766"/>
    <s v="EY"/>
    <n v="6"/>
    <x v="1"/>
    <x v="7"/>
  </r>
  <r>
    <s v="Surabhi K"/>
    <s v="Mehr Hashim D"/>
    <s v="Mehr Hashim"/>
    <s v="Aruna Mariya"/>
    <n v="2"/>
    <s v="C36231307"/>
    <x v="116"/>
    <n v="171998.4"/>
    <n v="121998.39999999999"/>
    <s v="Pure Storage"/>
    <n v="5"/>
    <x v="5"/>
    <x v="10"/>
  </r>
  <r>
    <s v="Shivangi Gupta"/>
    <s v="Mehr Hashim D"/>
    <s v="Mehr Hashim"/>
    <s v="Addanki Pranava "/>
    <n v="2"/>
    <s v="C36231304"/>
    <x v="116"/>
    <n v="220000"/>
    <n v="95000"/>
    <s v="GE Healthcare Global Private Limited."/>
    <n v="5"/>
    <x v="5"/>
    <x v="10"/>
  </r>
  <r>
    <s v="Shaik  Nayeem"/>
    <s v="Dummy Record Lead"/>
    <s v="Vinod K"/>
    <s v="Ananya H C"/>
    <n v="4"/>
    <s v="O36230073"/>
    <x v="84"/>
    <n v="832"/>
    <n v="766"/>
    <s v="EY"/>
    <n v="6"/>
    <x v="1"/>
    <x v="7"/>
  </r>
  <r>
    <s v="Shaik  Nayeem"/>
    <s v="Dummy Record Lead"/>
    <s v="Vinod K"/>
    <s v="Vivek Nambiar S V"/>
    <n v="4"/>
    <s v="O36230078"/>
    <x v="84"/>
    <n v="832"/>
    <n v="766"/>
    <s v="EY"/>
    <n v="6"/>
    <x v="1"/>
    <x v="7"/>
  </r>
  <r>
    <s v="Shaik  Nayeem"/>
    <s v="Dummy Record Lead"/>
    <s v="Vinod K"/>
    <s v="Mahalakshmi N"/>
    <n v="4"/>
    <s v="O36230067"/>
    <x v="84"/>
    <n v="1144"/>
    <n v="1053"/>
    <s v="EY"/>
    <n v="6"/>
    <x v="1"/>
    <x v="7"/>
  </r>
  <r>
    <s v="Shaik  Nayeem"/>
    <s v="Dummy Record Lead"/>
    <s v="Vinod K"/>
    <s v="Marlyn George"/>
    <n v="4"/>
    <s v="O36230080"/>
    <x v="84"/>
    <n v="1144"/>
    <n v="44"/>
    <s v="EY"/>
    <n v="6"/>
    <x v="1"/>
    <x v="7"/>
  </r>
  <r>
    <s v="Deekshith MS"/>
    <s v="Poornachandra V"/>
    <s v="Akshata Nayak"/>
    <s v="Hannah Kirubaraj"/>
    <n v="4"/>
    <s v="O36230074"/>
    <x v="84"/>
    <n v="1144"/>
    <n v="1053"/>
    <s v="EY"/>
    <n v="6"/>
    <x v="1"/>
    <x v="7"/>
  </r>
  <r>
    <s v="Deekshith MS"/>
    <s v="Poornachandra V"/>
    <s v="Akshata Nayak"/>
    <s v="Soumya Alawadhi"/>
    <n v="4"/>
    <s v="O36230068"/>
    <x v="84"/>
    <n v="832"/>
    <n v="766"/>
    <s v="EY"/>
    <n v="6"/>
    <x v="1"/>
    <x v="7"/>
  </r>
  <r>
    <s v="Deekshith MS"/>
    <s v="Poornachandra V"/>
    <s v="Akshata Nayak"/>
    <s v="Jacqueline"/>
    <n v="4"/>
    <s v="O36230070"/>
    <x v="84"/>
    <n v="1144"/>
    <n v="1053"/>
    <s v="EY"/>
    <n v="6"/>
    <x v="1"/>
    <x v="7"/>
  </r>
  <r>
    <s v="Deekshith MS"/>
    <s v="Poornachandra V"/>
    <s v="Akshata Nayak"/>
    <s v="Mrudul Joseph"/>
    <n v="4"/>
    <s v="O36230072"/>
    <x v="84"/>
    <n v="1144"/>
    <n v="1053"/>
    <s v="EY"/>
    <n v="6"/>
    <x v="1"/>
    <x v="7"/>
  </r>
  <r>
    <s v="Pradeep S"/>
    <s v="Monisha RR"/>
    <s v="Akshata Nayak Non IT"/>
    <s v="S Abhishek "/>
    <n v="2"/>
    <s v="C36231443"/>
    <x v="88"/>
    <n v="48000"/>
    <n v="8000"/>
    <s v="Accenture-voice"/>
    <n v="6"/>
    <x v="0"/>
    <x v="9"/>
  </r>
  <r>
    <s v="Deepthi C"/>
    <s v="Anitha C"/>
    <s v="Akshata Nayak Non IT"/>
    <s v="Vevina Stanley "/>
    <n v="2"/>
    <s v="C36231322"/>
    <x v="28"/>
    <n v="32500"/>
    <n v="7500"/>
    <s v="Accenture-voice"/>
    <n v="6"/>
    <x v="0"/>
    <x v="9"/>
  </r>
  <r>
    <s v="Pooja Bt"/>
    <s v="Anitha C"/>
    <s v="Akshata Nayak Non IT"/>
    <s v="Swathi N S"/>
    <n v="2"/>
    <s v="C36231356"/>
    <x v="88"/>
    <n v="32500"/>
    <n v="7500"/>
    <s v="Accenture-voice"/>
    <n v="5"/>
    <x v="0"/>
    <x v="9"/>
  </r>
  <r>
    <s v="Priya b"/>
    <s v="Prathyusha Mangalampalli"/>
    <s v="Akshata Nayak Non IT"/>
    <s v="KS Nanjappa "/>
    <n v="2"/>
    <s v="C36231405"/>
    <x v="87"/>
    <n v="32500"/>
    <n v="7500"/>
    <s v="Accenture-voice"/>
    <n v="6"/>
    <x v="0"/>
    <x v="9"/>
  </r>
  <r>
    <s v="Priya b"/>
    <s v="Prathyusha Mangalampalli"/>
    <s v="Akshata Nayak Non IT"/>
    <s v="Sanjay V"/>
    <n v="2"/>
    <s v="C36231653"/>
    <x v="93"/>
    <n v="48000"/>
    <n v="8000"/>
    <s v="Accenture-voice"/>
    <n v="6"/>
    <x v="0"/>
    <x v="9"/>
  </r>
  <r>
    <s v="Mouli Roy"/>
    <s v="Prathyusha Mangalampalli"/>
    <s v="Akshata Nayak Non IT"/>
    <s v="  Alisha Henarica Chand "/>
    <n v="2"/>
    <s v="C36231414"/>
    <x v="28"/>
    <n v="46560"/>
    <n v="7760"/>
    <s v="Accenture-voice"/>
    <n v="6"/>
    <x v="0"/>
    <x v="9"/>
  </r>
  <r>
    <s v="Mouli Roy"/>
    <s v="Prathyusha Mangalampalli"/>
    <s v="Akshata Nayak Non IT"/>
    <s v="Stefy Davis P"/>
    <n v="2"/>
    <s v="C36231436"/>
    <x v="87"/>
    <n v="47760"/>
    <n v="7960"/>
    <s v="Accenture-voice"/>
    <n v="6"/>
    <x v="0"/>
    <x v="9"/>
  </r>
  <r>
    <s v="Raja Shekhar"/>
    <s v="Prathyusha Mangalampalli"/>
    <s v="Akshata Nayak Non IT"/>
    <s v="Lakshmi Sri P"/>
    <n v="2"/>
    <s v="C36231386"/>
    <x v="28"/>
    <n v="48000"/>
    <n v="8000"/>
    <s v="Accenture-voice"/>
    <n v="5"/>
    <x v="0"/>
    <x v="9"/>
  </r>
  <r>
    <s v="Maheshwari K S"/>
    <s v="Monisha RR"/>
    <s v="Akshata Nayak Non IT"/>
    <s v="Justin V Thomas "/>
    <n v="2"/>
    <s v="C36231419"/>
    <x v="88"/>
    <n v="32500"/>
    <n v="7500"/>
    <s v="Accenture-voice"/>
    <n v="5"/>
    <x v="0"/>
    <x v="9"/>
  </r>
  <r>
    <s v="Lokesh Reddy"/>
    <s v="Mehr Hashim D"/>
    <s v="Mehr Hashim"/>
    <s v="Disha Awasthi"/>
    <n v="2"/>
    <s v="C36231505"/>
    <x v="92"/>
    <n v="59583.3"/>
    <n v="13750.3"/>
    <s v="NetApp"/>
    <n v="5"/>
    <x v="5"/>
    <x v="17"/>
  </r>
  <r>
    <s v="Maheshwari K S"/>
    <s v="Monisha RR"/>
    <s v="Akshata Nayak Non IT"/>
    <s v="Bulokam Sowmya Rani "/>
    <n v="2"/>
    <s v="C36231643"/>
    <x v="92"/>
    <n v="26775"/>
    <n v="6775"/>
    <s v="UHG(BCI &amp; SS)"/>
    <n v="6"/>
    <x v="1"/>
    <x v="1"/>
  </r>
  <r>
    <s v="Antati Deekshith"/>
    <s v="Raghuramaiah K"/>
    <s v="Antati Deekshith"/>
    <s v="Jagadesh V"/>
    <n v="4"/>
    <s v="O36230041"/>
    <x v="81"/>
    <n v="28350"/>
    <n v="9350"/>
    <s v="Manipal Global "/>
    <n v="6"/>
    <x v="5"/>
    <x v="21"/>
  </r>
  <r>
    <s v="Gagan Kumar"/>
    <s v="Shashank Gowda"/>
    <s v="Prathap Sagar"/>
    <s v="Srilakshmi Nair"/>
    <n v="2"/>
    <s v="C36231393"/>
    <x v="114"/>
    <n v="47760"/>
    <n v="7960"/>
    <s v="Accenture-voice"/>
    <n v="6"/>
    <x v="0"/>
    <x v="9"/>
  </r>
  <r>
    <s v="Keerthana S"/>
    <s v="Monisha RR"/>
    <s v="Akshata Nayak Non IT"/>
    <s v="Gujarathi Rishitha "/>
    <n v="1"/>
    <s v="C36231604"/>
    <x v="92"/>
    <n v="26775"/>
    <n v="6775"/>
    <s v="UHG(BCI &amp; SS)"/>
    <n v="5"/>
    <x v="1"/>
    <x v="1"/>
  </r>
  <r>
    <s v="Raja Shekhar"/>
    <s v="Prathyusha Mangalampalli"/>
    <s v="Akshata Nayak Non IT"/>
    <s v="Snehith Ravi Kumar "/>
    <n v="2"/>
    <s v="C36231380"/>
    <x v="88"/>
    <n v="33600"/>
    <n v="5600"/>
    <s v="Accenture-voice"/>
    <n v="6"/>
    <x v="0"/>
    <x v="9"/>
  </r>
  <r>
    <s v="Maheshwari K S"/>
    <s v="Monisha RR"/>
    <s v="Akshata Nayak Non IT"/>
    <s v="V V Rama Brahmam Darla "/>
    <n v="2"/>
    <s v="C36231644"/>
    <x v="92"/>
    <n v="26775"/>
    <n v="6775"/>
    <s v="UHG(BCI &amp; SS)"/>
    <n v="6"/>
    <x v="1"/>
    <x v="1"/>
  </r>
  <r>
    <s v="Raja Shekhar"/>
    <s v="Prathyusha Mangalampalli"/>
    <s v="Akshata Nayak Non IT"/>
    <s v="Medisetti Yamuna Mahathi Bindu"/>
    <n v="1"/>
    <s v="C36231627"/>
    <x v="92"/>
    <n v="26775"/>
    <n v="6775"/>
    <s v="UHG(BCI &amp; SS)"/>
    <n v="6"/>
    <x v="1"/>
    <x v="1"/>
  </r>
  <r>
    <s v="Karthik V"/>
    <s v="Fazila K"/>
    <s v="Prathap Sagar"/>
    <s v="Krishna Reddy Nandyala "/>
    <n v="2"/>
    <s v="C36231328"/>
    <x v="116"/>
    <n v="115500"/>
    <n v="32167"/>
    <s v="Infosys"/>
    <n v="6"/>
    <x v="2"/>
    <x v="3"/>
  </r>
  <r>
    <s v="Sachin K"/>
    <s v="Prathyusha Mangalampalli"/>
    <s v="Akshata Nayak Non IT"/>
    <s v="Riya Bagga"/>
    <n v="2"/>
    <s v="C36231417"/>
    <x v="87"/>
    <n v="46560"/>
    <n v="7760"/>
    <s v="Accenture-voice"/>
    <n v="5"/>
    <x v="0"/>
    <x v="9"/>
  </r>
  <r>
    <s v="Monika Vakati"/>
    <s v="Prathyusha Mangalampalli"/>
    <s v="Akshata Nayak Non IT"/>
    <s v="Matoori Srikanth "/>
    <n v="1"/>
    <s v="C36231605"/>
    <x v="92"/>
    <n v="26775"/>
    <n v="6775"/>
    <s v="UHG(BCI &amp; SS)"/>
    <n v="6"/>
    <x v="1"/>
    <x v="1"/>
  </r>
  <r>
    <s v="Mouli Roy"/>
    <s v="Prathyusha Mangalampalli"/>
    <s v="Akshata Nayak Non IT"/>
    <s v="Jonathan  Menezes"/>
    <n v="2"/>
    <s v="C36231423"/>
    <x v="87"/>
    <n v="32500"/>
    <n v="7500"/>
    <s v="Accenture-voice"/>
    <n v="6"/>
    <x v="0"/>
    <x v="9"/>
  </r>
  <r>
    <s v="Sachin K"/>
    <s v="Prathyusha Mangalampalli"/>
    <s v="Akshata Nayak Non IT"/>
    <s v="John Dynesious Joseph Manikuzhiyill"/>
    <n v="2"/>
    <s v="C36231428"/>
    <x v="87"/>
    <n v="48000"/>
    <n v="8000"/>
    <s v="Accenture-voice"/>
    <n v="6"/>
    <x v="0"/>
    <x v="9"/>
  </r>
  <r>
    <s v="Abhilash P"/>
    <s v="Kamlesh A"/>
    <s v="Menaka Prasad"/>
    <s v="Sherin  Robin"/>
    <n v="2"/>
    <s v="C36231337"/>
    <x v="122"/>
    <n v="119700"/>
    <n v="57200"/>
    <s v="Socgen"/>
    <n v="5"/>
    <x v="6"/>
    <x v="2"/>
  </r>
  <r>
    <s v="Monika Vakati"/>
    <s v="Prathyusha Mangalampalli"/>
    <s v="Akshata Nayak Non IT"/>
    <s v="Thaen  Tamizh .K"/>
    <n v="2"/>
    <s v="C36231513"/>
    <x v="88"/>
    <n v="17700"/>
    <n v="2700"/>
    <s v="Accenture_BPO"/>
    <n v="5"/>
    <x v="0"/>
    <x v="9"/>
  </r>
  <r>
    <s v="Sachin K"/>
    <s v="Prathyusha Mangalampalli"/>
    <s v="Akshata Nayak Non IT"/>
    <s v="Uddhav  Maruti Kadam"/>
    <n v="2"/>
    <s v="C36231489"/>
    <x v="123"/>
    <n v="48000"/>
    <n v="8000"/>
    <s v="Accenture-voice"/>
    <n v="6"/>
    <x v="0"/>
    <x v="9"/>
  </r>
  <r>
    <s v="Sireesha K"/>
    <s v="Prathyusha Mangalampalli"/>
    <s v="Akshata Nayak Non IT"/>
    <s v="T Sanjeevani Dora "/>
    <n v="1"/>
    <s v="C36231525"/>
    <x v="28"/>
    <n v="32130"/>
    <n v="12130"/>
    <s v="UHG(BCI &amp; SS)"/>
    <n v="6"/>
    <x v="1"/>
    <x v="1"/>
  </r>
  <r>
    <s v="Karthik C"/>
    <s v="Fazila K"/>
    <s v="Prathap Sagar"/>
    <s v="Vibhor Tyagi "/>
    <n v="7"/>
    <s v="C36231961"/>
    <x v="110"/>
    <n v="103183"/>
    <n v="4443"/>
    <s v="ZTE_payroll"/>
    <n v="5"/>
    <x v="2"/>
    <x v="3"/>
  </r>
  <r>
    <s v="Gouri Priya"/>
    <s v="Pradeep P"/>
    <s v="Akshata Nayak Non IT"/>
    <s v="Shaista"/>
    <n v="2"/>
    <s v="C36231474"/>
    <x v="124"/>
    <n v="48000"/>
    <n v="8000"/>
    <s v="Accenture-voice"/>
    <n v="5"/>
    <x v="0"/>
    <x v="9"/>
  </r>
  <r>
    <s v="Mamtha V"/>
    <s v="Fazila K"/>
    <s v="Prathap Sagar"/>
    <s v="Pritee Rupesh chordiya"/>
    <n v="2"/>
    <s v="C36231439"/>
    <x v="84"/>
    <n v="140700"/>
    <n v="40700"/>
    <s v="Infosys"/>
    <n v="5"/>
    <x v="2"/>
    <x v="3"/>
  </r>
  <r>
    <s v="Gouri Priya"/>
    <s v="Pradeep P"/>
    <s v="Akshata Nayak Non IT"/>
    <s v="Palamakula Srikanth"/>
    <n v="1"/>
    <s v="C36231582"/>
    <x v="92"/>
    <n v="26775"/>
    <n v="6775"/>
    <s v="UHG(BCI &amp; SS)"/>
    <n v="6"/>
    <x v="1"/>
    <x v="1"/>
  </r>
  <r>
    <s v="Silpa Vukkem"/>
    <s v="Vinay Murthy"/>
    <s v="Antati Deekshith"/>
    <s v="   Nasina  Srinivasulu "/>
    <n v="4"/>
    <s v="O36230042"/>
    <x v="81"/>
    <n v="28350"/>
    <n v="7350"/>
    <s v="Manipal Global "/>
    <n v="6"/>
    <x v="5"/>
    <x v="21"/>
  </r>
  <r>
    <s v="Mehraj N"/>
    <s v="Prathyusha Mangalampalli"/>
    <s v="Akshata Nayak Non IT"/>
    <s v="Yemuna M"/>
    <n v="2"/>
    <s v="C36231325"/>
    <x v="86"/>
    <n v="17400"/>
    <n v="2400"/>
    <s v="Accenture_BPO"/>
    <n v="5"/>
    <x v="0"/>
    <x v="9"/>
  </r>
  <r>
    <s v="Sanu S"/>
    <s v="Priyakantha K"/>
    <s v="Prathap Sagar"/>
    <s v="Anilkumar  N"/>
    <n v="2"/>
    <s v="C36231415"/>
    <x v="125"/>
    <n v="26000"/>
    <n v="3000"/>
    <s v="Accenture_IDB"/>
    <n v="6"/>
    <x v="2"/>
    <x v="3"/>
  </r>
  <r>
    <s v="Mehraj N"/>
    <s v="Prathyusha Mangalampalli"/>
    <s v="Akshata Nayak Non IT"/>
    <s v="Aishwarya Suresh Shinde"/>
    <n v="2"/>
    <s v="C36231323"/>
    <x v="112"/>
    <n v="38525"/>
    <n v="5025"/>
    <s v="Accenture_BPO"/>
    <n v="6"/>
    <x v="0"/>
    <x v="9"/>
  </r>
  <r>
    <s v="Deepthi C"/>
    <s v="Anitha C"/>
    <s v="Akshata Nayak Non IT"/>
    <s v="B Anchal Prusty "/>
    <n v="1"/>
    <s v="C36231573"/>
    <x v="92"/>
    <n v="26775"/>
    <n v="6775"/>
    <s v="UHG(BCI &amp; SS)"/>
    <n v="6"/>
    <x v="1"/>
    <x v="1"/>
  </r>
  <r>
    <s v="Monika Vakati"/>
    <s v="Prathyusha Mangalampalli"/>
    <s v="Akshata Nayak Non IT"/>
    <s v="Jupalli Naga  Anjali Devi"/>
    <n v="1"/>
    <s v="C36231657"/>
    <x v="93"/>
    <n v="0"/>
    <n v="-20000"/>
    <s v="UHG(BCI &amp; SS)"/>
    <n v="6"/>
    <x v="1"/>
    <x v="1"/>
  </r>
  <r>
    <s v="Mehraj N"/>
    <s v="Prathyusha Mangalampalli"/>
    <s v="Akshata Nayak Non IT"/>
    <s v="Sabeetha"/>
    <n v="2"/>
    <s v="C36231324"/>
    <x v="107"/>
    <n v="17400"/>
    <n v="2400"/>
    <s v="Accenture_BPO"/>
    <n v="6"/>
    <x v="0"/>
    <x v="9"/>
  </r>
  <r>
    <s v="Lokesh Reddy"/>
    <s v="Mehr Hashim D"/>
    <s v="Mehr Hashim"/>
    <s v="Tejaswini S"/>
    <n v="2"/>
    <s v="C36231332"/>
    <x v="88"/>
    <n v="199500"/>
    <n v="107834"/>
    <s v="NetApp"/>
    <n v="5"/>
    <x v="5"/>
    <x v="17"/>
  </r>
  <r>
    <s v="Pooja K"/>
    <s v="Prathyusha Mangalampalli"/>
    <s v="Akshata Nayak Non IT"/>
    <s v="Jonathan Clifford Saldanha"/>
    <n v="2"/>
    <s v="C36231456"/>
    <x v="123"/>
    <n v="21850"/>
    <n v="2850"/>
    <s v="Accenture_BPO"/>
    <n v="5"/>
    <x v="0"/>
    <x v="9"/>
  </r>
  <r>
    <s v="Anusha BJ"/>
    <s v="Tara VR"/>
    <s v="Prathap Sagar"/>
    <s v="Nargey Abhilash Yadav"/>
    <n v="2"/>
    <s v="C36231554"/>
    <x v="89"/>
    <n v="39589.26"/>
    <n v="7923.26"/>
    <s v="Accenture_IDB"/>
    <n v="6"/>
    <x v="2"/>
    <x v="3"/>
  </r>
  <r>
    <s v="Tanya S"/>
    <s v="Sravan BR"/>
    <s v="Vignesh P"/>
    <s v="A T Neeraja "/>
    <n v="4"/>
    <s v="O36230060"/>
    <x v="80"/>
    <n v="29700"/>
    <n v="6700"/>
    <s v="Manipal Global "/>
    <n v="6"/>
    <x v="5"/>
    <x v="21"/>
  </r>
  <r>
    <s v="Monika Vakati"/>
    <s v="Prathyusha Mangalampalli"/>
    <s v="Akshata Nayak Non IT"/>
    <s v="Gyanveer Nishad"/>
    <n v="2"/>
    <s v="C36231434"/>
    <x v="114"/>
    <n v="22420"/>
    <n v="3420"/>
    <s v="Accenture_BPO"/>
    <n v="5"/>
    <x v="0"/>
    <x v="9"/>
  </r>
  <r>
    <s v="Sai Manish"/>
    <s v="Pradeep P"/>
    <s v="Akshata Nayak Non IT"/>
    <s v="Mohammed Parvaiz"/>
    <n v="1"/>
    <s v="C36231394"/>
    <x v="122"/>
    <n v="72292.5"/>
    <n v="9792.5"/>
    <s v="UHG(BCI &amp; SS)"/>
    <n v="6"/>
    <x v="1"/>
    <x v="1"/>
  </r>
  <r>
    <s v="Javeed Khan"/>
    <s v="Prathyusha Mangalampalli"/>
    <s v="Akshata Nayak Non IT"/>
    <s v="Anjali Vishwajeet Singh"/>
    <n v="2"/>
    <s v="C36231460"/>
    <x v="87"/>
    <n v="45600"/>
    <n v="7600"/>
    <s v="Accenture-voice"/>
    <n v="6"/>
    <x v="0"/>
    <x v="9"/>
  </r>
  <r>
    <s v="Vaishnavi  Shekar "/>
    <s v="Monisha RR"/>
    <s v="Akshata Nayak Non IT"/>
    <s v="Shaik Imtiyaz"/>
    <n v="2"/>
    <s v="C36231717"/>
    <x v="92"/>
    <n v="26775"/>
    <n v="6775"/>
    <s v="UHG(BCI &amp; SS)"/>
    <n v="6"/>
    <x v="1"/>
    <x v="1"/>
  </r>
  <r>
    <s v="Vaishnavi  Shekar "/>
    <s v="Monisha RR"/>
    <s v="Akshata Nayak Non IT"/>
    <s v="Jakke Anusha "/>
    <n v="1"/>
    <s v="C36231718"/>
    <x v="92"/>
    <n v="26775"/>
    <n v="6775"/>
    <s v="UHG(BCI &amp; SS)"/>
    <n v="6"/>
    <x v="1"/>
    <x v="1"/>
  </r>
  <r>
    <s v="Arpita Biswal"/>
    <s v="Anitha C"/>
    <s v="Akshata Nayak Non IT"/>
    <s v="Arsh  Unnisa"/>
    <n v="1"/>
    <s v="C36231628"/>
    <x v="92"/>
    <n v="26775"/>
    <n v="6775"/>
    <s v="UHG(BCI &amp; SS)"/>
    <n v="6"/>
    <x v="1"/>
    <x v="1"/>
  </r>
  <r>
    <s v="Prateek A"/>
    <s v="Mehr Hashim D"/>
    <s v="Mehr Hashim"/>
    <s v="Ram  Sharan "/>
    <n v="2"/>
    <s v="C36231517"/>
    <x v="126"/>
    <n v="386400"/>
    <n v="90567"/>
    <s v="GE Healthcare Global Private Limited."/>
    <n v="5"/>
    <x v="5"/>
    <x v="10"/>
  </r>
  <r>
    <s v="Sachin K"/>
    <s v="Prathyusha Mangalampalli"/>
    <s v="Akshata Nayak Non IT"/>
    <s v="Abhishek A N"/>
    <n v="2"/>
    <s v="C36231418"/>
    <x v="114"/>
    <n v="48000"/>
    <n v="8000"/>
    <s v="Accenture-voice"/>
    <n v="6"/>
    <x v="0"/>
    <x v="9"/>
  </r>
  <r>
    <s v="Sachin K"/>
    <s v="Prathyusha Mangalampalli"/>
    <s v="Akshata Nayak Non IT"/>
    <s v="Rapelli Sai Druthi"/>
    <n v="1"/>
    <s v="C36231629"/>
    <x v="92"/>
    <n v="26775"/>
    <n v="6775"/>
    <s v="UHG(BCI &amp; SS)"/>
    <n v="6"/>
    <x v="1"/>
    <x v="1"/>
  </r>
  <r>
    <s v="Maheshwari K S"/>
    <s v="Monisha RR"/>
    <s v="Akshata Nayak Non IT"/>
    <s v="Raghav G"/>
    <n v="2"/>
    <s v="C36231501"/>
    <x v="87"/>
    <n v="48000"/>
    <n v="8000"/>
    <s v="Accenture-voice"/>
    <n v="5"/>
    <x v="0"/>
    <x v="9"/>
  </r>
  <r>
    <s v="Maheshwari K S"/>
    <s v="Monisha RR"/>
    <s v="Akshata Nayak Non IT"/>
    <s v="Manjunath Rajaput"/>
    <n v="2"/>
    <s v="C36231446"/>
    <x v="124"/>
    <n v="32500"/>
    <n v="7500"/>
    <s v="Accenture-voice"/>
    <n v="6"/>
    <x v="0"/>
    <x v="9"/>
  </r>
  <r>
    <s v="Karnikasri P"/>
    <s v="Priyakantha K"/>
    <s v="Prathap Sagar"/>
    <s v="Priyanka Patil "/>
    <n v="2"/>
    <s v="C36231555"/>
    <x v="89"/>
    <n v="86000"/>
    <n v="11000"/>
    <s v="Accenture_IDB"/>
    <n v="5"/>
    <x v="2"/>
    <x v="3"/>
  </r>
  <r>
    <s v="Lavani Yasheer"/>
    <s v="Menaka Prasad"/>
    <s v="karan lalchandani"/>
    <s v="Pratheek Boyapati"/>
    <n v="2"/>
    <s v="C36231476"/>
    <x v="92"/>
    <n v="88200"/>
    <n v="25700"/>
    <s v="Socgen"/>
    <n v="5"/>
    <x v="6"/>
    <x v="2"/>
  </r>
  <r>
    <s v="Gagan Kumar"/>
    <s v="Shashank Gowda"/>
    <s v="Prathap Sagar"/>
    <s v="C Aishwarya Rajput"/>
    <n v="2"/>
    <s v="C36231452"/>
    <x v="84"/>
    <n v="32500"/>
    <n v="7500"/>
    <s v="Accenture-voice"/>
    <n v="6"/>
    <x v="0"/>
    <x v="9"/>
  </r>
  <r>
    <s v="Preethi Hindu"/>
    <s v="Sabreena Jabeen"/>
    <s v="Sabreena Jabeen"/>
    <s v="Jerin John"/>
    <n v="2"/>
    <s v="C36231416"/>
    <x v="125"/>
    <n v="140280"/>
    <n v="15280"/>
    <s v="Mercedes benz"/>
    <n v="6"/>
    <x v="6"/>
    <x v="14"/>
  </r>
  <r>
    <s v="Sachin K"/>
    <s v="Prathyusha Mangalampalli"/>
    <s v="Akshata Nayak Non IT"/>
    <s v="Shaik Imrana"/>
    <n v="1"/>
    <s v="C36231941"/>
    <x v="117"/>
    <n v="26775"/>
    <n v="6775"/>
    <s v="UHG(BCI &amp; SS)"/>
    <n v="6"/>
    <x v="1"/>
    <x v="1"/>
  </r>
  <r>
    <s v="Monika Vakati"/>
    <s v="Prathyusha Mangalampalli"/>
    <s v="Akshata Nayak Non IT"/>
    <s v="Malini  Chandrabalan"/>
    <n v="2"/>
    <s v="C36231457"/>
    <x v="123"/>
    <n v="17400"/>
    <n v="2400"/>
    <s v="Accenture_BPO"/>
    <n v="5"/>
    <x v="0"/>
    <x v="9"/>
  </r>
  <r>
    <s v="Sharad Kiran"/>
    <s v="Prathyusha Mangalampalli"/>
    <s v="Akshata Nayak Non IT"/>
    <s v="Prachita Mohanty"/>
    <n v="2"/>
    <s v="C36231447"/>
    <x v="125"/>
    <n v="32500"/>
    <n v="7500"/>
    <s v="Accenture-voice"/>
    <n v="6"/>
    <x v="0"/>
    <x v="9"/>
  </r>
  <r>
    <s v="Sharad Kiran"/>
    <s v="Prathyusha Mangalampalli"/>
    <s v="Akshata Nayak Non IT"/>
    <s v="Spanishta Adil Irani"/>
    <n v="2"/>
    <s v="C36231488"/>
    <x v="125"/>
    <n v="32500"/>
    <n v="7500"/>
    <s v="Accenture-voice"/>
    <n v="6"/>
    <x v="0"/>
    <x v="9"/>
  </r>
  <r>
    <s v="Sharad Kiran"/>
    <s v="Prathyusha Mangalampalli"/>
    <s v="Akshata Nayak Non IT"/>
    <s v="Nehal Atul  Panchal"/>
    <n v="2"/>
    <s v="C36231490"/>
    <x v="123"/>
    <n v="48000"/>
    <n v="8000"/>
    <s v="Accenture-voice"/>
    <n v="6"/>
    <x v="0"/>
    <x v="9"/>
  </r>
  <r>
    <s v="Javeed Khan"/>
    <s v="Prathyusha Mangalampalli"/>
    <s v="Akshata Nayak Non IT"/>
    <s v="Bhageshwari Himanshu Yadav"/>
    <n v="2"/>
    <s v="C36231427"/>
    <x v="125"/>
    <n v="21275"/>
    <n v="2775"/>
    <s v="Accenture_BPO"/>
    <n v="6"/>
    <x v="0"/>
    <x v="9"/>
  </r>
  <r>
    <s v="Jaisal RP"/>
    <s v="Suman S"/>
    <s v="Prathap Sagar"/>
    <s v=" Amol Digambar Vaidya"/>
    <n v="2"/>
    <s v="C36231440"/>
    <x v="84"/>
    <n v="132300"/>
    <n v="69800"/>
    <s v="Infosys"/>
    <n v="5"/>
    <x v="2"/>
    <x v="3"/>
  </r>
  <r>
    <s v="Bindushree R"/>
    <s v="Prathyusha Mangalampalli"/>
    <s v="Akshata Nayak Non IT"/>
    <s v="Anjali Ajith Singh"/>
    <n v="2"/>
    <s v="C36231432"/>
    <x v="124"/>
    <n v="21275"/>
    <n v="2775"/>
    <s v="Accenture-voice"/>
    <n v="6"/>
    <x v="0"/>
    <x v="9"/>
  </r>
  <r>
    <s v="Bindushree R"/>
    <s v="Prathyusha Mangalampalli"/>
    <s v="Akshata Nayak Non IT"/>
    <s v="Kritika  Shailesh Shirke"/>
    <n v="2"/>
    <s v="C36231455"/>
    <x v="125"/>
    <n v="32500"/>
    <n v="7500"/>
    <s v="Accenture-voice"/>
    <n v="6"/>
    <x v="0"/>
    <x v="9"/>
  </r>
  <r>
    <s v="Lahari Likitha"/>
    <s v="Menaka Prasad"/>
    <s v="karan lalchandani"/>
    <s v="Garima Sachdeva"/>
    <n v="4"/>
    <s v="O36230084"/>
    <x v="67"/>
    <n v="16800"/>
    <n v="16733.330000000002"/>
    <s v="EY payroll"/>
    <n v="6"/>
    <x v="1"/>
    <x v="7"/>
  </r>
  <r>
    <s v="Menaka Prasad"/>
    <s v="Karan Lalchandani"/>
    <s v="Menaka Prasad"/>
    <s v="Malavika B"/>
    <n v="4"/>
    <s v="O36230081"/>
    <x v="67"/>
    <n v="832"/>
    <n v="766"/>
    <s v="EY"/>
    <n v="6"/>
    <x v="1"/>
    <x v="7"/>
  </r>
  <r>
    <s v="Krishna priya"/>
    <s v="Suman S"/>
    <s v="Prathap Sagar"/>
    <s v="Sathisha R"/>
    <n v="2"/>
    <s v="C36231556"/>
    <x v="89"/>
    <n v="39000"/>
    <n v="9834"/>
    <s v="Accenture_IDB"/>
    <n v="5"/>
    <x v="2"/>
    <x v="3"/>
  </r>
  <r>
    <s v="Deepthi C"/>
    <s v="Anitha C"/>
    <s v="Akshata Nayak Non IT"/>
    <s v="Vippari Rajesh  "/>
    <n v="1"/>
    <s v="C36231547"/>
    <x v="92"/>
    <n v="26775"/>
    <n v="6775"/>
    <s v="UHG(BCI &amp; SS)"/>
    <n v="6"/>
    <x v="1"/>
    <x v="1"/>
  </r>
  <r>
    <s v="Surabhi K"/>
    <s v="Mehr Hashim D"/>
    <s v="Mehr Hashim"/>
    <s v="Reetika  Singh"/>
    <n v="2"/>
    <s v="C36231437"/>
    <x v="124"/>
    <n v="336000"/>
    <n v="161000"/>
    <s v="GE Healthcare Global Private Limited."/>
    <n v="5"/>
    <x v="5"/>
    <x v="10"/>
  </r>
  <r>
    <s v="Deepthi C"/>
    <s v="Anitha C"/>
    <s v="Akshata Nayak Non IT"/>
    <s v=" Baswa Meddinti  Prem Viraj"/>
    <n v="1"/>
    <s v="C36231736"/>
    <x v="92"/>
    <n v="26775"/>
    <n v="6775"/>
    <s v="UHG(BCI &amp; SS)"/>
    <n v="6"/>
    <x v="1"/>
    <x v="1"/>
  </r>
  <r>
    <s v="Mehraj N"/>
    <s v="Prathyusha Mangalampalli"/>
    <s v="Akshata Nayak Non IT"/>
    <s v="Karikar Abu Jafar Abdul Munnan"/>
    <n v="2"/>
    <s v="C36231485"/>
    <x v="84"/>
    <n v="47520"/>
    <n v="7920"/>
    <s v="Accenture-voice"/>
    <n v="6"/>
    <x v="0"/>
    <x v="9"/>
  </r>
  <r>
    <s v="Sachin K"/>
    <s v="Prathyusha Mangalampalli"/>
    <s v="Akshata Nayak Non IT"/>
    <s v="K Sandeep "/>
    <n v="1"/>
    <s v="C36231548"/>
    <x v="92"/>
    <n v="26775"/>
    <n v="6775"/>
    <s v="UHG(BCI &amp; SS)"/>
    <n v="6"/>
    <x v="1"/>
    <x v="1"/>
  </r>
  <r>
    <s v="Gifty Sunny"/>
    <s v="Prathyusha Mangalampalli"/>
    <s v="Akshata Nayak Non IT"/>
    <s v="Mohammad Humaid Mukim Shaikh"/>
    <n v="2"/>
    <s v="C36231431"/>
    <x v="125"/>
    <n v="21850"/>
    <n v="2850"/>
    <s v="Accenture_BPO"/>
    <n v="6"/>
    <x v="0"/>
    <x v="9"/>
  </r>
  <r>
    <s v="Gifty Sunny"/>
    <s v="Prathyusha Mangalampalli"/>
    <s v="Akshata Nayak Non IT"/>
    <s v="Harshal  Shishir Manke"/>
    <n v="2"/>
    <s v="C36231430"/>
    <x v="127"/>
    <n v="21850"/>
    <n v="2850"/>
    <s v="Accenture_BPO"/>
    <n v="5"/>
    <x v="0"/>
    <x v="9"/>
  </r>
  <r>
    <s v="Pradeep S"/>
    <s v="Monisha RR"/>
    <s v="Akshata Nayak Non IT"/>
    <s v="Afreen Alisha"/>
    <n v="2"/>
    <s v="C36231454"/>
    <x v="127"/>
    <n v="45600"/>
    <n v="7600"/>
    <s v="Accenture-voice"/>
    <n v="6"/>
    <x v="0"/>
    <x v="9"/>
  </r>
  <r>
    <s v="Pooja K"/>
    <s v="Prathyusha Mangalampalli"/>
    <s v="Akshata Nayak Non IT"/>
    <s v="Saleema Khatoon"/>
    <n v="1"/>
    <s v="C36231967"/>
    <x v="117"/>
    <n v="26775"/>
    <n v="6775"/>
    <s v="UHG(BCI &amp; SS)"/>
    <n v="6"/>
    <x v="1"/>
    <x v="1"/>
  </r>
  <r>
    <s v="Madhuri Ps"/>
    <s v="Menaka Prasad"/>
    <s v="karan lalchandani"/>
    <s v="Divya  Mishra"/>
    <n v="4"/>
    <s v="O36230082"/>
    <x v="67"/>
    <n v="832"/>
    <n v="766"/>
    <s v="EY payroll"/>
    <n v="6"/>
    <x v="1"/>
    <x v="7"/>
  </r>
  <r>
    <s v="Deepthi C"/>
    <s v="Anitha C"/>
    <s v="Akshata Nayak Non IT"/>
    <s v="Medam Meghana "/>
    <n v="1"/>
    <s v="C36231496"/>
    <x v="92"/>
    <n v="26775"/>
    <n v="6775"/>
    <s v="UHG(BCI &amp; SS)"/>
    <n v="6"/>
    <x v="1"/>
    <x v="1"/>
  </r>
  <r>
    <s v="Sireesha K"/>
    <s v="Prathyusha Mangalampalli"/>
    <s v="Akshata Nayak Non IT"/>
    <s v="Maddula Radha Krishna Muthy"/>
    <n v="1"/>
    <s v="C36231583"/>
    <x v="92"/>
    <n v="26775"/>
    <n v="6775"/>
    <s v="UHG(BCI &amp; SS)"/>
    <n v="6"/>
    <x v="1"/>
    <x v="1"/>
  </r>
  <r>
    <s v="Naveen K"/>
    <s v="Mehr Hashim D"/>
    <s v="Mehr Hashim"/>
    <s v="Bhakti Bhagawat  Chavare"/>
    <n v="2"/>
    <s v="C36231497"/>
    <x v="92"/>
    <n v="242500"/>
    <n v="59167"/>
    <s v="Veritas"/>
    <n v="5"/>
    <x v="5"/>
    <x v="8"/>
  </r>
  <r>
    <s v="Thrupthi S"/>
    <s v="Menaka Prasad"/>
    <s v="karan lalchandani"/>
    <s v="Ameena  Shajahan Hassan"/>
    <n v="4"/>
    <s v="O36230083"/>
    <x v="67"/>
    <n v="520"/>
    <n v="479"/>
    <s v="EY-GDS"/>
    <n v="6"/>
    <x v="1"/>
    <x v="7"/>
  </r>
  <r>
    <s v="Gopinath S N"/>
    <s v="Mehr Hashim D"/>
    <s v="Mehr Hashim"/>
    <s v="Pradeep Inti"/>
    <n v="2"/>
    <s v="C36231506"/>
    <x v="92"/>
    <n v="386400"/>
    <n v="128067"/>
    <s v="GE Healthcare Global Private Limited."/>
    <n v="5"/>
    <x v="5"/>
    <x v="10"/>
  </r>
  <r>
    <s v="Bindushree R"/>
    <s v="Prathyusha Mangalampalli"/>
    <s v="Akshata Nayak Non IT"/>
    <s v="Gaurav  Santhosh Tiwari"/>
    <n v="2"/>
    <s v="C36231433"/>
    <x v="124"/>
    <n v="21850"/>
    <n v="2850"/>
    <s v="Accenture_BPO"/>
    <n v="5"/>
    <x v="0"/>
    <x v="9"/>
  </r>
  <r>
    <s v="Mouli Roy"/>
    <s v="Prathyusha Mangalampalli"/>
    <s v="Akshata Nayak Non IT"/>
    <s v="Harsh Jagdish Agarwal"/>
    <n v="2"/>
    <s v="C36231441"/>
    <x v="124"/>
    <n v="45600"/>
    <n v="7600"/>
    <s v="Accenture-voice"/>
    <n v="6"/>
    <x v="0"/>
    <x v="9"/>
  </r>
  <r>
    <s v="Mouli Roy"/>
    <s v="Prathyusha Mangalampalli"/>
    <s v="Akshata Nayak Non IT"/>
    <s v="Dipansha Shailesh Salvi"/>
    <n v="2"/>
    <s v="C36231442"/>
    <x v="124"/>
    <n v="32500"/>
    <n v="7500"/>
    <s v="Accenture-voice"/>
    <n v="6"/>
    <x v="0"/>
    <x v="9"/>
  </r>
  <r>
    <s v="Morla  Pavani"/>
    <s v="Vinay Murthy"/>
    <s v="Antati Deekshith"/>
    <s v="Kruthika S R"/>
    <n v="4"/>
    <s v="O36230053"/>
    <x v="80"/>
    <n v="28350"/>
    <n v="7350"/>
    <s v="Manipal Global "/>
    <n v="6"/>
    <x v="5"/>
    <x v="21"/>
  </r>
  <r>
    <s v="Arpita Biswal"/>
    <s v="Anitha C"/>
    <s v="Akshata Nayak Non IT"/>
    <s v="K Preethi  "/>
    <n v="1"/>
    <s v="C36231823"/>
    <x v="117"/>
    <n v="26775"/>
    <n v="6775"/>
    <s v="UHG(BCI &amp; SS)"/>
    <n v="6"/>
    <x v="1"/>
    <x v="1"/>
  </r>
  <r>
    <s v="Tamilarasan S"/>
    <s v="Mehr Hashim D"/>
    <s v="Mehr Hashim"/>
    <s v="C Selvam"/>
    <n v="2"/>
    <s v="C36231449"/>
    <x v="84"/>
    <n v="436800"/>
    <n v="103467"/>
    <s v="GE Healthcare Global Private Limited."/>
    <n v="5"/>
    <x v="5"/>
    <x v="10"/>
  </r>
  <r>
    <s v="Pradeep S"/>
    <s v="Monisha RR"/>
    <s v="Akshata Nayak Non IT"/>
    <s v="Guddanti Vishnu "/>
    <n v="2"/>
    <s v="C36231649"/>
    <x v="92"/>
    <n v="26775"/>
    <n v="6775"/>
    <s v="UHG(BCI &amp; SS)"/>
    <n v="6"/>
    <x v="1"/>
    <x v="1"/>
  </r>
  <r>
    <s v="Sireesha K"/>
    <s v="Prathyusha Mangalampalli"/>
    <s v="Akshata Nayak Non IT"/>
    <s v="Shruthi Ms"/>
    <n v="2"/>
    <s v="C36231510"/>
    <x v="128"/>
    <n v="24265"/>
    <n v="3165"/>
    <s v="Accenture_BPO"/>
    <n v="5"/>
    <x v="0"/>
    <x v="9"/>
  </r>
  <r>
    <s v="Pradeep S"/>
    <s v="Monisha RR"/>
    <s v="Akshata Nayak Non IT"/>
    <s v="Bhukya Praveen "/>
    <n v="2"/>
    <s v="C36231630"/>
    <x v="92"/>
    <n v="26775"/>
    <n v="6775"/>
    <s v="UHG(BCI &amp; SS)"/>
    <n v="6"/>
    <x v="1"/>
    <x v="1"/>
  </r>
  <r>
    <s v="Pradeep S"/>
    <s v="Monisha RR"/>
    <s v="Akshata Nayak Non IT"/>
    <s v=" Vikshitha S U"/>
    <n v="6"/>
    <s v="C36231523"/>
    <x v="128"/>
    <n v="34375"/>
    <n v="6875"/>
    <s v="HP"/>
    <n v="5"/>
    <x v="0"/>
    <x v="0"/>
  </r>
  <r>
    <s v="Poorvi Kundur"/>
    <s v="Monisha RR"/>
    <s v="Akshata Nayak Non IT"/>
    <s v="Vemireddy Vinay Kumar Reddy "/>
    <n v="2"/>
    <s v="C36231498"/>
    <x v="92"/>
    <n v="26775"/>
    <n v="6775"/>
    <s v="UHG(BCI &amp; SS)"/>
    <n v="6"/>
    <x v="1"/>
    <x v="1"/>
  </r>
  <r>
    <s v="Monika Vakati"/>
    <s v="Prathyusha Mangalampalli"/>
    <s v="Akshata Nayak Non IT"/>
    <s v="Bilal Pasha"/>
    <n v="2"/>
    <s v="C36231511"/>
    <x v="128"/>
    <n v="48000"/>
    <n v="8000"/>
    <s v="Accenture-voice"/>
    <n v="5"/>
    <x v="0"/>
    <x v="9"/>
  </r>
  <r>
    <s v="Sachin K"/>
    <s v="Prathyusha Mangalampalli"/>
    <s v="Akshata Nayak Non IT"/>
    <s v="Mahmood  Dawood Basha Shaikh"/>
    <n v="2"/>
    <s v="C36231779"/>
    <x v="92"/>
    <n v="45600"/>
    <n v="7600"/>
    <s v="Accenture-voice"/>
    <n v="6"/>
    <x v="0"/>
    <x v="9"/>
  </r>
  <r>
    <s v="Monika Vakati"/>
    <s v="Prathyusha Mangalampalli"/>
    <s v="Akshata Nayak Non IT"/>
    <s v="Aman Jayaprakash Yadav"/>
    <n v="2"/>
    <s v="C36231477"/>
    <x v="129"/>
    <n v="21850"/>
    <n v="2850"/>
    <s v="Accenture_BPO"/>
    <n v="5"/>
    <x v="0"/>
    <x v="9"/>
  </r>
  <r>
    <s v="Sharad Kiran"/>
    <s v="Prathyusha Mangalampalli"/>
    <s v="Akshata Nayak Non IT"/>
    <s v="Debarati Chakraborty"/>
    <n v="2"/>
    <s v="C36231486"/>
    <x v="84"/>
    <n v="32500"/>
    <n v="7500"/>
    <s v="Accenture-voice"/>
    <n v="6"/>
    <x v="0"/>
    <x v="9"/>
  </r>
  <r>
    <s v="Pooja K"/>
    <s v="Prathyusha Mangalampalli"/>
    <s v="Akshata Nayak Non IT"/>
    <s v="Stephanie Jyrwa Nongsiej"/>
    <n v="2"/>
    <s v="C36231552"/>
    <x v="99"/>
    <n v="32500"/>
    <n v="7500"/>
    <s v="Accenture-voice"/>
    <n v="6"/>
    <x v="0"/>
    <x v="9"/>
  </r>
  <r>
    <s v="Monika Vakati"/>
    <s v="Prathyusha Mangalampalli"/>
    <s v="Akshata Nayak Non IT"/>
    <s v="Sowmiya Haridoss"/>
    <n v="2"/>
    <s v="C36231483"/>
    <x v="99"/>
    <n v="17400"/>
    <n v="2400"/>
    <s v="Accenture_BPO"/>
    <n v="5"/>
    <x v="0"/>
    <x v="9"/>
  </r>
  <r>
    <s v="Sharad Kiran"/>
    <s v="Prathyusha Mangalampalli"/>
    <s v="Akshata Nayak Non IT"/>
    <s v="Vritika Dinesh Kithani"/>
    <n v="2"/>
    <s v="C36231473"/>
    <x v="84"/>
    <n v="45600"/>
    <n v="7600"/>
    <s v="Accenture-voice"/>
    <n v="6"/>
    <x v="0"/>
    <x v="9"/>
  </r>
  <r>
    <s v="Sachin K"/>
    <s v="Prathyusha Mangalampalli"/>
    <s v="Akshata Nayak Non IT"/>
    <s v="Zaveriya Shoaib Wasim Khan"/>
    <n v="2"/>
    <s v="C36231450"/>
    <x v="128"/>
    <n v="46800"/>
    <n v="7800"/>
    <s v="Accenture-voice"/>
    <n v="6"/>
    <x v="0"/>
    <x v="9"/>
  </r>
  <r>
    <s v="Pooja K"/>
    <s v="Prathyusha Mangalampalli"/>
    <s v="Akshata Nayak Non IT"/>
    <s v="Neeraj Jaswant Jaiswar"/>
    <n v="2"/>
    <s v="C36231732"/>
    <x v="93"/>
    <n v="31050"/>
    <n v="4050"/>
    <s v="Accenture-voice"/>
    <n v="5"/>
    <x v="0"/>
    <x v="9"/>
  </r>
  <r>
    <s v="Mouli Roy"/>
    <s v="Prathyusha Mangalampalli"/>
    <s v="Akshata Nayak Non IT"/>
    <s v="Sakshi Bhaskar  Poojari"/>
    <n v="2"/>
    <s v="C36231451"/>
    <x v="128"/>
    <n v="38400"/>
    <n v="6400"/>
    <s v="Accenture-voice"/>
    <n v="5"/>
    <x v="0"/>
    <x v="9"/>
  </r>
  <r>
    <s v="Sharad Kiran"/>
    <s v="Prathyusha Mangalampalli"/>
    <s v="Akshata Nayak Non IT"/>
    <s v="Lovepreet Sukhchain Singh Sandhu "/>
    <n v="2"/>
    <s v="C36231471"/>
    <x v="128"/>
    <n v="48000"/>
    <n v="8000"/>
    <s v="Accenture-voice"/>
    <n v="6"/>
    <x v="0"/>
    <x v="9"/>
  </r>
  <r>
    <s v="Sharad Kiran"/>
    <s v="Prathyusha Mangalampalli"/>
    <s v="Akshata Nayak Non IT"/>
    <s v="Arvind Sayar Singh"/>
    <n v="2"/>
    <s v="C36231472"/>
    <x v="128"/>
    <n v="48000"/>
    <n v="8000"/>
    <s v="Accenture-voice"/>
    <n v="6"/>
    <x v="0"/>
    <x v="9"/>
  </r>
  <r>
    <s v="Bhargavi T R"/>
    <s v="Monisha RR"/>
    <s v="Akshata Nayak Non IT"/>
    <s v="Joel  Eapen"/>
    <n v="2"/>
    <s v="C36231453"/>
    <x v="84"/>
    <n v="33600"/>
    <n v="5600"/>
    <s v="Accenture-voice"/>
    <n v="5"/>
    <x v="0"/>
    <x v="9"/>
  </r>
  <r>
    <s v="Shwetha Bl"/>
    <s v="Rashmi N"/>
    <s v="Abhishek S"/>
    <s v="Ashish Kumar"/>
    <n v="2"/>
    <s v="C36231487"/>
    <x v="84"/>
    <n v="296000"/>
    <n v="21000"/>
    <s v="Schneider Electric"/>
    <n v="6"/>
    <x v="5"/>
    <x v="10"/>
  </r>
  <r>
    <s v="Sireesha K"/>
    <s v="Prathyusha Mangalampalli"/>
    <s v="Akshata Nayak Non IT"/>
    <s v="Vivek Vilas Shirke"/>
    <n v="2"/>
    <s v="C36231689"/>
    <x v="93"/>
    <n v="40250"/>
    <n v="5250"/>
    <s v="Accenture_BPO"/>
    <n v="6"/>
    <x v="0"/>
    <x v="9"/>
  </r>
  <r>
    <s v="T Manoj Kumar"/>
    <s v="Shoeb Ahmed"/>
    <s v="Antati Deekshith"/>
    <s v="Raksha Rohidas Mudgekar"/>
    <n v="4"/>
    <s v="O36230049"/>
    <x v="90"/>
    <n v="29024"/>
    <n v="7024"/>
    <s v="Manipal Global "/>
    <n v="6"/>
    <x v="5"/>
    <x v="21"/>
  </r>
  <r>
    <s v="Sireesha K"/>
    <s v="Prathyusha Mangalampalli"/>
    <s v="Akshata Nayak Non IT"/>
    <s v="Durga A "/>
    <n v="2"/>
    <s v="C36231507"/>
    <x v="99"/>
    <n v="17400"/>
    <n v="2400"/>
    <s v="Accenture_BPO"/>
    <n v="6"/>
    <x v="0"/>
    <x v="9"/>
  </r>
  <r>
    <s v="Priya b"/>
    <s v="Prathyusha Mangalampalli"/>
    <s v="Akshata Nayak Non IT"/>
    <s v="Mutyala RamaDevi  "/>
    <n v="1"/>
    <s v="C36231867"/>
    <x v="117"/>
    <n v="26775"/>
    <n v="6775"/>
    <s v="UHG UNET"/>
    <n v="5"/>
    <x v="1"/>
    <x v="1"/>
  </r>
  <r>
    <s v="Karnikasri P"/>
    <s v="Priyakantha K"/>
    <s v="Prathap Sagar"/>
    <s v=" Nilesh Tanaji Yewale "/>
    <n v="2"/>
    <s v="C36231518"/>
    <x v="126"/>
    <n v="30000"/>
    <n v="3000"/>
    <s v="Accenture_IDB"/>
    <n v="5"/>
    <x v="2"/>
    <x v="3"/>
  </r>
  <r>
    <s v="Don Bosco"/>
    <s v="Suman S"/>
    <s v="Prathap Sagar"/>
    <s v=" Mallikarjunaiah  V B"/>
    <n v="2"/>
    <s v="C36231466"/>
    <x v="99"/>
    <n v="53760"/>
    <n v="14177"/>
    <s v="Koch Industries"/>
    <n v="6"/>
    <x v="2"/>
    <x v="2"/>
  </r>
  <r>
    <s v="Karnikasri P"/>
    <s v="Priyakantha K"/>
    <s v="Prathap Sagar"/>
    <s v="Manjunatha J "/>
    <n v="2"/>
    <s v="C36231467"/>
    <x v="99"/>
    <n v="67200"/>
    <n v="19284"/>
    <s v="Koch Industries"/>
    <n v="6"/>
    <x v="2"/>
    <x v="2"/>
  </r>
  <r>
    <s v="Narendra Kumar Debariki"/>
    <s v="Pradeep P"/>
    <s v="Akshata Nayak Non IT"/>
    <s v="Anaboina  Sai Kumar"/>
    <n v="1"/>
    <s v="C36231574"/>
    <x v="92"/>
    <n v="26775"/>
    <n v="6775"/>
    <s v="UHG(BCI &amp; SS)"/>
    <n v="6"/>
    <x v="1"/>
    <x v="1"/>
  </r>
  <r>
    <s v="Narendra Kumar Debariki"/>
    <s v="Pradeep P"/>
    <s v="Akshata Nayak Non IT"/>
    <s v="Nimmaka  Praveen Kumar"/>
    <n v="1"/>
    <s v="C36231645"/>
    <x v="92"/>
    <n v="26775"/>
    <n v="6775"/>
    <s v="UHG(BCI &amp; SS)"/>
    <n v="6"/>
    <x v="1"/>
    <x v="1"/>
  </r>
  <r>
    <s v="Pooja K"/>
    <s v="Prathyusha Mangalampalli"/>
    <s v="Akshata Nayak Non IT"/>
    <s v="Minaxi Dinesh Singh"/>
    <n v="2"/>
    <s v="C36231662"/>
    <x v="89"/>
    <n v="21275"/>
    <n v="2775"/>
    <s v="Accenture_BPO"/>
    <n v="6"/>
    <x v="0"/>
    <x v="9"/>
  </r>
  <r>
    <s v="Mouli Roy"/>
    <s v="Prathyusha Mangalampalli"/>
    <s v="Akshata Nayak Non IT"/>
    <s v="Rehan Phiroz  Shaikh"/>
    <n v="2"/>
    <s v="C36231469"/>
    <x v="129"/>
    <n v="45000"/>
    <n v="7500"/>
    <s v="Accenture-voice"/>
    <n v="6"/>
    <x v="0"/>
    <x v="9"/>
  </r>
  <r>
    <s v="Deepthi C"/>
    <s v="Anitha C"/>
    <s v="Akshata Nayak Non IT"/>
    <s v="Megha Keshav Kammar"/>
    <n v="2"/>
    <s v="C36231478"/>
    <x v="129"/>
    <n v="34500"/>
    <n v="4500"/>
    <s v="Accenture_BPO"/>
    <n v="6"/>
    <x v="0"/>
    <x v="9"/>
  </r>
  <r>
    <s v="Mouli Roy"/>
    <s v="Prathyusha Mangalampalli"/>
    <s v="Akshata Nayak Non IT"/>
    <s v="Shubham Ramesh  Sanas"/>
    <n v="2"/>
    <s v="C36231509"/>
    <x v="129"/>
    <n v="32200"/>
    <n v="4200"/>
    <s v="Accenture-voice"/>
    <n v="5"/>
    <x v="0"/>
    <x v="9"/>
  </r>
  <r>
    <s v="Dhruthi M"/>
    <s v="Eugene kurian"/>
    <s v="Anmol Katoch"/>
    <s v="Awnish Kumar Ujjain "/>
    <n v="2"/>
    <s v="C36231499"/>
    <x v="92"/>
    <n v="40000"/>
    <n v="4000"/>
    <s v="Accenture_IDB"/>
    <n v="6"/>
    <x v="2"/>
    <x v="3"/>
  </r>
  <r>
    <s v="Manda Ushodaya"/>
    <s v="Fazila K"/>
    <s v="Prathap Sagar"/>
    <s v="Yashwant Rao Patanker"/>
    <n v="7"/>
    <s v="C36231807"/>
    <x v="130"/>
    <n v="83746.3"/>
    <n v="3606.3"/>
    <s v="ZTE_payroll"/>
    <n v="6"/>
    <x v="2"/>
    <x v="3"/>
  </r>
  <r>
    <s v="Madhuri Ps"/>
    <s v="Menaka Prasad"/>
    <s v="karan lalchandani"/>
    <s v="Korashika Balaji "/>
    <n v="2"/>
    <s v="C36231516"/>
    <x v="52"/>
    <n v="157500"/>
    <n v="82500"/>
    <s v="Socgen"/>
    <n v="5"/>
    <x v="6"/>
    <x v="2"/>
  </r>
  <r>
    <s v="Karnikasri P"/>
    <s v="Priyakantha K"/>
    <s v="Prathap Sagar"/>
    <s v="Sandeep Ramanand Bhartee"/>
    <n v="2"/>
    <s v="C36231479"/>
    <x v="129"/>
    <n v="29000"/>
    <n v="2000"/>
    <s v="Accenture_IDB"/>
    <n v="5"/>
    <x v="2"/>
    <x v="3"/>
  </r>
  <r>
    <s v="Chaitra BR"/>
    <s v="Fazila K"/>
    <s v="Prathap Sagar"/>
    <s v="Gyana Manjari Kar "/>
    <n v="2"/>
    <s v="C36231557"/>
    <x v="89"/>
    <n v="252000"/>
    <n v="24917"/>
    <s v="Infosys"/>
    <n v="6"/>
    <x v="2"/>
    <x v="3"/>
  </r>
  <r>
    <s v="Arpita Biswal"/>
    <s v="Anitha C"/>
    <s v="Akshata Nayak Non IT"/>
    <s v="U Manas Patro"/>
    <n v="1"/>
    <s v="C36231536"/>
    <x v="92"/>
    <n v="26775"/>
    <n v="6775"/>
    <s v="UHG(BCI &amp; SS)"/>
    <n v="6"/>
    <x v="1"/>
    <x v="1"/>
  </r>
  <r>
    <s v="Arpita Biswal"/>
    <s v="Anitha C"/>
    <s v="Akshata Nayak Non IT"/>
    <s v="Adabala Ashwini Durga  Pranavi "/>
    <n v="1"/>
    <s v="C36231575"/>
    <x v="92"/>
    <n v="26775"/>
    <n v="6775"/>
    <s v="UHG(BCI &amp; SS)"/>
    <n v="6"/>
    <x v="1"/>
    <x v="1"/>
  </r>
  <r>
    <s v="Keerthana S"/>
    <s v="Monisha RR"/>
    <s v="Akshata Nayak Non IT"/>
    <s v="Khupat Vishnu Priya"/>
    <n v="2"/>
    <s v="C36231646"/>
    <x v="92"/>
    <n v="45517.5"/>
    <n v="9684.5"/>
    <s v="UHG"/>
    <n v="5"/>
    <x v="0"/>
    <x v="1"/>
  </r>
  <r>
    <s v="Sheetal B"/>
    <s v="Tamil C"/>
    <s v="Akshata Nayak"/>
    <s v="Vaishnavi S"/>
    <n v="1"/>
    <s v="C36231527"/>
    <x v="52"/>
    <n v="67200"/>
    <n v="17200"/>
    <s v="Socgen"/>
    <n v="5"/>
    <x v="6"/>
    <x v="2"/>
  </r>
  <r>
    <s v="Uma Sree"/>
    <s v="Mehr Hashim D"/>
    <s v="Mehr Hashim"/>
    <s v="Rahul Biliye"/>
    <n v="2"/>
    <s v="C36231561"/>
    <x v="131"/>
    <n v="436800"/>
    <n v="220134"/>
    <s v="GE Healthcare Global Private Limited."/>
    <n v="5"/>
    <x v="5"/>
    <x v="10"/>
  </r>
  <r>
    <s v="Pooja K"/>
    <s v="Prathyusha Mangalampalli"/>
    <s v="Akshata Nayak Non IT"/>
    <s v="Samruddhi Sanjay Kondekar"/>
    <n v="2"/>
    <s v="C36231612"/>
    <x v="89"/>
    <n v="21275"/>
    <n v="2775"/>
    <s v="Accenture_BPO"/>
    <n v="6"/>
    <x v="0"/>
    <x v="9"/>
  </r>
  <r>
    <s v="Mohammed hamza"/>
    <s v="Mehr Hashim D"/>
    <s v="Mehr Hashim"/>
    <s v="Yarrasani Venkatesh Yadav"/>
    <n v="2"/>
    <s v="C36231484"/>
    <x v="99"/>
    <n v="302400"/>
    <n v="144067"/>
    <s v="GE Healthcare Global Private Limited."/>
    <n v="5"/>
    <x v="5"/>
    <x v="10"/>
  </r>
  <r>
    <s v="Priya b"/>
    <s v="Prathyusha Mangalampalli"/>
    <s v="Akshata Nayak Non IT"/>
    <s v="Ankit Satish  Singh"/>
    <n v="2"/>
    <s v="C36231530"/>
    <x v="132"/>
    <n v="48000"/>
    <n v="8000"/>
    <s v="Accenture-voice"/>
    <n v="5"/>
    <x v="0"/>
    <x v="9"/>
  </r>
  <r>
    <s v="Arpita Biswal"/>
    <s v="Anitha C"/>
    <s v="Akshata Nayak Non IT"/>
    <s v="J Sai teja"/>
    <n v="1"/>
    <s v="C36231868"/>
    <x v="117"/>
    <n v="28050"/>
    <n v="8050"/>
    <s v="UHG(BCI &amp; SS)"/>
    <n v="6"/>
    <x v="1"/>
    <x v="1"/>
  </r>
  <r>
    <s v="Bindushree R"/>
    <s v="Prathyusha Mangalampalli"/>
    <s v="Akshata Nayak Non IT"/>
    <s v="Vaibhav Parikshit Karkare"/>
    <n v="2"/>
    <s v="C36231542"/>
    <x v="132"/>
    <n v="32500"/>
    <n v="7500"/>
    <s v="Accenture-voice"/>
    <n v="5"/>
    <x v="0"/>
    <x v="9"/>
  </r>
  <r>
    <s v="Deepthi C"/>
    <s v="Anitha C"/>
    <s v="Akshata Nayak Non IT"/>
    <s v="Goulikar Vijay Kumar  "/>
    <n v="1"/>
    <s v="C36231824"/>
    <x v="117"/>
    <n v="26775"/>
    <n v="6775"/>
    <s v="UHG(BCI &amp; SS)"/>
    <n v="6"/>
    <x v="1"/>
    <x v="1"/>
  </r>
  <r>
    <s v="Jyoti Chalawadi S"/>
    <s v="Sunitha V"/>
    <s v="Akshata Nayak"/>
    <s v="Nalla Mounika "/>
    <n v="1"/>
    <s v="C36231660"/>
    <x v="126"/>
    <n v="45517.5"/>
    <n v="6351.5"/>
    <s v="UHG"/>
    <n v="5"/>
    <x v="0"/>
    <x v="1"/>
  </r>
  <r>
    <s v="Uma Sree"/>
    <s v="Mehr Hashim D"/>
    <s v="Mehr Hashim"/>
    <s v="Dhirendra Kumar "/>
    <n v="2"/>
    <s v="C36231470"/>
    <x v="99"/>
    <n v="436800"/>
    <n v="220134"/>
    <s v="GE Healthcare Global Private Limited."/>
    <n v="5"/>
    <x v="5"/>
    <x v="10"/>
  </r>
  <r>
    <s v="Priya Dharshini C"/>
    <s v="Sunitha V"/>
    <s v="Akshata Nayak"/>
    <s v="RASURI SWATHI "/>
    <n v="1"/>
    <s v="C36231927"/>
    <x v="133"/>
    <n v="26775"/>
    <n v="6775"/>
    <s v="UHG(BCI &amp; SS)"/>
    <n v="5"/>
    <x v="1"/>
    <x v="1"/>
  </r>
  <r>
    <s v="Nikitha A"/>
    <s v="Sunitha V"/>
    <s v="Akshata Nayak"/>
    <s v="KUMMARI KRISHNA"/>
    <n v="1"/>
    <s v="C36231840"/>
    <x v="93"/>
    <n v="0"/>
    <n v="-20000"/>
    <s v="UHG-Non IT"/>
    <n v="6"/>
    <x v="1"/>
    <x v="1"/>
  </r>
  <r>
    <s v="Priya Dharshini C"/>
    <s v="Sunitha V"/>
    <s v="Akshata Nayak"/>
    <s v="SHAMA ANIL KUMAR"/>
    <n v="1"/>
    <s v="C36231928"/>
    <x v="133"/>
    <n v="26775"/>
    <n v="6775"/>
    <s v="UHG(BCI &amp; SS)"/>
    <n v="6"/>
    <x v="1"/>
    <x v="1"/>
  </r>
  <r>
    <s v="Priya Dharshini C"/>
    <s v="Sunitha V"/>
    <s v="Akshata Nayak"/>
    <s v="Nakka Sravanthi"/>
    <n v="1"/>
    <s v="C36231945"/>
    <x v="133"/>
    <n v="26775"/>
    <n v="6775"/>
    <s v="UHG(BCI &amp; SS)"/>
    <n v="6"/>
    <x v="1"/>
    <x v="1"/>
  </r>
  <r>
    <s v="Pooja Bt"/>
    <s v="Anitha C"/>
    <s v="Akshata Nayak Non IT"/>
    <s v="Dhamarakunta Navanitha"/>
    <n v="1"/>
    <s v="C36231658"/>
    <x v="92"/>
    <n v="26775"/>
    <n v="6775"/>
    <s v="UHG(BCI &amp; SS)"/>
    <n v="6"/>
    <x v="1"/>
    <x v="1"/>
  </r>
  <r>
    <s v="Priya Dharshini C"/>
    <s v="Sunitha V"/>
    <s v="Akshata Nayak"/>
    <s v="SANJEEVAKOTA MEENAKSHI"/>
    <n v="1"/>
    <s v="C36231670"/>
    <x v="93"/>
    <n v="32130"/>
    <n v="12130"/>
    <s v="UHG-Non IT"/>
    <n v="6"/>
    <x v="1"/>
    <x v="1"/>
  </r>
  <r>
    <s v="Anusha BJ"/>
    <s v="Tara VR"/>
    <s v="Prathap Sagar"/>
    <s v=" Dhananjay Sushil kumar Jaiswar"/>
    <n v="2"/>
    <s v="C36231508"/>
    <x v="132"/>
    <n v="35000"/>
    <n v="6250"/>
    <s v="Accenture_IDB"/>
    <n v="5"/>
    <x v="2"/>
    <x v="3"/>
  </r>
  <r>
    <s v="Sheetal AT"/>
    <s v="Suman S"/>
    <s v="Prathap Sagar"/>
    <s v=" Akshay Bhaskar Shinde"/>
    <n v="2"/>
    <s v="C36231480"/>
    <x v="129"/>
    <n v="30000"/>
    <n v="3334"/>
    <s v="Accenture_IDB"/>
    <n v="5"/>
    <x v="2"/>
    <x v="3"/>
  </r>
  <r>
    <s v="Hemanth SM"/>
    <s v="Priyakantha K"/>
    <s v="Prathap Sagar"/>
    <s v="Binamra Bikash swain"/>
    <n v="2"/>
    <s v="C36231481"/>
    <x v="129"/>
    <n v="28000"/>
    <n v="1000"/>
    <s v="Accenture_IDB"/>
    <n v="6"/>
    <x v="2"/>
    <x v="3"/>
  </r>
  <r>
    <s v="Gouri Priya"/>
    <s v="Pradeep P"/>
    <s v="Akshata Nayak Non IT"/>
    <s v="Valle shobha Rani"/>
    <n v="1"/>
    <s v="C36231901"/>
    <x v="117"/>
    <n v="26775"/>
    <n v="6775"/>
    <s v="UHG(BCI &amp; SS)"/>
    <n v="5"/>
    <x v="1"/>
    <x v="1"/>
  </r>
  <r>
    <s v="Gouri Priya"/>
    <s v="Pradeep P"/>
    <s v="Akshata Nayak Non IT"/>
    <s v="Kola Mounika"/>
    <n v="1"/>
    <s v="C36231631"/>
    <x v="92"/>
    <n v="26775"/>
    <n v="6775"/>
    <s v="UHG(BCI &amp; SS)"/>
    <n v="6"/>
    <x v="1"/>
    <x v="1"/>
  </r>
  <r>
    <s v="Athriya Shet"/>
    <s v="Suman S"/>
    <s v="Prathap Sagar"/>
    <s v="Aviraj Sopan Nanaware"/>
    <n v="2"/>
    <s v="C36231500"/>
    <x v="129"/>
    <n v="28000"/>
    <n v="2000"/>
    <s v="Accenture_IDB"/>
    <n v="5"/>
    <x v="2"/>
    <x v="3"/>
  </r>
  <r>
    <s v="Pariki Pradeep"/>
    <s v="Akshata Nayak"/>
    <s v="Pariki Pradeep"/>
    <s v="Tanduru  Hemalatha"/>
    <n v="1"/>
    <s v="C36231968"/>
    <x v="117"/>
    <n v="26775"/>
    <n v="6775"/>
    <s v="UHG(BCI &amp; SS)"/>
    <n v="6"/>
    <x v="1"/>
    <x v="1"/>
  </r>
  <r>
    <s v="Narendra Kumar Debariki"/>
    <s v="Pradeep P"/>
    <s v="Akshata Nayak Non IT"/>
    <s v="Govardhan Boddu  "/>
    <n v="1"/>
    <s v="C36231647"/>
    <x v="92"/>
    <n v="26775"/>
    <n v="6775"/>
    <s v="UHG(BCI &amp; SS)"/>
    <n v="6"/>
    <x v="1"/>
    <x v="1"/>
  </r>
  <r>
    <s v="Pariki Pradeep"/>
    <s v="Akshata Nayak"/>
    <s v="Pariki Pradeep"/>
    <s v="Vempati Pavan Kalyan"/>
    <n v="1"/>
    <s v="C36231869"/>
    <x v="117"/>
    <n v="26775"/>
    <n v="6775"/>
    <s v="UHG(BCI &amp; SS)"/>
    <n v="6"/>
    <x v="1"/>
    <x v="1"/>
  </r>
  <r>
    <s v="Sachin K"/>
    <s v="Prathyusha Mangalampalli"/>
    <s v="Akshata Nayak Non IT"/>
    <s v="Thota Manasa"/>
    <n v="1"/>
    <s v="C36231834"/>
    <x v="117"/>
    <n v="26775"/>
    <n v="6775"/>
    <s v="UHG(BCI &amp; SS)"/>
    <n v="6"/>
    <x v="1"/>
    <x v="1"/>
  </r>
  <r>
    <s v="Javeed Khan"/>
    <s v="Prathyusha Mangalampalli"/>
    <s v="Akshata Nayak Non IT"/>
    <s v=" Komma  Sivananda Reddy "/>
    <n v="2"/>
    <s v="C36231519"/>
    <x v="126"/>
    <n v="34500"/>
    <n v="4500"/>
    <s v="Accenture_BPO"/>
    <n v="6"/>
    <x v="0"/>
    <x v="9"/>
  </r>
  <r>
    <s v="Don Bosco"/>
    <s v="Suman S"/>
    <s v="Prathap Sagar"/>
    <s v="Mukesh Kumar  Yadav"/>
    <n v="2"/>
    <s v="C36231482"/>
    <x v="129"/>
    <n v="40000"/>
    <n v="10834"/>
    <s v="Accenture_IDB"/>
    <n v="5"/>
    <x v="2"/>
    <x v="3"/>
  </r>
  <r>
    <s v="Mehraj N"/>
    <s v="Prathyusha Mangalampalli"/>
    <s v="Akshata Nayak Non IT"/>
    <s v="G Geetha Sri "/>
    <n v="2"/>
    <s v="C36231520"/>
    <x v="126"/>
    <n v="24265"/>
    <n v="3165"/>
    <s v="Accenture_BPO"/>
    <n v="6"/>
    <x v="0"/>
    <x v="9"/>
  </r>
  <r>
    <s v="Sachin K"/>
    <s v="Prathyusha Mangalampalli"/>
    <s v="Akshata Nayak Non IT"/>
    <s v="Rahul Ashok Kapoor"/>
    <n v="2"/>
    <s v="C36231531"/>
    <x v="132"/>
    <n v="48000"/>
    <n v="8000"/>
    <s v="Accenture-voice"/>
    <n v="6"/>
    <x v="0"/>
    <x v="9"/>
  </r>
  <r>
    <s v="Gouri Priya"/>
    <s v="Pradeep P"/>
    <s v="Akshata Nayak Non IT"/>
    <s v="Gajengi Sruthi"/>
    <n v="1"/>
    <s v="C36231632"/>
    <x v="92"/>
    <n v="26775"/>
    <n v="6775"/>
    <s v="UHG(BCI &amp; SS)"/>
    <n v="6"/>
    <x v="1"/>
    <x v="1"/>
  </r>
  <r>
    <s v="Gifty Sunny"/>
    <s v="Prathyusha Mangalampalli"/>
    <s v="Akshata Nayak Non IT"/>
    <s v="Gubnar Balaji"/>
    <n v="1"/>
    <s v="C36231576"/>
    <x v="92"/>
    <n v="26775"/>
    <n v="6775"/>
    <s v="UHG(BCI &amp; SS)"/>
    <n v="6"/>
    <x v="1"/>
    <x v="1"/>
  </r>
  <r>
    <s v="Gouri Priya"/>
    <s v="Pradeep P"/>
    <s v="Akshata Nayak Non IT"/>
    <s v="Suneti Sireesha"/>
    <n v="1"/>
    <s v="C36231633"/>
    <x v="92"/>
    <n v="26775"/>
    <n v="6775"/>
    <s v="UHG(BCI &amp; SS)"/>
    <n v="6"/>
    <x v="1"/>
    <x v="1"/>
  </r>
  <r>
    <s v="Javeed Khan"/>
    <s v="Prathyusha Mangalampalli"/>
    <s v="Akshata Nayak Non IT"/>
    <s v="Neha Ramchayan Chaurasiya"/>
    <n v="2"/>
    <s v="C36231521"/>
    <x v="126"/>
    <n v="28750"/>
    <n v="3750"/>
    <s v="Accenture_BPO"/>
    <n v="5"/>
    <x v="0"/>
    <x v="9"/>
  </r>
  <r>
    <s v="Gouri Priya"/>
    <s v="Pradeep P"/>
    <s v="Akshata Nayak Non IT"/>
    <s v="Nyala Sandeep"/>
    <n v="1"/>
    <s v="C36231902"/>
    <x v="117"/>
    <n v="26775"/>
    <n v="6775"/>
    <s v="UHG(BCI &amp; SS)"/>
    <n v="6"/>
    <x v="1"/>
    <x v="1"/>
  </r>
  <r>
    <s v="Gouri Priya"/>
    <s v="Pradeep P"/>
    <s v="Akshata Nayak Non IT"/>
    <s v="Mohammed Aamir Khan"/>
    <n v="1"/>
    <s v="C36231903"/>
    <x v="117"/>
    <n v="26775"/>
    <n v="6775"/>
    <s v="UHG(BCI &amp; SS)"/>
    <n v="5"/>
    <x v="1"/>
    <x v="1"/>
  </r>
  <r>
    <s v="Mamtha V"/>
    <s v="Fazila K"/>
    <s v="Prathap Sagar"/>
    <s v="Hari Hara  Padhy"/>
    <n v="2"/>
    <s v="C36231558"/>
    <x v="89"/>
    <n v="222600"/>
    <n v="39267"/>
    <s v="Infosys"/>
    <n v="6"/>
    <x v="2"/>
    <x v="3"/>
  </r>
  <r>
    <s v="Gouri Priya"/>
    <s v="Pradeep P"/>
    <s v="Akshata Nayak Non IT"/>
    <s v="Mohammed Nawaz Shareef"/>
    <n v="1"/>
    <s v="C36231584"/>
    <x v="92"/>
    <n v="26775"/>
    <n v="6775"/>
    <s v="UHG(BCI &amp; SS)"/>
    <n v="6"/>
    <x v="1"/>
    <x v="1"/>
  </r>
  <r>
    <s v="Gouri Priya"/>
    <s v="Pradeep P"/>
    <s v="Akshata Nayak Non IT"/>
    <s v="Sardar Jagpal Singh"/>
    <n v="1"/>
    <s v="C36231585"/>
    <x v="92"/>
    <n v="26775"/>
    <n v="6775"/>
    <s v="UHG(BCI &amp; SS)"/>
    <n v="6"/>
    <x v="1"/>
    <x v="1"/>
  </r>
  <r>
    <s v="Pariki Pradeep"/>
    <s v="Akshata Nayak"/>
    <s v="Pariki Pradeep"/>
    <s v="Abdul Mailk Alaman"/>
    <n v="1"/>
    <s v="C36231870"/>
    <x v="117"/>
    <n v="26775"/>
    <n v="6775"/>
    <s v="UHG(BCI &amp; SS)"/>
    <n v="6"/>
    <x v="1"/>
    <x v="1"/>
  </r>
  <r>
    <s v="Nikitha A"/>
    <s v="Sunitha V"/>
    <s v="Akshata Nayak"/>
    <s v="KARAMTHOT SANGEETHA  BAI "/>
    <n v="1"/>
    <s v="C36231904"/>
    <x v="117"/>
    <n v="26775"/>
    <n v="6775"/>
    <s v="UHG(BCI &amp; SS)"/>
    <n v="5"/>
    <x v="1"/>
    <x v="1"/>
  </r>
  <r>
    <s v="Soumya Kumatagi"/>
    <s v="Prathyusha Mangalampalli"/>
    <s v="Akshata Nayak Non IT"/>
    <s v="Penugonda Prathima"/>
    <n v="2"/>
    <s v="C36231564"/>
    <x v="52"/>
    <n v="30820"/>
    <n v="4020"/>
    <s v="Accenture_BPO"/>
    <n v="5"/>
    <x v="0"/>
    <x v="9"/>
  </r>
  <r>
    <s v="Keerthana S"/>
    <s v="Monisha RR"/>
    <s v="Akshata Nayak Non IT"/>
    <s v=" Amulya Bonkuru"/>
    <n v="1"/>
    <s v="C36231905"/>
    <x v="117"/>
    <n v="26775"/>
    <n v="6775"/>
    <s v="UHG(BCI &amp; SS)"/>
    <n v="6"/>
    <x v="1"/>
    <x v="1"/>
  </r>
  <r>
    <s v="Sai Manish"/>
    <s v="Pradeep P"/>
    <s v="Akshata Nayak Non IT"/>
    <s v="Somandula Niharika "/>
    <n v="1"/>
    <s v="C36231708"/>
    <x v="92"/>
    <n v="26775"/>
    <n v="6775"/>
    <s v="UHG(BCI &amp; SS)"/>
    <n v="6"/>
    <x v="1"/>
    <x v="1"/>
  </r>
  <r>
    <s v="Sai Manish"/>
    <s v="Pradeep P"/>
    <s v="Akshata Nayak Non IT"/>
    <s v=" Podichetty Sai Shivathmika "/>
    <n v="1"/>
    <s v="C36231685"/>
    <x v="92"/>
    <n v="26775"/>
    <n v="6775"/>
    <s v="UHG(BCI &amp; SS)"/>
    <n v="6"/>
    <x v="1"/>
    <x v="1"/>
  </r>
  <r>
    <s v="Sai Vineeth"/>
    <s v="Pradeep P"/>
    <s v="Akshata Nayak Non IT"/>
    <s v="Odisela Lavanya"/>
    <n v="1"/>
    <s v="C36231686"/>
    <x v="92"/>
    <n v="26775"/>
    <n v="6775"/>
    <s v="UHG(BCI &amp; SS)"/>
    <n v="6"/>
    <x v="1"/>
    <x v="1"/>
  </r>
  <r>
    <s v="Raja Shekhar"/>
    <s v="Prathyusha Mangalampalli"/>
    <s v="Akshata Nayak Non IT"/>
    <s v="Sunisha Sunilkumar"/>
    <n v="2"/>
    <s v="C36231551"/>
    <x v="126"/>
    <n v="29500"/>
    <n v="4500"/>
    <s v="Accenture_BPO"/>
    <n v="5"/>
    <x v="0"/>
    <x v="9"/>
  </r>
  <r>
    <s v="Silpa Vukkem"/>
    <s v="Vinay Murthy"/>
    <s v="Antati Deekshith"/>
    <s v="Kavya Goudageri "/>
    <n v="4"/>
    <s v="O36230050"/>
    <x v="90"/>
    <n v="27300"/>
    <n v="6300"/>
    <s v="Manipal Global "/>
    <n v="6"/>
    <x v="5"/>
    <x v="21"/>
  </r>
  <r>
    <s v="Karthik V"/>
    <s v="Fazila K"/>
    <s v="Prathap Sagar"/>
    <s v="Kola Venkata Subramanyam"/>
    <n v="2"/>
    <s v="C36231794"/>
    <x v="134"/>
    <n v="157500"/>
    <n v="40833.33"/>
    <s v="Infosys"/>
    <n v="6"/>
    <x v="2"/>
    <x v="3"/>
  </r>
  <r>
    <s v="Anusha BJ"/>
    <s v="Tara VR"/>
    <s v="Prathap Sagar"/>
    <s v="Akash J Jain"/>
    <n v="2"/>
    <s v="C36231522"/>
    <x v="126"/>
    <n v="75600"/>
    <n v="18934"/>
    <s v="Koch Industries"/>
    <n v="6"/>
    <x v="2"/>
    <x v="2"/>
  </r>
  <r>
    <s v="Sai Vineeth"/>
    <s v="Pradeep P"/>
    <s v="Akshata Nayak Non IT"/>
    <s v="B Suresh  "/>
    <n v="1"/>
    <s v="C36231606"/>
    <x v="92"/>
    <n v="26775"/>
    <n v="6775"/>
    <s v="UHG(BCI &amp; SS)"/>
    <n v="6"/>
    <x v="1"/>
    <x v="1"/>
  </r>
  <r>
    <s v="Vinay Kumar"/>
    <s v="Shashank Gowda"/>
    <s v="Prathap Sagar"/>
    <s v="Mohammed Mazhar "/>
    <n v="2"/>
    <s v="C36231634"/>
    <x v="92"/>
    <n v="26775"/>
    <n v="6775"/>
    <s v="UHG-Non IT"/>
    <n v="6"/>
    <x v="1"/>
    <x v="1"/>
  </r>
  <r>
    <s v="Preethi Hindu"/>
    <s v="Sabreena Jabeen"/>
    <s v="Sabreena Jabeen"/>
    <s v="Shaik Rahamathulla"/>
    <n v="2"/>
    <s v="C36231528"/>
    <x v="126"/>
    <n v="150087"/>
    <n v="66754"/>
    <s v="Mercedes benz"/>
    <n v="5"/>
    <x v="6"/>
    <x v="14"/>
  </r>
  <r>
    <s v="Jyoti Chalawadi S"/>
    <s v="Sunitha V"/>
    <s v="Akshata Nayak"/>
    <s v="MOHAMMED HABEEB HUSSAIN"/>
    <n v="1"/>
    <s v="C36231710"/>
    <x v="135"/>
    <n v="45517.5"/>
    <n v="6351.5"/>
    <s v="UHG"/>
    <n v="5"/>
    <x v="0"/>
    <x v="1"/>
  </r>
  <r>
    <s v="Nikitha A"/>
    <s v="Sunitha V"/>
    <s v="Akshata Nayak"/>
    <s v="Mangali Sudhakar"/>
    <n v="1"/>
    <s v="C36231841"/>
    <x v="93"/>
    <n v="0"/>
    <n v="-20000"/>
    <s v="UHG-Non IT"/>
    <n v="6"/>
    <x v="1"/>
    <x v="1"/>
  </r>
  <r>
    <s v="Karthik V"/>
    <s v="Fazila K"/>
    <s v="Prathap Sagar"/>
    <s v=" Pradeep K Sarathe "/>
    <n v="2"/>
    <s v="C36231664"/>
    <x v="67"/>
    <n v="220500"/>
    <n v="20500"/>
    <s v="Infosys"/>
    <n v="5"/>
    <x v="2"/>
    <x v="3"/>
  </r>
  <r>
    <s v="Tamilarasan S"/>
    <s v="Mehr Hashim D"/>
    <s v="Mehr Hashim"/>
    <s v="Prabu R.S"/>
    <n v="2"/>
    <s v="C36231538"/>
    <x v="131"/>
    <n v="378000"/>
    <n v="236334"/>
    <s v="GE Healthcare Global Private Limited."/>
    <n v="5"/>
    <x v="5"/>
    <x v="10"/>
  </r>
  <r>
    <s v="Gouri Priya"/>
    <s v="Pradeep P"/>
    <s v="Akshata Nayak Non IT"/>
    <s v="Srirangam Sankalp"/>
    <n v="1"/>
    <s v="C36231738"/>
    <x v="93"/>
    <n v="32130"/>
    <n v="12130"/>
    <s v="UHG(BCI &amp; SS)"/>
    <n v="6"/>
    <x v="1"/>
    <x v="1"/>
  </r>
  <r>
    <s v="Subha Bharathi"/>
    <s v="Tamil C"/>
    <s v="Akshata Nayak"/>
    <s v="Heena Kouser"/>
    <n v="1"/>
    <s v="C36231526"/>
    <x v="136"/>
    <n v="67200"/>
    <n v="25534"/>
    <s v="Socgen"/>
    <n v="5"/>
    <x v="6"/>
    <x v="2"/>
  </r>
  <r>
    <s v="Raja Shekhar"/>
    <s v="Prathyusha Mangalampalli"/>
    <s v="Akshata Nayak Non IT"/>
    <s v="Deepika L"/>
    <n v="2"/>
    <s v="C36231639"/>
    <x v="52"/>
    <n v="17700"/>
    <n v="2700"/>
    <s v="Accenture_BPO"/>
    <n v="5"/>
    <x v="0"/>
    <x v="9"/>
  </r>
  <r>
    <s v="Jyoti Chalawadi S"/>
    <s v="Sunitha V"/>
    <s v="Akshata Nayak"/>
    <s v="SINGAVARAPU ANAND "/>
    <n v="1"/>
    <s v="C36231671"/>
    <x v="93"/>
    <n v="32130"/>
    <n v="12130"/>
    <s v="UHG-Non IT"/>
    <n v="6"/>
    <x v="1"/>
    <x v="1"/>
  </r>
  <r>
    <s v="Jyoti Chalawadi S"/>
    <s v="Sunitha V"/>
    <s v="Akshata Nayak"/>
    <s v="THIPARTHI JAGADESHWAR REDDY"/>
    <n v="1"/>
    <s v="C36231672"/>
    <x v="93"/>
    <n v="32130"/>
    <n v="12130"/>
    <s v="UHG-Non IT"/>
    <n v="6"/>
    <x v="1"/>
    <x v="1"/>
  </r>
  <r>
    <s v="Bindushree R"/>
    <s v="Prathyusha Mangalampalli"/>
    <s v="Akshata Nayak Non IT"/>
    <s v="L Bathma Priya  "/>
    <n v="2"/>
    <s v="C36231539"/>
    <x v="131"/>
    <n v="17700"/>
    <n v="2700"/>
    <s v="Accenture_BPO"/>
    <n v="5"/>
    <x v="0"/>
    <x v="9"/>
  </r>
  <r>
    <s v="Monika Vakati"/>
    <s v="Prathyusha Mangalampalli"/>
    <s v="Akshata Nayak Non IT"/>
    <s v="Aparna Mani"/>
    <n v="2"/>
    <s v="C36231540"/>
    <x v="131"/>
    <n v="32500"/>
    <n v="7500"/>
    <s v="Accenture-voice"/>
    <n v="5"/>
    <x v="0"/>
    <x v="9"/>
  </r>
  <r>
    <s v="Monika Vakati"/>
    <s v="Prathyusha Mangalampalli"/>
    <s v="Akshata Nayak Non IT"/>
    <s v="Dolly Singh"/>
    <n v="2"/>
    <s v="C36231589"/>
    <x v="131"/>
    <n v="48000"/>
    <n v="8000"/>
    <s v="Accenture-voice"/>
    <n v="6"/>
    <x v="0"/>
    <x v="9"/>
  </r>
  <r>
    <s v="Deepthi C"/>
    <s v="Anitha C"/>
    <s v="Akshata Nayak Non IT"/>
    <s v="Kasarapu Nanda Kishore"/>
    <n v="1"/>
    <s v="C36231613"/>
    <x v="52"/>
    <n v="39900"/>
    <n v="9900"/>
    <s v="Soc gen Ops "/>
    <n v="6"/>
    <x v="4"/>
    <x v="2"/>
  </r>
  <r>
    <s v="Deepthi C"/>
    <s v="Anitha C"/>
    <s v="Akshata Nayak Non IT"/>
    <s v="Md Zameer Ali "/>
    <n v="1"/>
    <s v="C36231690"/>
    <x v="93"/>
    <n v="0"/>
    <n v="-20000"/>
    <s v="UHG(BCI &amp; SS)"/>
    <n v="6"/>
    <x v="1"/>
    <x v="1"/>
  </r>
  <r>
    <s v="Pavitha R"/>
    <s v="Fazila K"/>
    <s v="Prathap Sagar"/>
    <s v=" Kajal  Shankar Thorat"/>
    <n v="2"/>
    <s v="C36231559"/>
    <x v="89"/>
    <n v="121800"/>
    <n v="21800"/>
    <s v="Infosys"/>
    <n v="6"/>
    <x v="2"/>
    <x v="3"/>
  </r>
  <r>
    <s v="Deepthi C"/>
    <s v="Anitha C"/>
    <s v="Akshata Nayak Non IT"/>
    <s v="R.Renuka  "/>
    <n v="1"/>
    <s v="C36231691"/>
    <x v="93"/>
    <n v="32130"/>
    <n v="12130"/>
    <s v="UHG(BCI &amp; SS)"/>
    <n v="6"/>
    <x v="1"/>
    <x v="1"/>
  </r>
  <r>
    <s v="Pushpa S"/>
    <s v="Suman S"/>
    <s v="Prathap Sagar"/>
    <s v="Vrushabh Gautam  Bansode"/>
    <n v="2"/>
    <s v="C36231608"/>
    <x v="137"/>
    <n v="78125"/>
    <n v="14125"/>
    <s v="Accenture_IDB"/>
    <n v="5"/>
    <x v="2"/>
    <x v="3"/>
  </r>
  <r>
    <s v="Tanzeel Ahmed"/>
    <s v="Mehr Hashim D"/>
    <s v="Mehr Hashim"/>
    <s v="Gorijala Pavan Kumar"/>
    <n v="2"/>
    <s v="C36231541"/>
    <x v="131"/>
    <n v="336000"/>
    <n v="119334"/>
    <s v="GE Healthcare Global Private Limited."/>
    <n v="6"/>
    <x v="5"/>
    <x v="10"/>
  </r>
  <r>
    <s v="Sandipta Panigrahi"/>
    <s v="Mehr Hashim D"/>
    <s v="Mehr Hashim"/>
    <s v="Chivukula Venkata Sai Raja Rohith"/>
    <n v="2"/>
    <s v="C36231562"/>
    <x v="131"/>
    <n v="138000"/>
    <n v="54667"/>
    <s v="GE Healthcare Global Private Limited."/>
    <n v="5"/>
    <x v="5"/>
    <x v="10"/>
  </r>
  <r>
    <s v="Sachin K"/>
    <s v="Prathyusha Mangalampalli"/>
    <s v="Akshata Nayak Non IT"/>
    <s v="Gowthami G P"/>
    <n v="1"/>
    <s v="C36231635"/>
    <x v="92"/>
    <n v="26775"/>
    <n v="6775"/>
    <s v="UHG(BCI &amp; SS)"/>
    <n v="6"/>
    <x v="1"/>
    <x v="1"/>
  </r>
  <r>
    <s v="Pearl Melita"/>
    <s v="Namitha Gowda"/>
    <s v="Prathap Sagar"/>
    <s v="Suzanne Britto"/>
    <n v="2"/>
    <s v="C36231586"/>
    <x v="40"/>
    <n v="30000"/>
    <n v="5000"/>
    <s v="Accenture_IDB"/>
    <n v="6"/>
    <x v="2"/>
    <x v="3"/>
  </r>
  <r>
    <s v="Sachin K"/>
    <s v="Prathyusha Mangalampalli"/>
    <s v="Akshata Nayak Non IT"/>
    <s v="Sumedha_x0009_ Sunil Tambe "/>
    <n v="2"/>
    <s v="C36231638"/>
    <x v="131"/>
    <n v="48000"/>
    <n v="8000"/>
    <s v="Accenture-voice"/>
    <n v="5"/>
    <x v="0"/>
    <x v="9"/>
  </r>
  <r>
    <s v="Arpita Biswal"/>
    <s v="Anitha C"/>
    <s v="Akshata Nayak Non IT"/>
    <s v="Lanke Ashok "/>
    <n v="1"/>
    <s v="C36231673"/>
    <x v="93"/>
    <n v="32130"/>
    <n v="12130"/>
    <s v="UHG(BCI &amp; SS)"/>
    <n v="6"/>
    <x v="1"/>
    <x v="1"/>
  </r>
  <r>
    <s v="Arpita Biswal"/>
    <s v="Anitha C"/>
    <s v="Akshata Nayak Non IT"/>
    <s v="Adepu Kirankumar "/>
    <n v="1"/>
    <s v="C36231725"/>
    <x v="93"/>
    <n v="32130"/>
    <n v="12130"/>
    <s v="UHG(BCI &amp; SS)"/>
    <n v="6"/>
    <x v="1"/>
    <x v="1"/>
  </r>
  <r>
    <s v="Arpita Biswal"/>
    <s v="Anitha C"/>
    <s v="Akshata Nayak Non IT"/>
    <s v="Kotla Keerthi"/>
    <n v="1"/>
    <s v="C36231692"/>
    <x v="93"/>
    <n v="32130"/>
    <n v="12130"/>
    <s v="UHG(BCI &amp; SS)"/>
    <n v="6"/>
    <x v="1"/>
    <x v="1"/>
  </r>
  <r>
    <s v="Keerthana S"/>
    <s v="Monisha RR"/>
    <s v="Akshata Nayak Non IT"/>
    <s v="Varikuppala Kavya "/>
    <n v="2"/>
    <s v="C36231711"/>
    <x v="93"/>
    <n v="32130"/>
    <n v="12130"/>
    <s v="UHG(BCI &amp; SS)"/>
    <n v="6"/>
    <x v="1"/>
    <x v="1"/>
  </r>
  <r>
    <s v="Keerthana S"/>
    <s v="Monisha RR"/>
    <s v="Akshata Nayak Non IT"/>
    <s v="M Sravya"/>
    <n v="2"/>
    <s v="C36231712"/>
    <x v="93"/>
    <n v="0"/>
    <n v="-20000"/>
    <s v="UHG(BCI &amp; SS)"/>
    <n v="6"/>
    <x v="1"/>
    <x v="1"/>
  </r>
  <r>
    <s v="Keerthana S"/>
    <s v="Monisha RR"/>
    <s v="Akshata Nayak Non IT"/>
    <s v="Jannu Rakesh "/>
    <n v="2"/>
    <s v="C36231758"/>
    <x v="93"/>
    <n v="32130"/>
    <n v="12130"/>
    <s v="UHG(BCI &amp; SS)"/>
    <n v="6"/>
    <x v="1"/>
    <x v="1"/>
  </r>
  <r>
    <s v="Pinky Kumari"/>
    <s v="Mehr Hashim D"/>
    <s v="Mehr Hashim"/>
    <s v="Chaithanya  V"/>
    <n v="2"/>
    <s v="C36231560"/>
    <x v="89"/>
    <n v="63916.66"/>
    <n v="9750.66"/>
    <s v="Lowes"/>
    <n v="5"/>
    <x v="5"/>
    <x v="10"/>
  </r>
  <r>
    <s v="Jyoti Chalawadi S"/>
    <s v="Sunitha V"/>
    <s v="Akshata Nayak"/>
    <s v="CHETTIBILLI RENUKA "/>
    <n v="1"/>
    <s v="C36231770"/>
    <x v="135"/>
    <n v="45517.5"/>
    <n v="6351.5"/>
    <s v="UHG"/>
    <n v="5"/>
    <x v="0"/>
    <x v="1"/>
  </r>
  <r>
    <s v="Gouri Priya"/>
    <s v="Pradeep P"/>
    <s v="Akshata Nayak Non IT"/>
    <s v="T V Divya Rani"/>
    <n v="1"/>
    <s v="C36231693"/>
    <x v="93"/>
    <n v="72292.5"/>
    <n v="9792.5"/>
    <s v="UHG(BCI &amp; SS)"/>
    <n v="6"/>
    <x v="1"/>
    <x v="1"/>
  </r>
  <r>
    <s v="Mehraj N"/>
    <s v="Prathyusha Mangalampalli"/>
    <s v="Akshata Nayak Non IT"/>
    <s v="Keerthana Satheesan"/>
    <n v="2"/>
    <s v="C36231674"/>
    <x v="93"/>
    <n v="48000"/>
    <n v="8000"/>
    <s v="Accenture-voice"/>
    <n v="5"/>
    <x v="0"/>
    <x v="9"/>
  </r>
  <r>
    <s v="Bindushree R"/>
    <s v="Prathyusha Mangalampalli"/>
    <s v="Akshata Nayak Non IT"/>
    <s v="Ritu Santosh Botre"/>
    <n v="2"/>
    <s v="C36231814"/>
    <x v="89"/>
    <n v="31465.99"/>
    <n v="12965.99"/>
    <s v="Accenture_BPO"/>
    <n v="6"/>
    <x v="0"/>
    <x v="9"/>
  </r>
  <r>
    <s v="Bindushree R"/>
    <s v="Prathyusha Mangalampalli"/>
    <s v="Akshata Nayak Non IT"/>
    <s v="DOKAMURI HARISH"/>
    <n v="1"/>
    <s v="C36231906"/>
    <x v="117"/>
    <n v="26775"/>
    <n v="6775"/>
    <s v="UHG UNET"/>
    <n v="5"/>
    <x v="1"/>
    <x v="1"/>
  </r>
  <r>
    <s v="Pooja K"/>
    <s v="Prathyusha Mangalampalli"/>
    <s v="Akshata Nayak Non IT"/>
    <s v="Kalpana N D"/>
    <n v="2"/>
    <s v="C36231661"/>
    <x v="40"/>
    <n v="24265"/>
    <n v="3165"/>
    <s v="Accenture_BPO"/>
    <n v="6"/>
    <x v="0"/>
    <x v="9"/>
  </r>
  <r>
    <s v="Soumya Kumatagi"/>
    <s v="Prathyusha Mangalampalli"/>
    <s v="Akshata Nayak Non IT"/>
    <s v="Rachit Ganiga"/>
    <n v="2"/>
    <s v="C36231680"/>
    <x v="89"/>
    <n v="21275"/>
    <n v="2775"/>
    <s v="Accenture_BPO"/>
    <n v="6"/>
    <x v="0"/>
    <x v="9"/>
  </r>
  <r>
    <s v="Sai Vineeth"/>
    <s v="Pradeep P"/>
    <s v="Akshata Nayak Non IT"/>
    <s v="Syed Naseruddin "/>
    <n v="1"/>
    <s v="C36231744"/>
    <x v="93"/>
    <n v="72292.5"/>
    <n v="9792.5"/>
    <s v="UHG(BCI &amp; SS)"/>
    <n v="6"/>
    <x v="1"/>
    <x v="1"/>
  </r>
  <r>
    <s v="Krishna priya"/>
    <s v="Suman S"/>
    <s v="Prathap Sagar"/>
    <s v="Nitesh Rohidas Kathawale"/>
    <n v="2"/>
    <s v="C36231587"/>
    <x v="40"/>
    <n v="31000"/>
    <n v="3500"/>
    <s v="Accenture_IDB"/>
    <n v="6"/>
    <x v="2"/>
    <x v="3"/>
  </r>
  <r>
    <s v="Deepthi C"/>
    <s v="Anitha C"/>
    <s v="Akshata Nayak Non IT"/>
    <s v="Bachala Jeevita"/>
    <n v="1"/>
    <s v="C36231675"/>
    <x v="93"/>
    <n v="0"/>
    <n v="-20000"/>
    <s v="UHG(BCI &amp; SS)"/>
    <n v="6"/>
    <x v="1"/>
    <x v="1"/>
  </r>
  <r>
    <s v="Shruthi R"/>
    <s v="Mehr Hashim D"/>
    <s v="Mehr Hashim"/>
    <s v="Abhinav Kumar"/>
    <n v="2"/>
    <s v="C36231563"/>
    <x v="131"/>
    <n v="270000"/>
    <n v="61667"/>
    <s v="Schneider Electric"/>
    <n v="5"/>
    <x v="5"/>
    <x v="10"/>
  </r>
  <r>
    <s v="Arpita Biswal"/>
    <s v="Anitha C"/>
    <s v="Akshata Nayak Non IT"/>
    <s v="Swati Nayak"/>
    <n v="1"/>
    <s v="C36231694"/>
    <x v="93"/>
    <n v="32130"/>
    <n v="12130"/>
    <s v="UHG(BCI &amp; SS)"/>
    <n v="6"/>
    <x v="1"/>
    <x v="1"/>
  </r>
  <r>
    <s v="Arpita Biswal"/>
    <s v="Anitha C"/>
    <s v="Akshata Nayak Non IT"/>
    <s v="Surya Prakash Kalapala"/>
    <n v="1"/>
    <s v="C36231733"/>
    <x v="93"/>
    <n v="32130"/>
    <n v="12130"/>
    <s v="UHG(BCI &amp; SS)"/>
    <n v="6"/>
    <x v="1"/>
    <x v="1"/>
  </r>
  <r>
    <s v="Pariki Pradeep"/>
    <s v="Akshata Nayak"/>
    <s v="Pariki Pradeep"/>
    <s v="Gundu Chandana"/>
    <n v="1"/>
    <s v="C36231835"/>
    <x v="117"/>
    <n v="0"/>
    <n v="-20000"/>
    <s v="UHG(BCI &amp; SS)"/>
    <n v="6"/>
    <x v="1"/>
    <x v="1"/>
  </r>
  <r>
    <s v="Gouri Priya"/>
    <s v="Pradeep P"/>
    <s v="Akshata Nayak Non IT"/>
    <s v="S Keerthika"/>
    <n v="1"/>
    <s v="C36231676"/>
    <x v="93"/>
    <n v="32130"/>
    <n v="12130"/>
    <s v="UHG(BCI &amp; SS)"/>
    <n v="6"/>
    <x v="1"/>
    <x v="1"/>
  </r>
  <r>
    <s v="Narendra Kumar Debariki"/>
    <s v="Pradeep P"/>
    <s v="Akshata Nayak Non IT"/>
    <s v="Maruru   Jyoshna "/>
    <n v="1"/>
    <s v="C36231740"/>
    <x v="93"/>
    <n v="32130"/>
    <n v="12130"/>
    <s v="UHG(BCI &amp; SS)"/>
    <n v="6"/>
    <x v="1"/>
    <x v="1"/>
  </r>
  <r>
    <s v="Narendra Kumar Debariki"/>
    <s v="Pradeep P"/>
    <s v="Akshata Nayak Non IT"/>
    <s v="Bellana  Sai Kumar"/>
    <n v="1"/>
    <s v="C36231713"/>
    <x v="93"/>
    <n v="32130"/>
    <n v="12130"/>
    <s v="UHG(BCI &amp; SS)"/>
    <n v="6"/>
    <x v="1"/>
    <x v="1"/>
  </r>
  <r>
    <s v="Narendra Kumar Debariki"/>
    <s v="Pradeep P"/>
    <s v="Akshata Nayak Non IT"/>
    <s v="Sorupaka Revathi"/>
    <n v="1"/>
    <s v="C36231714"/>
    <x v="93"/>
    <n v="32130"/>
    <n v="12130"/>
    <s v="UHG(BCI &amp; SS)"/>
    <n v="6"/>
    <x v="1"/>
    <x v="1"/>
  </r>
  <r>
    <s v="Arpita Biswal"/>
    <s v="Anitha C"/>
    <s v="Akshata Nayak Non IT"/>
    <s v="Mula Sindhu"/>
    <n v="1"/>
    <s v="C36231726"/>
    <x v="93"/>
    <n v="32130"/>
    <n v="12130"/>
    <s v="UHG(BCI &amp; SS)"/>
    <n v="6"/>
    <x v="1"/>
    <x v="1"/>
  </r>
  <r>
    <s v="Narendra Kumar Debariki"/>
    <s v="Pradeep P"/>
    <s v="Akshata Nayak Non IT"/>
    <s v=" Mohammad Nasreen"/>
    <n v="1"/>
    <s v="C36231741"/>
    <x v="93"/>
    <n v="32130"/>
    <n v="12130"/>
    <s v="UHG(BCI &amp; SS)"/>
    <n v="6"/>
    <x v="1"/>
    <x v="1"/>
  </r>
  <r>
    <s v="Narendra Kumar Debariki"/>
    <s v="Pradeep P"/>
    <s v="Akshata Nayak Non IT"/>
    <s v="Maligay  Pavan Kalyan"/>
    <n v="1"/>
    <s v="C36231745"/>
    <x v="93"/>
    <n v="32130"/>
    <n v="12130"/>
    <s v="UHG(BCI &amp; SS)"/>
    <n v="6"/>
    <x v="1"/>
    <x v="1"/>
  </r>
  <r>
    <s v="Narendra Kumar Debariki"/>
    <s v="Pradeep P"/>
    <s v="Akshata Nayak Non IT"/>
    <s v="Shaik  Abdullah"/>
    <n v="1"/>
    <s v="C36231746"/>
    <x v="93"/>
    <n v="32130"/>
    <n v="12130"/>
    <s v="UHG(BCI &amp; SS)"/>
    <n v="6"/>
    <x v="1"/>
    <x v="1"/>
  </r>
  <r>
    <s v="Narendra Kumar Debariki"/>
    <s v="Pradeep P"/>
    <s v="Akshata Nayak Non IT"/>
    <s v="Â Alupula  Vishnu Teja"/>
    <n v="1"/>
    <s v="C36231739"/>
    <x v="93"/>
    <n v="32130"/>
    <n v="12130"/>
    <s v="UHG(BCI &amp; SS)"/>
    <n v="6"/>
    <x v="1"/>
    <x v="1"/>
  </r>
  <r>
    <s v="Narendra Kumar Debariki"/>
    <s v="Pradeep P"/>
    <s v="Akshata Nayak Non IT"/>
    <s v="Dande  Sowmya Sri "/>
    <n v="1"/>
    <s v="C36231771"/>
    <x v="93"/>
    <n v="32130"/>
    <n v="12130"/>
    <s v="UHG(BCI &amp; SS)"/>
    <n v="6"/>
    <x v="1"/>
    <x v="1"/>
  </r>
  <r>
    <s v="Sai Manish"/>
    <s v="Pradeep P"/>
    <s v="Akshata Nayak Non IT"/>
    <s v="Vattiprolu Deepthi "/>
    <n v="1"/>
    <s v="C36231753"/>
    <x v="93"/>
    <n v="32130"/>
    <n v="12130"/>
    <s v="UHG(BCI &amp; SS)"/>
    <n v="6"/>
    <x v="1"/>
    <x v="1"/>
  </r>
  <r>
    <s v="Sireesha K"/>
    <s v="Prathyusha Mangalampalli"/>
    <s v="Akshata Nayak Non IT"/>
    <s v="Chanda Gayathri"/>
    <n v="1"/>
    <s v="C36231650"/>
    <x v="93"/>
    <n v="0"/>
    <n v="-20000"/>
    <s v="UHG(BCI &amp; SS)"/>
    <n v="6"/>
    <x v="1"/>
    <x v="1"/>
  </r>
  <r>
    <s v="Priya pushparaj"/>
    <s v="Prathyusha Mangalampalli"/>
    <s v="Akshata Nayak Non IT"/>
    <s v="Shaik Kouser  Begum"/>
    <n v="1"/>
    <s v="C36231848"/>
    <x v="93"/>
    <n v="32130"/>
    <n v="12130"/>
    <s v="UHG(BCI &amp; SS)"/>
    <n v="6"/>
    <x v="1"/>
    <x v="1"/>
  </r>
  <r>
    <s v="Sai Manish"/>
    <s v="Pradeep P"/>
    <s v="Akshata Nayak Non IT"/>
    <s v="Kindidoddi Sabitha"/>
    <n v="1"/>
    <s v="C36231942"/>
    <x v="117"/>
    <n v="0"/>
    <n v="-20000"/>
    <s v="UHG(BCI &amp; SS)"/>
    <n v="6"/>
    <x v="1"/>
    <x v="1"/>
  </r>
  <r>
    <s v="Javeed Khan"/>
    <s v="Prathyusha Mangalampalli"/>
    <s v="Akshata Nayak Non IT"/>
    <s v="Ambika Sunil Singh "/>
    <n v="2"/>
    <s v="C36231655"/>
    <x v="137"/>
    <n v="21275"/>
    <n v="2775"/>
    <s v="Accenture-voice"/>
    <n v="6"/>
    <x v="0"/>
    <x v="9"/>
  </r>
  <r>
    <s v="Sai Manish"/>
    <s v="Pradeep P"/>
    <s v="Akshata Nayak Non IT"/>
    <s v="Boini Rakesh "/>
    <n v="1"/>
    <s v="C36231747"/>
    <x v="93"/>
    <n v="32130"/>
    <n v="12130"/>
    <s v="UHG(BCI &amp; SS)"/>
    <n v="5"/>
    <x v="1"/>
    <x v="1"/>
  </r>
  <r>
    <s v="Sai Manish"/>
    <s v="Pradeep P"/>
    <s v="Akshata Nayak Non IT"/>
    <s v="Ravula Bharath"/>
    <n v="1"/>
    <s v="C36231748"/>
    <x v="93"/>
    <n v="32130"/>
    <n v="12130"/>
    <s v="UHG(BCI &amp; SS)"/>
    <n v="6"/>
    <x v="1"/>
    <x v="1"/>
  </r>
  <r>
    <s v="Vidya Bharthi"/>
    <s v="Fazila K"/>
    <s v="Prathap Sagar"/>
    <s v="Lakhpati Prasad Tiwari"/>
    <n v="7"/>
    <s v="C36231656"/>
    <x v="40"/>
    <n v="51926"/>
    <n v="2236"/>
    <s v="ZTE_payroll"/>
    <n v="5"/>
    <x v="2"/>
    <x v="3"/>
  </r>
  <r>
    <s v="Rajesh R"/>
    <s v="Kamlesh A"/>
    <s v="Menaka Prasad"/>
    <s v="Upendar  Reddy"/>
    <n v="2"/>
    <s v="C36231695"/>
    <x v="93"/>
    <n v="133358.39999999999"/>
    <n v="33358.400000000001"/>
    <s v="IBM -Mercedes"/>
    <n v="5"/>
    <x v="1"/>
    <x v="7"/>
  </r>
  <r>
    <s v="Bindushree R"/>
    <s v="Prathyusha Mangalampalli"/>
    <s v="Akshata Nayak Non IT"/>
    <s v="Dayyala  Pravalika"/>
    <n v="1"/>
    <s v="C36231607"/>
    <x v="28"/>
    <n v="32130"/>
    <n v="12130"/>
    <s v="UHG(BCI &amp; SS)"/>
    <n v="6"/>
    <x v="1"/>
    <x v="1"/>
  </r>
  <r>
    <s v="Mouli Roy"/>
    <s v="Prathyusha Mangalampalli"/>
    <s v="Akshata Nayak Non IT"/>
    <s v="Kommu Manmitha"/>
    <n v="1"/>
    <s v="C36231946"/>
    <x v="93"/>
    <n v="0"/>
    <n v="-20000"/>
    <s v="UHG(BCI &amp; SS)"/>
    <n v="6"/>
    <x v="1"/>
    <x v="1"/>
  </r>
  <r>
    <s v="Akanksha  Tripathi"/>
    <s v="Manjunath R"/>
    <s v="Mehr Hashim"/>
    <s v="Rohithraj  Kharvi"/>
    <n v="2"/>
    <s v="C36231709"/>
    <x v="136"/>
    <n v="247000"/>
    <n v="55334"/>
    <s v="Schneider Electric"/>
    <n v="5"/>
    <x v="5"/>
    <x v="10"/>
  </r>
  <r>
    <s v="Gouri Priya"/>
    <s v="Pradeep P"/>
    <s v="Akshata Nayak Non IT"/>
    <s v="Nadvancha Shubham"/>
    <n v="1"/>
    <s v="C36231696"/>
    <x v="93"/>
    <n v="0"/>
    <n v="-20000"/>
    <s v="UHG(BCI &amp; SS)"/>
    <n v="6"/>
    <x v="1"/>
    <x v="1"/>
  </r>
  <r>
    <s v="Mehraj N"/>
    <s v="Prathyusha Mangalampalli"/>
    <s v="Akshata Nayak Non IT"/>
    <s v="Neha Ramraj  Sharma"/>
    <n v="2"/>
    <s v="C36231789"/>
    <x v="136"/>
    <n v="42000"/>
    <n v="7000"/>
    <s v="Accenture-voice"/>
    <n v="5"/>
    <x v="0"/>
    <x v="9"/>
  </r>
  <r>
    <s v="Javeed Khan"/>
    <s v="Prathyusha Mangalampalli"/>
    <s v="Akshata Nayak Non IT"/>
    <s v="Fareen Mainuddin Chamcham "/>
    <n v="2"/>
    <s v="C36231790"/>
    <x v="136"/>
    <n v="42000"/>
    <n v="7000"/>
    <s v="Accenture-voice"/>
    <n v="5"/>
    <x v="0"/>
    <x v="9"/>
  </r>
  <r>
    <s v="Gifty Sunny"/>
    <s v="Prathyusha Mangalampalli"/>
    <s v="Akshata Nayak Non IT"/>
    <s v="Nihal Ghosarwade"/>
    <n v="2"/>
    <s v="C36231697"/>
    <x v="93"/>
    <n v="29500"/>
    <n v="4500"/>
    <s v="Accenture-voice"/>
    <n v="6"/>
    <x v="0"/>
    <x v="9"/>
  </r>
  <r>
    <s v="Sireesha K"/>
    <s v="Prathyusha Mangalampalli"/>
    <s v="Akshata Nayak Non IT"/>
    <s v="Prity Rakesh Shah"/>
    <n v="2"/>
    <s v="C36231791"/>
    <x v="136"/>
    <n v="42000"/>
    <n v="7000"/>
    <s v="Accenture-voice"/>
    <n v="5"/>
    <x v="0"/>
    <x v="9"/>
  </r>
  <r>
    <s v="Preethi Hindu"/>
    <s v="Sabreena Jabeen"/>
    <s v="Sabreena Jabeen"/>
    <s v="Naveen C A"/>
    <n v="2"/>
    <s v="C36231609"/>
    <x v="137"/>
    <n v="150088.26"/>
    <n v="66755.259999999995"/>
    <s v="Mercedes benz"/>
    <n v="6"/>
    <x v="6"/>
    <x v="14"/>
  </r>
  <r>
    <s v="Sai Manish"/>
    <s v="Pradeep P"/>
    <s v="Akshata Nayak Non IT"/>
    <s v="Palley Chandra Sunidhi "/>
    <n v="1"/>
    <s v="C36231765"/>
    <x v="93"/>
    <n v="32130"/>
    <n v="12130"/>
    <s v="UHG(BCI &amp; SS)"/>
    <n v="6"/>
    <x v="1"/>
    <x v="1"/>
  </r>
  <r>
    <s v="Priya pushparaj"/>
    <s v="Prathyusha Mangalampalli"/>
    <s v="Akshata Nayak Non IT"/>
    <s v="Swetha "/>
    <n v="2"/>
    <s v="C36231636"/>
    <x v="137"/>
    <n v="17400"/>
    <n v="2400"/>
    <s v="Accenture_BPO"/>
    <n v="5"/>
    <x v="0"/>
    <x v="9"/>
  </r>
  <r>
    <s v="Soumya Kumatagi"/>
    <s v="Prathyusha Mangalampalli"/>
    <s v="Akshata Nayak Non IT"/>
    <s v="Digil  Davis Vadakkan"/>
    <n v="2"/>
    <s v="C36231792"/>
    <x v="136"/>
    <n v="42000"/>
    <n v="7000"/>
    <s v="Accenture-voice"/>
    <n v="5"/>
    <x v="0"/>
    <x v="9"/>
  </r>
  <r>
    <s v="Ram Praveen B"/>
    <s v="Fazila K"/>
    <s v="Prathap Sagar"/>
    <s v="Prateek Shahi"/>
    <n v="2"/>
    <s v="C36231799"/>
    <x v="138"/>
    <n v="245700"/>
    <n v="16533.330000000002"/>
    <s v="Infosys"/>
    <n v="6"/>
    <x v="2"/>
    <x v="3"/>
  </r>
  <r>
    <s v="Mouli Roy"/>
    <s v="Prathyusha Mangalampalli"/>
    <s v="Akshata Nayak Non IT"/>
    <s v="Ravi Manojkumar  Navani"/>
    <n v="2"/>
    <s v="C36231793"/>
    <x v="136"/>
    <n v="38400"/>
    <n v="6400"/>
    <s v="Accenture-voice"/>
    <n v="5"/>
    <x v="0"/>
    <x v="9"/>
  </r>
  <r>
    <s v="Keerthi Reddy"/>
    <s v="Mehr Hashim D"/>
    <s v="Mehr Hashim"/>
    <s v="Jagadeesha "/>
    <n v="2"/>
    <s v="C36231610"/>
    <x v="137"/>
    <n v="268800"/>
    <n v="160467"/>
    <s v="GE Healthcare Global Private Limited."/>
    <n v="6"/>
    <x v="5"/>
    <x v="10"/>
  </r>
  <r>
    <s v="T Manoj Kumar"/>
    <s v="Shoeb Ahmed"/>
    <s v="Vinay Murthy"/>
    <s v="Smitha G"/>
    <n v="4"/>
    <s v="O36230104"/>
    <x v="130"/>
    <n v="1100"/>
    <n v="1046"/>
    <s v="EY"/>
    <n v="6"/>
    <x v="1"/>
    <x v="7"/>
  </r>
  <r>
    <s v="Sai Manish"/>
    <s v="Pradeep P"/>
    <s v="Akshata Nayak Non IT"/>
    <s v="Chintala Vidya"/>
    <n v="1"/>
    <s v="C36231828"/>
    <x v="133"/>
    <n v="45517.5"/>
    <n v="8017.5"/>
    <s v="UHG"/>
    <n v="5"/>
    <x v="0"/>
    <x v="1"/>
  </r>
  <r>
    <s v="Hemanth SM"/>
    <s v="Priyakantha K"/>
    <s v="Prathap Sagar"/>
    <s v="Rifayah Fathima"/>
    <n v="2"/>
    <s v="C36231588"/>
    <x v="40"/>
    <n v="37000"/>
    <n v="7000"/>
    <s v="Accenture_IDB"/>
    <n v="5"/>
    <x v="2"/>
    <x v="3"/>
  </r>
  <r>
    <s v="Mouli Roy"/>
    <s v="Prathyusha Mangalampalli"/>
    <s v="Akshata Nayak Non IT"/>
    <s v="Khushi C. Pathak"/>
    <n v="2"/>
    <s v="C36231728"/>
    <x v="93"/>
    <n v="36000"/>
    <n v="6000"/>
    <s v="Accenture-voice"/>
    <n v="6"/>
    <x v="0"/>
    <x v="9"/>
  </r>
  <r>
    <s v="Mouli Roy"/>
    <s v="Prathyusha Mangalampalli"/>
    <s v="Akshata Nayak Non IT"/>
    <s v="Priyanka Jagat  Singh"/>
    <n v="2"/>
    <s v="C36231677"/>
    <x v="93"/>
    <n v="45600"/>
    <n v="7600"/>
    <s v="Accenture-voice"/>
    <n v="6"/>
    <x v="0"/>
    <x v="9"/>
  </r>
  <r>
    <s v="Sachin K"/>
    <s v="Prathyusha Mangalampalli"/>
    <s v="Akshata Nayak Non IT"/>
    <s v="Nayan Rajendra Surve"/>
    <n v="2"/>
    <s v="C36231796"/>
    <x v="136"/>
    <n v="32500"/>
    <n v="7500"/>
    <s v="Accenture-voice"/>
    <n v="5"/>
    <x v="0"/>
    <x v="9"/>
  </r>
  <r>
    <s v="Nivetha M"/>
    <s v="Anmol K"/>
    <s v="Gurudutt kh"/>
    <s v="Kaviti Kumara Swamy"/>
    <n v="2"/>
    <s v="C36231687"/>
    <x v="135"/>
    <n v="90000"/>
    <n v="16000"/>
    <s v="Accenture_IDB"/>
    <n v="6"/>
    <x v="2"/>
    <x v="3"/>
  </r>
  <r>
    <s v="Sachin K"/>
    <s v="Prathyusha Mangalampalli"/>
    <s v="Akshata Nayak Non IT"/>
    <s v="Saista Mohammed Rehan Sayyed "/>
    <n v="2"/>
    <s v="C36231797"/>
    <x v="136"/>
    <n v="42000"/>
    <n v="7000"/>
    <s v="Accenture-voice"/>
    <n v="6"/>
    <x v="0"/>
    <x v="9"/>
  </r>
  <r>
    <s v="Gouri Priya"/>
    <s v="Pradeep P"/>
    <s v="Akshata Nayak Non IT"/>
    <s v=" Mohammed Shabuddin"/>
    <n v="1"/>
    <s v="C36231648"/>
    <x v="92"/>
    <n v="26775"/>
    <n v="6775"/>
    <s v="UHG(BCI &amp; SS)"/>
    <n v="6"/>
    <x v="1"/>
    <x v="1"/>
  </r>
  <r>
    <s v="Karthik V"/>
    <s v="Fazila K"/>
    <s v="Prathap Sagar"/>
    <s v="Rangarajan Ramesh "/>
    <n v="7"/>
    <s v="C36231679"/>
    <x v="136"/>
    <n v="75281.8"/>
    <n v="3241.8"/>
    <s v="ZTE_payroll"/>
    <n v="5"/>
    <x v="2"/>
    <x v="3"/>
  </r>
  <r>
    <s v="Mouli Roy"/>
    <s v="Prathyusha Mangalampalli"/>
    <s v="Akshata Nayak Non IT"/>
    <s v="Ayush Jaiprakash Agarwal"/>
    <n v="2"/>
    <s v="C36231678"/>
    <x v="93"/>
    <n v="33600"/>
    <n v="5600"/>
    <s v="Accenture-voice"/>
    <n v="6"/>
    <x v="0"/>
    <x v="9"/>
  </r>
  <r>
    <s v="Manish Kalal"/>
    <s v="Mehr Hashim D"/>
    <s v="Mehr Hashim"/>
    <s v="B Vinod Kumar Reddy "/>
    <n v="2"/>
    <s v="C36231637"/>
    <x v="137"/>
    <n v="302400"/>
    <n v="44067"/>
    <s v="GE Healthcare Global Private Limited."/>
    <n v="6"/>
    <x v="5"/>
    <x v="10"/>
  </r>
  <r>
    <s v="Siva Naga"/>
    <s v="Dummy Record Lead"/>
    <s v="Vinod K"/>
    <s v="Kiran Kumar KH"/>
    <n v="4"/>
    <s v="O36230110"/>
    <x v="55"/>
    <n v="800"/>
    <n v="747"/>
    <s v="EY"/>
    <n v="6"/>
    <x v="1"/>
    <x v="7"/>
  </r>
  <r>
    <s v="Sandipta Panigrahi"/>
    <s v="Mehr Hashim D"/>
    <s v="Mehr Hashim"/>
    <s v="Priyanka Warad "/>
    <n v="2"/>
    <s v="C36231611"/>
    <x v="137"/>
    <n v="100000"/>
    <n v="50000"/>
    <s v="GE Healthcare Global Private Limited."/>
    <n v="5"/>
    <x v="5"/>
    <x v="10"/>
  </r>
  <r>
    <s v="Deepthi C"/>
    <s v="Anitha C"/>
    <s v="Akshata Nayak Non IT"/>
    <s v="Beeda Chandrakala "/>
    <n v="1"/>
    <s v="C36231787"/>
    <x v="136"/>
    <n v="39900"/>
    <n v="4067"/>
    <s v="Soc gen Ops "/>
    <n v="5"/>
    <x v="4"/>
    <x v="2"/>
  </r>
  <r>
    <s v="Ashwini Vishwakarma"/>
    <s v="Dummy Record Lead"/>
    <s v="Vinod K"/>
    <s v="Prerna  Sharma"/>
    <n v="4"/>
    <s v="O36230087"/>
    <x v="67"/>
    <n v="1100"/>
    <n v="1027"/>
    <s v="EY"/>
    <n v="6"/>
    <x v="1"/>
    <x v="7"/>
  </r>
  <r>
    <s v="Ashwini Vishwakarma"/>
    <s v="Dummy Record Lead"/>
    <s v="Vinod K"/>
    <s v="Somya"/>
    <n v="4"/>
    <s v="O36230099"/>
    <x v="130"/>
    <n v="500"/>
    <n v="467"/>
    <s v="EY"/>
    <n v="6"/>
    <x v="1"/>
    <x v="7"/>
  </r>
  <r>
    <s v="Arpita Biswal"/>
    <s v="Anitha C"/>
    <s v="Akshata Nayak Non IT"/>
    <s v="Prativa Tibrewal"/>
    <n v="1"/>
    <s v="C36231743"/>
    <x v="139"/>
    <n v="84000"/>
    <n v="34000"/>
    <s v="Soc gen Ops "/>
    <n v="5"/>
    <x v="4"/>
    <x v="2"/>
  </r>
  <r>
    <s v="Pradeep S"/>
    <s v="Monisha RR"/>
    <s v="Akshata Nayak Non IT"/>
    <s v="Vikas Jouhari"/>
    <n v="1"/>
    <s v="C36231805"/>
    <x v="140"/>
    <n v="45517"/>
    <n v="6351"/>
    <s v="UHG"/>
    <n v="6"/>
    <x v="0"/>
    <x v="1"/>
  </r>
  <r>
    <s v="Lokesh Reddy"/>
    <s v="Mehr Hashim D"/>
    <s v="Mehr Hashim"/>
    <s v="Srinidhi Mysore Ramesh"/>
    <n v="2"/>
    <s v="C36231665"/>
    <x v="67"/>
    <n v="376166"/>
    <n v="84500"/>
    <s v="Alliance Data"/>
    <n v="5"/>
    <x v="5"/>
    <x v="8"/>
  </r>
  <r>
    <s v="Sachin K"/>
    <s v="Prathyusha Mangalampalli"/>
    <s v="Akshata Nayak Non IT"/>
    <s v="Harish Milind Gurav"/>
    <n v="2"/>
    <s v="C36231798"/>
    <x v="136"/>
    <n v="42000"/>
    <n v="7000"/>
    <s v="Accenture-voice"/>
    <n v="5"/>
    <x v="0"/>
    <x v="9"/>
  </r>
  <r>
    <s v="Arpita Biswal"/>
    <s v="Anitha C"/>
    <s v="Akshata Nayak Non IT"/>
    <s v="Prince  Rajpal"/>
    <n v="4"/>
    <s v="O36230088"/>
    <x v="130"/>
    <n v="832"/>
    <n v="766"/>
    <s v="EY"/>
    <n v="6"/>
    <x v="1"/>
    <x v="7"/>
  </r>
  <r>
    <s v="Deepthi C"/>
    <s v="Anitha C"/>
    <s v="Akshata Nayak Non IT"/>
    <s v="Katta Dinesh"/>
    <n v="4"/>
    <s v="O36230101"/>
    <x v="67"/>
    <n v="520"/>
    <n v="479"/>
    <s v="EY"/>
    <n v="6"/>
    <x v="1"/>
    <x v="7"/>
  </r>
  <r>
    <s v="Deepthi C"/>
    <s v="Anitha C"/>
    <s v="Akshata Nayak Non IT"/>
    <s v="Komal"/>
    <n v="4"/>
    <s v="O36230095"/>
    <x v="67"/>
    <n v="1100"/>
    <n v="1044"/>
    <s v="EY"/>
    <n v="6"/>
    <x v="1"/>
    <x v="7"/>
  </r>
  <r>
    <s v="Deepthi C"/>
    <s v="Anitha C"/>
    <s v="Akshata Nayak Non IT"/>
    <s v="Ranju Kuruvilla Kurien "/>
    <n v="4"/>
    <s v="O36230085"/>
    <x v="67"/>
    <n v="1144"/>
    <n v="1053"/>
    <s v="EY"/>
    <n v="6"/>
    <x v="1"/>
    <x v="7"/>
  </r>
  <r>
    <s v="Anusha BJ"/>
    <s v="Tara VR"/>
    <s v="Prathap Sagar"/>
    <s v="Adarsha s"/>
    <n v="2"/>
    <s v="C36231659"/>
    <x v="93"/>
    <n v="67200"/>
    <n v="8867"/>
    <s v="Koch Industries"/>
    <n v="6"/>
    <x v="2"/>
    <x v="2"/>
  </r>
  <r>
    <s v="Pradeep S"/>
    <s v="Monisha RR"/>
    <s v="Akshata Nayak Non IT"/>
    <s v="Vinamr Rai Sharma "/>
    <n v="1"/>
    <s v="C36231806"/>
    <x v="141"/>
    <n v="45517.5"/>
    <n v="6351.5"/>
    <s v="UHG"/>
    <n v="5"/>
    <x v="0"/>
    <x v="1"/>
  </r>
  <r>
    <s v="Shiva Prasad"/>
    <s v="Fazila K"/>
    <s v="Prathap Sagar"/>
    <s v="Prashant Dattatraya  Phadatare"/>
    <n v="2"/>
    <s v="C36231688"/>
    <x v="67"/>
    <n v="136500"/>
    <n v="40666.67"/>
    <s v="Infosys"/>
    <n v="6"/>
    <x v="2"/>
    <x v="3"/>
  </r>
  <r>
    <s v="Thrupthi S"/>
    <s v="Menaka Prasad"/>
    <s v="karan lalchandani"/>
    <s v="Biswaranjan Mishra"/>
    <n v="2"/>
    <s v="C36231730"/>
    <x v="141"/>
    <n v="122327.52"/>
    <n v="18161.52"/>
    <s v="IBM -Mercedes"/>
    <n v="5"/>
    <x v="1"/>
    <x v="7"/>
  </r>
  <r>
    <s v="Sachin K"/>
    <s v="Prathyusha Mangalampalli"/>
    <s v="Akshata Nayak Non IT"/>
    <s v="Jathin Kv"/>
    <n v="2"/>
    <s v="C36231719"/>
    <x v="142"/>
    <n v="24898"/>
    <n v="3798"/>
    <s v="Accenture_BPO"/>
    <n v="5"/>
    <x v="0"/>
    <x v="9"/>
  </r>
  <r>
    <s v="Kritika Verma"/>
    <s v="Dummy Record Lead"/>
    <s v="Vinod K"/>
    <s v="Vinitha  Venkatesan  "/>
    <n v="4"/>
    <s v="O36230111"/>
    <x v="117"/>
    <n v="800"/>
    <n v="160"/>
    <s v="EY"/>
    <n v="6"/>
    <x v="1"/>
    <x v="7"/>
  </r>
  <r>
    <s v="Javeed Khan"/>
    <s v="Prathyusha Mangalampalli"/>
    <s v="Akshata Nayak Non IT"/>
    <s v="Rethikashree A"/>
    <n v="2"/>
    <s v="C36231755"/>
    <x v="139"/>
    <n v="17700"/>
    <n v="2700"/>
    <s v="Accenture_BPO"/>
    <n v="6"/>
    <x v="0"/>
    <x v="9"/>
  </r>
  <r>
    <s v="Javeed Khan"/>
    <s v="Prathyusha Mangalampalli"/>
    <s v="Akshata Nayak Non IT"/>
    <s v="Revathy S"/>
    <n v="2"/>
    <s v="C36231731"/>
    <x v="139"/>
    <n v="17700"/>
    <n v="2700"/>
    <s v="Accenture_BPO"/>
    <n v="6"/>
    <x v="0"/>
    <x v="9"/>
  </r>
  <r>
    <s v="Sachin K"/>
    <s v="Prathyusha Mangalampalli"/>
    <s v="Akshata Nayak Non IT"/>
    <s v="Swathi R"/>
    <n v="2"/>
    <s v="C36231762"/>
    <x v="142"/>
    <n v="48000"/>
    <n v="8000"/>
    <s v="Accenture-voice"/>
    <n v="6"/>
    <x v="0"/>
    <x v="9"/>
  </r>
  <r>
    <s v="T Manoj Kumar"/>
    <s v="Shoeb Ahmed"/>
    <s v="Vinay Murthy"/>
    <s v="Mukanagari Divakar "/>
    <n v="4"/>
    <s v="O36230100"/>
    <x v="130"/>
    <n v="500"/>
    <n v="475"/>
    <s v="EY_Support"/>
    <n v="6"/>
    <x v="8"/>
    <x v="7"/>
  </r>
  <r>
    <s v="Silpa Vukkem"/>
    <s v="Vinay Murthy"/>
    <s v="Vinay Murthy"/>
    <s v="Nidhi Verma"/>
    <n v="4"/>
    <s v="O36230107"/>
    <x v="130"/>
    <n v="800"/>
    <n v="746"/>
    <s v="EY_Support"/>
    <n v="6"/>
    <x v="8"/>
    <x v="7"/>
  </r>
  <r>
    <s v="Mamtha V"/>
    <s v="Fazila K"/>
    <s v="Prathap Sagar"/>
    <s v="Panduranki Satyanarayana Nishanth"/>
    <n v="4"/>
    <s v="O36230098"/>
    <x v="134"/>
    <n v="189000"/>
    <n v="30666.67"/>
    <s v="Infosys"/>
    <n v="6"/>
    <x v="2"/>
    <x v="3"/>
  </r>
  <r>
    <s v="Sandipta Panigrahi"/>
    <s v="Mehr Hashim D"/>
    <s v="Mehr Hashim"/>
    <s v="Dixitha BS"/>
    <n v="2"/>
    <s v="C36231715"/>
    <x v="93"/>
    <n v="442498.56"/>
    <n v="67498.559999999998"/>
    <s v="Pure Storage"/>
    <n v="5"/>
    <x v="5"/>
    <x v="10"/>
  </r>
  <r>
    <s v="Sireesha K"/>
    <s v="Prathyusha Mangalampalli"/>
    <s v="Akshata Nayak Non IT"/>
    <s v="Saravana Dharshini T"/>
    <n v="2"/>
    <s v="C36231756"/>
    <x v="139"/>
    <n v="17700"/>
    <n v="2700"/>
    <s v="Accenture_BPO"/>
    <n v="6"/>
    <x v="0"/>
    <x v="9"/>
  </r>
  <r>
    <s v="Monika Vakati"/>
    <s v="Prathyusha Mangalampalli"/>
    <s v="Akshata Nayak Non IT"/>
    <s v="Aamir Ansar Shaikh"/>
    <n v="2"/>
    <s v="C36231809"/>
    <x v="134"/>
    <n v="70800"/>
    <n v="10800"/>
    <s v="Accenture-voice"/>
    <n v="5"/>
    <x v="0"/>
    <x v="9"/>
  </r>
  <r>
    <s v="Sireesha K"/>
    <s v="Prathyusha Mangalampalli"/>
    <s v="Akshata Nayak Non IT"/>
    <s v="Shruthi Jain"/>
    <n v="2"/>
    <s v="C36231761"/>
    <x v="139"/>
    <n v="17700"/>
    <n v="2700"/>
    <s v="Accenture_BPO"/>
    <n v="6"/>
    <x v="0"/>
    <x v="9"/>
  </r>
  <r>
    <s v="Gifty Sunny"/>
    <s v="Prathyusha Mangalampalli"/>
    <s v="Akshata Nayak Non IT"/>
    <s v="Abinaya P"/>
    <n v="2"/>
    <s v="C36231750"/>
    <x v="139"/>
    <n v="17700"/>
    <n v="2700"/>
    <s v="Accenture_BPO"/>
    <n v="6"/>
    <x v="0"/>
    <x v="9"/>
  </r>
  <r>
    <s v="Gifty Sunny"/>
    <s v="Prathyusha Mangalampalli"/>
    <s v="Akshata Nayak Non IT"/>
    <s v="Kaviya "/>
    <n v="2"/>
    <s v="C36231751"/>
    <x v="139"/>
    <n v="17700"/>
    <n v="2700"/>
    <s v="Accenture_BPO"/>
    <n v="6"/>
    <x v="0"/>
    <x v="9"/>
  </r>
  <r>
    <s v="Vaishnavi G"/>
    <s v="Shoeb Ahmed"/>
    <s v="Vinay Murthy"/>
    <s v="Kavyanjali J"/>
    <n v="4"/>
    <s v="O36230105"/>
    <x v="130"/>
    <n v="500"/>
    <n v="467"/>
    <s v="EY_Support"/>
    <n v="6"/>
    <x v="8"/>
    <x v="7"/>
  </r>
  <r>
    <s v="Vaishnavi G"/>
    <s v="Shoeb Ahmed"/>
    <s v="Vinay Murthy"/>
    <s v="Sowjanya Pidathala"/>
    <n v="4"/>
    <s v="O36230108"/>
    <x v="130"/>
    <n v="500"/>
    <n v="467"/>
    <s v="EY_Support"/>
    <n v="6"/>
    <x v="8"/>
    <x v="7"/>
  </r>
  <r>
    <s v="Abhilash P"/>
    <s v="Kamlesh A"/>
    <s v="Menaka Prasad"/>
    <s v="Nishish  Agrawal"/>
    <n v="2"/>
    <s v="C36231742"/>
    <x v="130"/>
    <n v="88200"/>
    <n v="17367"/>
    <s v="Socgen"/>
    <n v="5"/>
    <x v="6"/>
    <x v="2"/>
  </r>
  <r>
    <s v="Gouri Priya"/>
    <s v="Pradeep P"/>
    <s v="Akshata Nayak Non IT"/>
    <s v="Allagoina Pranathi"/>
    <n v="1"/>
    <s v="C36231766"/>
    <x v="93"/>
    <n v="32130"/>
    <n v="12130"/>
    <s v="UHG(BCI &amp; SS)"/>
    <n v="6"/>
    <x v="1"/>
    <x v="1"/>
  </r>
  <r>
    <s v="Arpita Biswal"/>
    <s v="Anitha C"/>
    <s v="Akshata Nayak Non IT"/>
    <s v="Shifali chaudhary"/>
    <n v="4"/>
    <s v="O36230092"/>
    <x v="130"/>
    <n v="520"/>
    <n v="487"/>
    <s v="EY"/>
    <n v="6"/>
    <x v="1"/>
    <x v="7"/>
  </r>
  <r>
    <s v="Deepthi C"/>
    <s v="Anitha C"/>
    <s v="Akshata Nayak Non IT"/>
    <s v="Preethi Sathish"/>
    <n v="4"/>
    <s v="O36230096"/>
    <x v="130"/>
    <n v="500"/>
    <n v="467"/>
    <s v="EY"/>
    <n v="6"/>
    <x v="1"/>
    <x v="7"/>
  </r>
  <r>
    <s v="Mamtha V"/>
    <s v="Fazila K"/>
    <s v="Prathap Sagar"/>
    <s v="Gijo George M"/>
    <n v="7"/>
    <s v="C36231772"/>
    <x v="130"/>
    <n v="60860.800000000003"/>
    <n v="2620.8000000000002"/>
    <s v="ZTE_payroll"/>
    <n v="5"/>
    <x v="2"/>
    <x v="3"/>
  </r>
  <r>
    <s v="Hussain Saheb P"/>
    <s v="Shoeb Ahmed"/>
    <s v="Vinay Murthy"/>
    <s v="Shaik Mubina"/>
    <n v="4"/>
    <s v="O36230109"/>
    <x v="130"/>
    <n v="500"/>
    <n v="467"/>
    <s v="EY_Support"/>
    <n v="6"/>
    <x v="8"/>
    <x v="7"/>
  </r>
  <r>
    <s v="Mouli Roy"/>
    <s v="Prathyusha Mangalampalli"/>
    <s v="Akshata Nayak Non IT"/>
    <s v="Shivankit Anil Mishra"/>
    <n v="2"/>
    <s v="C36231782"/>
    <x v="141"/>
    <n v="38400"/>
    <n v="6400"/>
    <s v="Accenture-voice"/>
    <n v="5"/>
    <x v="0"/>
    <x v="9"/>
  </r>
  <r>
    <s v="T Manoj Kumar"/>
    <s v="Shoeb Ahmed"/>
    <s v="Vinay Murthy"/>
    <s v="Kishore "/>
    <n v="4"/>
    <s v="O36230112"/>
    <x v="130"/>
    <n v="800"/>
    <n v="767"/>
    <s v="EY_Support"/>
    <n v="6"/>
    <x v="8"/>
    <x v="7"/>
  </r>
  <r>
    <s v="Mouli Roy"/>
    <s v="Prathyusha Mangalampalli"/>
    <s v="Akshata Nayak Non IT"/>
    <s v="Anosh Sudhakar Tandale"/>
    <n v="2"/>
    <s v="C36231757"/>
    <x v="139"/>
    <n v="45000"/>
    <n v="7500"/>
    <s v="Accenture-voice"/>
    <n v="6"/>
    <x v="0"/>
    <x v="9"/>
  </r>
  <r>
    <s v="Arpita Biswal"/>
    <s v="Anitha C"/>
    <s v="Akshata Nayak Non IT"/>
    <s v="Sadhvi Ahluwalia "/>
    <n v="4"/>
    <s v="O36230089"/>
    <x v="130"/>
    <n v="500"/>
    <n v="467"/>
    <s v="EY"/>
    <n v="6"/>
    <x v="1"/>
    <x v="7"/>
  </r>
  <r>
    <s v="Karthik Venkatesh"/>
    <s v="Priyakantha K"/>
    <s v="Prathap Sagar"/>
    <s v="Sanjeevini  Lingeshwar Javali"/>
    <n v="2"/>
    <s v="C36231720"/>
    <x v="142"/>
    <n v="30000"/>
    <n v="5000"/>
    <s v="Accenture_IDB"/>
    <n v="5"/>
    <x v="2"/>
    <x v="3"/>
  </r>
  <r>
    <s v="Monika Vakati"/>
    <s v="Prathyusha Mangalampalli"/>
    <s v="Akshata Nayak Non IT"/>
    <s v="Priya Ankush Gaikwad"/>
    <n v="2"/>
    <s v="C36231760"/>
    <x v="141"/>
    <n v="48000"/>
    <n v="8000"/>
    <s v="Accenture-voice"/>
    <n v="6"/>
    <x v="0"/>
    <x v="9"/>
  </r>
  <r>
    <s v="Monika Vakati"/>
    <s v="Prathyusha Mangalampalli"/>
    <s v="Akshata Nayak Non IT"/>
    <s v="Divyashree J A"/>
    <n v="2"/>
    <s v="C36231752"/>
    <x v="139"/>
    <n v="48000"/>
    <n v="8000"/>
    <s v="Accenture-voice"/>
    <n v="5"/>
    <x v="0"/>
    <x v="9"/>
  </r>
  <r>
    <s v="Priya b"/>
    <s v="Prathyusha Mangalampalli"/>
    <s v="Akshata Nayak Non IT"/>
    <s v="Kalaiselvi Govindaraju"/>
    <n v="2"/>
    <s v="C36231754"/>
    <x v="141"/>
    <n v="48000"/>
    <n v="8000"/>
    <s v="Accenture-voice"/>
    <n v="6"/>
    <x v="0"/>
    <x v="9"/>
  </r>
  <r>
    <s v="Deepthi C"/>
    <s v="Anitha C"/>
    <s v="Akshata Nayak Non IT"/>
    <s v="Ritika "/>
    <n v="4"/>
    <s v="O36230093"/>
    <x v="130"/>
    <n v="1100"/>
    <n v="1034"/>
    <s v="EY"/>
    <n v="6"/>
    <x v="1"/>
    <x v="7"/>
  </r>
  <r>
    <s v="Hussain Saheb P"/>
    <s v="Shoeb Ahmed"/>
    <s v="Vinay Murthy"/>
    <s v="Chittoor Sudheer Kumar"/>
    <n v="4"/>
    <s v="O36230102"/>
    <x v="130"/>
    <n v="500"/>
    <n v="467"/>
    <s v="EY_Support"/>
    <n v="6"/>
    <x v="8"/>
    <x v="7"/>
  </r>
  <r>
    <s v="Arpita Biswal"/>
    <s v="Anitha C"/>
    <s v="Akshata Nayak Non IT"/>
    <s v="Parul Sharma"/>
    <n v="4"/>
    <s v="O36230097"/>
    <x v="130"/>
    <n v="800"/>
    <n v="750"/>
    <s v="EY"/>
    <n v="6"/>
    <x v="1"/>
    <x v="7"/>
  </r>
  <r>
    <s v="Arpita Biswal"/>
    <s v="Anitha C"/>
    <s v="Akshata Nayak Non IT"/>
    <s v="Saswati Acharya"/>
    <n v="4"/>
    <s v="O36230090"/>
    <x v="130"/>
    <n v="800"/>
    <n v="744"/>
    <s v="EY"/>
    <n v="6"/>
    <x v="1"/>
    <x v="7"/>
  </r>
  <r>
    <s v="Hemanth SM"/>
    <s v="Priyakantha K"/>
    <s v="Prathap Sagar"/>
    <s v=" Vijayalakshmi Bai R"/>
    <n v="2"/>
    <s v="C36231777"/>
    <x v="140"/>
    <n v="37000"/>
    <n v="7834"/>
    <s v="Accenture_IDB"/>
    <n v="5"/>
    <x v="2"/>
    <x v="3"/>
  </r>
  <r>
    <s v="Monika Vakati"/>
    <s v="Prathyusha Mangalampalli"/>
    <s v="Akshata Nayak Non IT"/>
    <s v="Shoyab Mohmed Hanif Khan"/>
    <n v="2"/>
    <s v="C36231768"/>
    <x v="130"/>
    <n v="35760"/>
    <n v="5960"/>
    <s v="Accenture_BPO"/>
    <n v="6"/>
    <x v="0"/>
    <x v="9"/>
  </r>
  <r>
    <s v="Bindushree R"/>
    <s v="Prathyusha Mangalampalli"/>
    <s v="Akshata Nayak Non IT"/>
    <s v="Deepika Srinivasan"/>
    <n v="2"/>
    <s v="C36231773"/>
    <x v="140"/>
    <n v="17700"/>
    <n v="2700"/>
    <s v="Accenture_BPO"/>
    <n v="6"/>
    <x v="0"/>
    <x v="9"/>
  </r>
  <r>
    <s v="Mehraj N"/>
    <s v="Prathyusha Mangalampalli"/>
    <s v="Akshata Nayak Non IT"/>
    <s v="Amrita Kaur Jogindersingh Hotsinghani"/>
    <n v="2"/>
    <s v="C36231775"/>
    <x v="141"/>
    <n v="32500"/>
    <n v="7500"/>
    <s v="Accenture-voice"/>
    <n v="6"/>
    <x v="0"/>
    <x v="9"/>
  </r>
  <r>
    <s v="Mehraj N"/>
    <s v="Prathyusha Mangalampalli"/>
    <s v="Akshata Nayak Non IT"/>
    <s v="R Chandana"/>
    <n v="2"/>
    <s v="C36231774"/>
    <x v="106"/>
    <n v="47200"/>
    <n v="7200"/>
    <s v="Accenture_BPO"/>
    <n v="5"/>
    <x v="0"/>
    <x v="9"/>
  </r>
  <r>
    <s v="Lavani Yasheer"/>
    <s v="Menaka Prasad"/>
    <s v="karan lalchandani"/>
    <s v="Carol Rhea Menezes"/>
    <n v="2"/>
    <s v="C36232273"/>
    <x v="143"/>
    <n v="101294"/>
    <n v="4083"/>
    <s v="CenturyLink Technologies India Pvt.Ltd"/>
    <n v="5"/>
    <x v="1"/>
    <x v="2"/>
  </r>
  <r>
    <s v="Sumanth K"/>
    <s v="Fazila K"/>
    <s v="Prathap Sagar"/>
    <s v="Dhanush Kumar C "/>
    <n v="2"/>
    <s v="C36231759"/>
    <x v="140"/>
    <n v="150088.26"/>
    <n v="66755.259999999995"/>
    <s v="Mercedes benz"/>
    <n v="6"/>
    <x v="6"/>
    <x v="14"/>
  </r>
  <r>
    <s v="Maheshwari K S"/>
    <s v="Monisha RR"/>
    <s v="Akshata Nayak Non IT"/>
    <s v="Sidharth Tulsiyan "/>
    <n v="2"/>
    <s v="C36231813"/>
    <x v="141"/>
    <n v="32500"/>
    <n v="7500"/>
    <s v="Accenture-voice"/>
    <n v="6"/>
    <x v="0"/>
    <x v="9"/>
  </r>
  <r>
    <s v="Manjunath R"/>
    <s v="Mehr Hashim D"/>
    <s v="Mehr Hashim"/>
    <s v="Rutuj Vijay Dhimate"/>
    <n v="2"/>
    <s v="C36231784"/>
    <x v="101"/>
    <n v="143000"/>
    <n v="53000"/>
    <s v="SONY Software Development Centre"/>
    <n v="5"/>
    <x v="5"/>
    <x v="10"/>
  </r>
  <r>
    <s v="Nikitha A"/>
    <s v="Sunitha V"/>
    <s v="Akshata Nayak"/>
    <s v="CHINDAM HARSHINI "/>
    <n v="1"/>
    <s v="C36232009"/>
    <x v="133"/>
    <n v="26775"/>
    <n v="6775"/>
    <s v="UHG(BCI &amp; SS)"/>
    <n v="6"/>
    <x v="1"/>
    <x v="1"/>
  </r>
  <r>
    <s v="Nikitha A"/>
    <s v="Sunitha V"/>
    <s v="Akshata Nayak"/>
    <s v="pilla Abhinay "/>
    <n v="1"/>
    <s v="C36231907"/>
    <x v="117"/>
    <n v="26775"/>
    <n v="6775"/>
    <s v="UHG(BCI &amp; SS)"/>
    <n v="6"/>
    <x v="1"/>
    <x v="1"/>
  </r>
  <r>
    <s v="Pooja K"/>
    <s v="Prathyusha Mangalampalli"/>
    <s v="Akshata Nayak Non IT"/>
    <s v="Vinay Singh"/>
    <n v="2"/>
    <s v="C36231769"/>
    <x v="130"/>
    <n v="32500"/>
    <n v="7500"/>
    <s v="Accenture-voice"/>
    <n v="5"/>
    <x v="0"/>
    <x v="9"/>
  </r>
  <r>
    <s v="Monika Vakati"/>
    <s v="Prathyusha Mangalampalli"/>
    <s v="Akshata Nayak Non IT"/>
    <s v="Asmita  Saxena"/>
    <n v="2"/>
    <s v="C36231811"/>
    <x v="141"/>
    <n v="42000"/>
    <n v="7000"/>
    <s v="Accenture-voice"/>
    <n v="5"/>
    <x v="0"/>
    <x v="9"/>
  </r>
  <r>
    <s v="Gouri Priya"/>
    <s v="Pradeep P"/>
    <s v="Akshata Nayak Non IT"/>
    <s v="Kadam Payal Vilas"/>
    <n v="1"/>
    <s v="C36231933"/>
    <x v="144"/>
    <n v="45517.5"/>
    <n v="6351.5"/>
    <s v="UHG"/>
    <n v="5"/>
    <x v="0"/>
    <x v="1"/>
  </r>
  <r>
    <s v="Kamlesh A"/>
    <s v="Menaka Prasad"/>
    <s v="karan lalchandani"/>
    <s v="A Senthil Kumar"/>
    <n v="2"/>
    <s v="C36232080"/>
    <x v="108"/>
    <n v="212100"/>
    <n v="28767"/>
    <s v="Socgen"/>
    <n v="5"/>
    <x v="6"/>
    <x v="2"/>
  </r>
  <r>
    <s v="Prateek A"/>
    <s v="Mehr Hashim D"/>
    <s v="Mehr Hashim"/>
    <s v="Girish  G"/>
    <n v="4"/>
    <s v="O36230086"/>
    <x v="140"/>
    <n v="265000"/>
    <n v="73334"/>
    <s v="SONY Software Development Centre"/>
    <n v="5"/>
    <x v="5"/>
    <x v="10"/>
  </r>
  <r>
    <s v="Girish Naidu"/>
    <s v="Dummy Record Lead"/>
    <s v="Akshata Nayak"/>
    <s v="Pooja Jadhav"/>
    <n v="1"/>
    <s v="C36231929"/>
    <x v="133"/>
    <n v="26775"/>
    <n v="6775"/>
    <s v="UHG(BCI &amp; SS)"/>
    <n v="6"/>
    <x v="1"/>
    <x v="1"/>
  </r>
  <r>
    <s v="Sindhu S R"/>
    <s v="Prathyusha Mangalampalli"/>
    <s v="Akshata Nayak Non IT"/>
    <s v="Nadipelli Saipranay"/>
    <n v="1"/>
    <s v="C36231908"/>
    <x v="117"/>
    <n v="26775"/>
    <n v="6775"/>
    <s v="UHG UNET"/>
    <n v="6"/>
    <x v="1"/>
    <x v="1"/>
  </r>
  <r>
    <s v="Soumya Kumatagi"/>
    <s v="Prathyusha Mangalampalli"/>
    <s v="Akshata Nayak Non IT"/>
    <s v="Jeevitha "/>
    <n v="2"/>
    <s v="C36231786"/>
    <x v="106"/>
    <n v="17700"/>
    <n v="2700"/>
    <s v="Accenture_BPO"/>
    <n v="6"/>
    <x v="0"/>
    <x v="9"/>
  </r>
  <r>
    <s v="santhosh B"/>
    <s v="Tara VR"/>
    <s v="Prathap Sagar"/>
    <s v="Thriveni N"/>
    <n v="2"/>
    <s v="C36231767"/>
    <x v="106"/>
    <n v="100000"/>
    <n v="15000"/>
    <s v="Accenture_IDB"/>
    <n v="6"/>
    <x v="2"/>
    <x v="3"/>
  </r>
  <r>
    <s v="Gifty Sunny"/>
    <s v="Prathyusha Mangalampalli"/>
    <s v="Akshata Nayak Non IT"/>
    <s v="Devesh Dilip Sachdev"/>
    <n v="2"/>
    <s v="C36231839"/>
    <x v="138"/>
    <n v="22420"/>
    <n v="3420"/>
    <s v="Accenture_BPO"/>
    <n v="5"/>
    <x v="0"/>
    <x v="9"/>
  </r>
  <r>
    <s v="Arpita Biswal"/>
    <s v="Anitha C"/>
    <s v="Akshata Nayak Non IT"/>
    <s v="Mikki Sharma"/>
    <n v="4"/>
    <s v="O36230091"/>
    <x v="130"/>
    <n v="1100"/>
    <n v="1034"/>
    <s v="EY"/>
    <n v="6"/>
    <x v="1"/>
    <x v="7"/>
  </r>
  <r>
    <s v="Deepthi C"/>
    <s v="Anitha C"/>
    <s v="Akshata Nayak Non IT"/>
    <s v="Ajay Kumar Thimmappa "/>
    <n v="4"/>
    <s v="O36230094"/>
    <x v="130"/>
    <n v="500"/>
    <n v="467"/>
    <s v="EY"/>
    <n v="6"/>
    <x v="1"/>
    <x v="7"/>
  </r>
  <r>
    <s v="Deepthi C"/>
    <s v="Anitha C"/>
    <s v="Akshata Nayak Non IT"/>
    <s v="Kratika Kapoor"/>
    <n v="4"/>
    <s v="O36230103"/>
    <x v="130"/>
    <n v="832"/>
    <n v="774"/>
    <s v="EY"/>
    <n v="6"/>
    <x v="1"/>
    <x v="7"/>
  </r>
  <r>
    <s v="Priya Dharshini C"/>
    <s v="Sunitha V"/>
    <s v="Akshata Nayak"/>
    <s v="Dudala Sindhuja  "/>
    <n v="1"/>
    <s v="C36231943"/>
    <x v="117"/>
    <n v="26775"/>
    <n v="6775"/>
    <s v="UHG(BCI &amp; SS)"/>
    <n v="6"/>
    <x v="1"/>
    <x v="1"/>
  </r>
  <r>
    <s v="Silpa Vukkem"/>
    <s v="Vinay Murthy"/>
    <s v="Antati Deekshith"/>
    <s v="Pothuluru Sravani "/>
    <n v="4"/>
    <s v="O36230051"/>
    <x v="90"/>
    <n v="29900"/>
    <n v="8900"/>
    <s v="Manipal Global "/>
    <n v="6"/>
    <x v="5"/>
    <x v="21"/>
  </r>
  <r>
    <s v="Mouli Roy"/>
    <s v="Prathyusha Mangalampalli"/>
    <s v="Akshata Nayak Non IT"/>
    <s v="Shivam Rajkumar Shukla"/>
    <n v="2"/>
    <s v="C36231780"/>
    <x v="140"/>
    <n v="42000"/>
    <n v="7000"/>
    <s v="Accenture-voice"/>
    <n v="5"/>
    <x v="0"/>
    <x v="9"/>
  </r>
  <r>
    <s v="Pooja K"/>
    <s v="Prathyusha Mangalampalli"/>
    <s v="Akshata Nayak Non IT"/>
    <s v="Varsha Kanayo Tikmani"/>
    <n v="2"/>
    <s v="C36231778"/>
    <x v="140"/>
    <n v="32500"/>
    <n v="7500"/>
    <s v="Accenture_BPO"/>
    <n v="5"/>
    <x v="0"/>
    <x v="9"/>
  </r>
  <r>
    <s v="Karthik Venkatesh"/>
    <s v="Priyakantha K"/>
    <s v="Prathap Sagar"/>
    <s v="Sakshi Yogendra Sharma"/>
    <n v="2"/>
    <s v="C36231776"/>
    <x v="145"/>
    <n v="37500"/>
    <n v="7500"/>
    <s v="Accenture_IDB"/>
    <n v="6"/>
    <x v="2"/>
    <x v="3"/>
  </r>
  <r>
    <s v="YenumulaÂ  Â VenkataÂ Ramireddy"/>
    <s v="Vinay Murthy"/>
    <s v="Antati Deekshith"/>
    <s v="Nandini S"/>
    <n v="4"/>
    <s v="O36230055"/>
    <x v="90"/>
    <n v="29900"/>
    <n v="5900"/>
    <s v="Manipal Global "/>
    <n v="6"/>
    <x v="5"/>
    <x v="21"/>
  </r>
  <r>
    <s v="Mouli Roy"/>
    <s v="Prathyusha Mangalampalli"/>
    <s v="Akshata Nayak Non IT"/>
    <s v="Akash Tukaram Mane"/>
    <n v="1"/>
    <s v="C36231781"/>
    <x v="140"/>
    <n v="42000"/>
    <n v="7000"/>
    <s v="Accenture-voice"/>
    <n v="5"/>
    <x v="0"/>
    <x v="9"/>
  </r>
  <r>
    <s v="Hussain Saheb P"/>
    <s v="Shoeb Ahmed"/>
    <s v="Antati Deekshith"/>
    <s v="Yashas Bs"/>
    <n v="4"/>
    <s v="O36230052"/>
    <x v="90"/>
    <n v="27300"/>
    <n v="7300"/>
    <s v="Manipal Global "/>
    <n v="6"/>
    <x v="5"/>
    <x v="21"/>
  </r>
  <r>
    <s v="Karthik C"/>
    <s v="Fazila K"/>
    <s v="Prathap Sagar"/>
    <s v="Usha Raja"/>
    <n v="2"/>
    <s v="C36231800"/>
    <x v="138"/>
    <n v="145950"/>
    <n v="4284"/>
    <s v="Infosys"/>
    <n v="5"/>
    <x v="2"/>
    <x v="3"/>
  </r>
  <r>
    <s v="Priya Dharshini C"/>
    <s v="Sunitha V"/>
    <s v="Akshata Nayak"/>
    <s v="Mamidi  Venkatesh"/>
    <n v="1"/>
    <s v="C36231909"/>
    <x v="117"/>
    <n v="26775"/>
    <n v="6775"/>
    <s v="UHG(BCI &amp; SS)"/>
    <n v="6"/>
    <x v="1"/>
    <x v="1"/>
  </r>
  <r>
    <s v="Gouri Priya"/>
    <s v="Pradeep P"/>
    <s v="Akshata Nayak Non IT"/>
    <s v="Gujjari Siddhartha"/>
    <n v="1"/>
    <s v="C36231910"/>
    <x v="117"/>
    <n v="26775"/>
    <n v="6775"/>
    <s v="UHG(BCI &amp; SS)"/>
    <n v="5"/>
    <x v="1"/>
    <x v="1"/>
  </r>
  <r>
    <s v="Hemanth SM"/>
    <s v="Priyakantha K"/>
    <s v="Prathap Sagar"/>
    <s v="Huzaif Aryan"/>
    <n v="2"/>
    <s v="C36231808"/>
    <x v="138"/>
    <n v="36000"/>
    <n v="6834"/>
    <s v="Accenture_IDB"/>
    <n v="6"/>
    <x v="2"/>
    <x v="3"/>
  </r>
  <r>
    <s v="Javeed Khan"/>
    <s v="Prathyusha Mangalampalli"/>
    <s v="Akshata Nayak Non IT"/>
    <s v="Umar Manvar Siddiki"/>
    <n v="2"/>
    <s v="C36231815"/>
    <x v="138"/>
    <n v="22420"/>
    <n v="3420"/>
    <s v="Accenture_BPO"/>
    <n v="5"/>
    <x v="0"/>
    <x v="9"/>
  </r>
  <r>
    <s v="sumran Mattoo"/>
    <s v="Mehr Hashim D"/>
    <s v="Mehr Hashim"/>
    <s v="Archana  Priyadarshini"/>
    <n v="2"/>
    <s v="C36231801"/>
    <x v="146"/>
    <n v="98332.08"/>
    <n v="14999.08"/>
    <s v="Pure Storage"/>
    <n v="5"/>
    <x v="5"/>
    <x v="10"/>
  </r>
  <r>
    <s v="Vaishnavi G"/>
    <s v="Shoeb Ahmed"/>
    <s v="Antati Deekshith"/>
    <s v="Prerna N"/>
    <n v="4"/>
    <s v="O36230044"/>
    <x v="90"/>
    <n v="29025"/>
    <n v="7025"/>
    <s v="Manipal Global "/>
    <n v="6"/>
    <x v="5"/>
    <x v="21"/>
  </r>
  <r>
    <s v="Mehraj N"/>
    <s v="Prathyusha Mangalampalli"/>
    <s v="Akshata Nayak Non IT"/>
    <s v="Tehniyat Ara M Momin"/>
    <n v="2"/>
    <s v="C36231802"/>
    <x v="134"/>
    <n v="48000"/>
    <n v="8000"/>
    <s v="Accenture-voice"/>
    <n v="6"/>
    <x v="0"/>
    <x v="9"/>
  </r>
  <r>
    <s v="Anusha BJ"/>
    <s v="Tara VR"/>
    <s v="Prathap Sagar"/>
    <s v="Darshan G S"/>
    <n v="2"/>
    <s v="C36231812"/>
    <x v="133"/>
    <n v="58800"/>
    <n v="13800"/>
    <s v="Koch Industries"/>
    <n v="6"/>
    <x v="2"/>
    <x v="2"/>
  </r>
  <r>
    <s v="Sai Manish"/>
    <s v="Pradeep P"/>
    <s v="Akshata Nayak Non IT"/>
    <s v="Dubba Swathi "/>
    <n v="1"/>
    <s v="C36231911"/>
    <x v="117"/>
    <n v="26775"/>
    <n v="6775"/>
    <s v="UHG(BCI &amp; SS)"/>
    <n v="6"/>
    <x v="1"/>
    <x v="1"/>
  </r>
  <r>
    <s v="Mehraj N"/>
    <s v="Prathyusha Mangalampalli"/>
    <s v="Akshata Nayak Non IT"/>
    <s v="Priya AshokKumar"/>
    <n v="2"/>
    <s v="C36231820"/>
    <x v="147"/>
    <n v="17700"/>
    <n v="2700"/>
    <s v="Accenture_BPO"/>
    <n v="6"/>
    <x v="0"/>
    <x v="9"/>
  </r>
  <r>
    <s v="Mehraj N"/>
    <s v="Prathyusha Mangalampalli"/>
    <s v="Akshata Nayak Non IT"/>
    <s v="Vanitha M U"/>
    <n v="2"/>
    <s v="C36231821"/>
    <x v="147"/>
    <n v="17700"/>
    <n v="2700"/>
    <s v="Accenture_BPO"/>
    <n v="6"/>
    <x v="0"/>
    <x v="9"/>
  </r>
  <r>
    <s v="Ashwini Vishwakarma"/>
    <s v="Dummy Record Lead"/>
    <s v="Poornachandra V"/>
    <s v="Aadya Sharma"/>
    <n v="4"/>
    <s v="O36230115"/>
    <x v="55"/>
    <n v="800"/>
    <n v="747"/>
    <s v="EY"/>
    <n v="6"/>
    <x v="1"/>
    <x v="7"/>
  </r>
  <r>
    <s v="Mehraj N"/>
    <s v="Prathyusha Mangalampalli"/>
    <s v="Akshata Nayak Non IT"/>
    <s v="A Charan Abishek"/>
    <n v="2"/>
    <s v="C36231818"/>
    <x v="148"/>
    <n v="48000"/>
    <n v="8000"/>
    <s v="Accenture-voice"/>
    <n v="5"/>
    <x v="0"/>
    <x v="9"/>
  </r>
  <r>
    <s v="Sheetal B"/>
    <s v="Tamil C"/>
    <s v="Akshata Nayak"/>
    <s v="Rohit Raj"/>
    <n v="1"/>
    <s v="C36231795"/>
    <x v="134"/>
    <n v="338916.26"/>
    <n v="38916.26"/>
    <s v="DXC"/>
    <n v="5"/>
    <x v="1"/>
    <x v="6"/>
  </r>
  <r>
    <s v="Kritika Verma"/>
    <s v="Dummy Record Lead"/>
    <s v="Poornachandra V"/>
    <s v=" Thanggoulen Kipgen"/>
    <n v="4"/>
    <s v="O36230119"/>
    <x v="149"/>
    <n v="500"/>
    <n v="467"/>
    <s v="EY"/>
    <n v="6"/>
    <x v="1"/>
    <x v="7"/>
  </r>
  <r>
    <s v="Vaishnavi G"/>
    <s v="Shoeb Ahmed"/>
    <s v="Antati Deekshith"/>
    <s v="Sharadha V"/>
    <n v="4"/>
    <s v="O36230056"/>
    <x v="90"/>
    <n v="28350"/>
    <n v="7350"/>
    <s v="Manipal Global "/>
    <n v="6"/>
    <x v="5"/>
    <x v="21"/>
  </r>
  <r>
    <s v="Priya b"/>
    <s v="Prathyusha Mangalampalli"/>
    <s v="Akshata Nayak Non IT"/>
    <s v="Hemalatha M"/>
    <n v="2"/>
    <s v="C36231804"/>
    <x v="134"/>
    <n v="29500"/>
    <n v="4500"/>
    <s v="Accenture_BPO"/>
    <n v="5"/>
    <x v="0"/>
    <x v="9"/>
  </r>
  <r>
    <s v="Priya Dharshini C"/>
    <s v="Sunitha V"/>
    <s v="Akshata Nayak"/>
    <s v="BANGARI ALEKHYA"/>
    <n v="1"/>
    <s v="C36231912"/>
    <x v="117"/>
    <n v="26775"/>
    <n v="6775"/>
    <s v="UHG(BCI &amp; SS)"/>
    <n v="6"/>
    <x v="1"/>
    <x v="1"/>
  </r>
  <r>
    <s v="Priya Dharshini C"/>
    <s v="Sunitha V"/>
    <s v="Akshata Nayak"/>
    <s v="J Nithisha "/>
    <n v="1"/>
    <s v="C36231913"/>
    <x v="117"/>
    <n v="26775"/>
    <n v="6775"/>
    <s v="UHG(BCI &amp; SS)"/>
    <n v="6"/>
    <x v="1"/>
    <x v="1"/>
  </r>
  <r>
    <s v="Chaitra BR"/>
    <s v="Fazila K"/>
    <s v="Prathap Sagar"/>
    <s v="Sujitha "/>
    <n v="2"/>
    <s v="C36232044"/>
    <x v="150"/>
    <n v="151200"/>
    <n v="34534"/>
    <s v="Infosys"/>
    <n v="5"/>
    <x v="2"/>
    <x v="3"/>
  </r>
  <r>
    <s v="Sai Vineeth"/>
    <s v="Pradeep P"/>
    <s v="Akshata Nayak Non IT"/>
    <s v="Bollampelli krishna kumar"/>
    <n v="1"/>
    <s v="C36231969"/>
    <x v="117"/>
    <n v="26775"/>
    <n v="6775"/>
    <s v="UHG(BCI &amp; SS)"/>
    <n v="6"/>
    <x v="1"/>
    <x v="1"/>
  </r>
  <r>
    <s v="Sai Manish"/>
    <s v="Pradeep P"/>
    <s v="Akshata Nayak Non IT"/>
    <s v="Himanshu "/>
    <n v="1"/>
    <s v="C36231934"/>
    <x v="144"/>
    <n v="45517"/>
    <n v="6350.33"/>
    <s v="UHG"/>
    <n v="6"/>
    <x v="0"/>
    <x v="1"/>
  </r>
  <r>
    <s v="Pooja K"/>
    <s v="Prathyusha Mangalampalli"/>
    <s v="Akshata Nayak Non IT"/>
    <s v="Bhushan Ganesh Watole"/>
    <n v="2"/>
    <s v="C36231803"/>
    <x v="134"/>
    <n v="22420"/>
    <n v="3420"/>
    <s v="Accenture_BPO"/>
    <n v="5"/>
    <x v="0"/>
    <x v="9"/>
  </r>
  <r>
    <s v="Sharad Kiran"/>
    <s v="Prathyusha Mangalampalli"/>
    <s v="Akshata Nayak Non IT"/>
    <s v="S Suraj Vinay Kumar"/>
    <n v="2"/>
    <s v="C36231970"/>
    <x v="148"/>
    <n v="32500"/>
    <n v="7500"/>
    <s v="Accenture-voice"/>
    <n v="5"/>
    <x v="0"/>
    <x v="9"/>
  </r>
  <r>
    <s v="Sharad Kiran"/>
    <s v="Prathyusha Mangalampalli"/>
    <s v="Akshata Nayak Non IT"/>
    <s v="Maria Deep Abhilasha A"/>
    <n v="2"/>
    <s v="C36231914"/>
    <x v="117"/>
    <n v="48000"/>
    <n v="8000"/>
    <s v="Accenture-voice"/>
    <n v="6"/>
    <x v="0"/>
    <x v="9"/>
  </r>
  <r>
    <s v="T Manoj Kumar"/>
    <s v="Shoeb Ahmed"/>
    <s v="Shoeb  Ahmed"/>
    <s v="Bandaru Sushmitha  "/>
    <n v="4"/>
    <s v="O36230106"/>
    <x v="138"/>
    <n v="800"/>
    <n v="745"/>
    <s v="EY_Support"/>
    <n v="6"/>
    <x v="8"/>
    <x v="7"/>
  </r>
  <r>
    <s v="Antati Deekshith"/>
    <s v="Raghuramaiah K"/>
    <s v="Antati Deekshith"/>
    <s v="Sangram Das"/>
    <n v="4"/>
    <s v="O36230059"/>
    <x v="83"/>
    <n v="27000"/>
    <n v="7000"/>
    <s v="Manipal Global "/>
    <n v="6"/>
    <x v="5"/>
    <x v="21"/>
  </r>
  <r>
    <s v="Athriya Shet"/>
    <s v="Suman S"/>
    <s v="Prathap Sagar"/>
    <s v="Giridhar J D "/>
    <n v="2"/>
    <s v="C36231822"/>
    <x v="147"/>
    <n v="160000"/>
    <n v="26667"/>
    <s v="Accenture_IDB"/>
    <n v="6"/>
    <x v="2"/>
    <x v="3"/>
  </r>
  <r>
    <s v="Pradeep S"/>
    <s v="Monisha RR"/>
    <s v="Akshata Nayak Non IT"/>
    <s v="Ramya N"/>
    <n v="2"/>
    <s v="C36231819"/>
    <x v="148"/>
    <n v="48000"/>
    <n v="8000"/>
    <s v="Accenture-voice"/>
    <n v="5"/>
    <x v="0"/>
    <x v="9"/>
  </r>
  <r>
    <s v="Saravana BA"/>
    <s v="Mehr Hashim D"/>
    <s v="Mehr Hashim"/>
    <s v="Abhijay Pal  "/>
    <n v="2"/>
    <s v="C36231850"/>
    <x v="103"/>
    <n v="535162.54"/>
    <n v="126829.54"/>
    <s v="Google"/>
    <n v="5"/>
    <x v="5"/>
    <x v="10"/>
  </r>
  <r>
    <s v="Deepthi C"/>
    <s v="Anitha C"/>
    <s v="Akshata Nayak Non IT"/>
    <s v="Aakash Chaturvedi"/>
    <n v="2"/>
    <s v="C36231882"/>
    <x v="103"/>
    <n v="110000"/>
    <n v="33000"/>
    <s v="Fluence Energy"/>
    <n v="5"/>
    <x v="1"/>
    <x v="12"/>
  </r>
  <r>
    <s v="Jyothi HM"/>
    <s v="Suman S"/>
    <s v="Prathap Sagar"/>
    <s v=" Gurajapu Aravind Swamy  "/>
    <n v="2"/>
    <s v="C36231926"/>
    <x v="148"/>
    <n v="130000"/>
    <n v="46667"/>
    <s v="Accenture_IDB"/>
    <n v="5"/>
    <x v="2"/>
    <x v="3"/>
  </r>
  <r>
    <s v="Arpita Biswal"/>
    <s v="Anitha C"/>
    <s v="Akshata Nayak Non IT"/>
    <s v="S Sharmila"/>
    <n v="2"/>
    <s v="C36231893"/>
    <x v="55"/>
    <n v="39530"/>
    <n v="6030"/>
    <s v="Accenture_BPO"/>
    <n v="5"/>
    <x v="0"/>
    <x v="9"/>
  </r>
  <r>
    <s v="Arpita Biswal"/>
    <s v="Anitha C"/>
    <s v="Akshata Nayak Non IT"/>
    <s v="Sola Rambabu "/>
    <n v="1"/>
    <s v="C36231825"/>
    <x v="117"/>
    <n v="26775"/>
    <n v="6775"/>
    <s v="UHG(BCI &amp; SS)"/>
    <n v="6"/>
    <x v="1"/>
    <x v="1"/>
  </r>
  <r>
    <s v="Deepthi C"/>
    <s v="Anitha C"/>
    <s v="Akshata Nayak Non IT"/>
    <s v="Syeda Sakina Fatima "/>
    <n v="1"/>
    <s v="C36231826"/>
    <x v="117"/>
    <n v="26775"/>
    <n v="6775"/>
    <s v="UHG(BCI &amp; SS)"/>
    <n v="5"/>
    <x v="1"/>
    <x v="1"/>
  </r>
  <r>
    <s v="Deepthi C"/>
    <s v="Anitha C"/>
    <s v="Akshata Nayak Non IT"/>
    <s v="Thurpathi Prabhakar  "/>
    <n v="1"/>
    <s v="C36231827"/>
    <x v="117"/>
    <n v="26775"/>
    <n v="6775"/>
    <s v="UHG(BCI &amp; SS)"/>
    <n v="6"/>
    <x v="1"/>
    <x v="1"/>
  </r>
  <r>
    <s v="Sai Vineeth"/>
    <s v="Pradeep P"/>
    <s v="Akshata Nayak Non IT"/>
    <s v="Mohammad Muneerah Anjum"/>
    <n v="1"/>
    <s v="C36231915"/>
    <x v="117"/>
    <n v="26775"/>
    <n v="6775"/>
    <s v="UHG(BCI &amp; SS)"/>
    <n v="5"/>
    <x v="1"/>
    <x v="1"/>
  </r>
  <r>
    <s v="Manjunath R"/>
    <s v="Mehr Hashim D"/>
    <s v="Mehr Hashim"/>
    <s v="Chethana R N"/>
    <n v="1"/>
    <s v="C36231871"/>
    <x v="117"/>
    <n v="436800"/>
    <n v="107634"/>
    <s v="GE Healthcare Global Private Limited."/>
    <n v="6"/>
    <x v="5"/>
    <x v="10"/>
  </r>
  <r>
    <s v="Mehraj N"/>
    <s v="Prathyusha Mangalampalli"/>
    <s v="Akshata Nayak Non IT"/>
    <s v="Rahul Ashok Vishwakarma"/>
    <n v="2"/>
    <s v="C36231844"/>
    <x v="55"/>
    <n v="21889"/>
    <n v="3339"/>
    <s v="Accenture_BPO"/>
    <n v="5"/>
    <x v="0"/>
    <x v="9"/>
  </r>
  <r>
    <s v="Mouli Roy"/>
    <s v="Prathyusha Mangalampalli"/>
    <s v="Akshata Nayak Non IT"/>
    <s v="Adapa Pravalika"/>
    <n v="1"/>
    <s v="C36231916"/>
    <x v="117"/>
    <n v="26775"/>
    <n v="6775"/>
    <s v="UHG UNET"/>
    <n v="6"/>
    <x v="1"/>
    <x v="1"/>
  </r>
  <r>
    <s v="Kritika Verma"/>
    <s v="Dummy Record Lead"/>
    <s v="Poornachandra V"/>
    <s v="Shivkumar P"/>
    <n v="1"/>
    <s v="C36231974"/>
    <x v="110"/>
    <n v="67200"/>
    <n v="8867"/>
    <s v="Socgen"/>
    <n v="5"/>
    <x v="6"/>
    <x v="2"/>
  </r>
  <r>
    <s v="Chaitra BR"/>
    <s v="Fazila K"/>
    <s v="Prathap Sagar"/>
    <s v="Anurag Mishra"/>
    <n v="7"/>
    <s v="C36231816"/>
    <x v="117"/>
    <n v="93046.8"/>
    <n v="4006.8"/>
    <s v="ZTE_payroll"/>
    <n v="5"/>
    <x v="2"/>
    <x v="3"/>
  </r>
  <r>
    <s v="Deepthi C"/>
    <s v="Anitha C"/>
    <s v="Akshata Nayak Non IT"/>
    <s v="Parsineni Venkata Bala Ranganayakulu "/>
    <n v="1"/>
    <s v="C36231917"/>
    <x v="117"/>
    <n v="26775"/>
    <n v="6775"/>
    <s v="UHG(BCI &amp; SS)"/>
    <n v="6"/>
    <x v="1"/>
    <x v="1"/>
  </r>
  <r>
    <s v="Javeed Khan"/>
    <s v="Prathyusha Mangalampalli"/>
    <s v="Akshata Nayak Non IT"/>
    <s v="Manish Umesh Shetty"/>
    <n v="2"/>
    <s v="C36231842"/>
    <x v="151"/>
    <n v="22420"/>
    <n v="3420"/>
    <s v="Accenture_BPO"/>
    <n v="5"/>
    <x v="0"/>
    <x v="9"/>
  </r>
  <r>
    <s v="Javeed Khan"/>
    <s v="Prathyusha Mangalampalli"/>
    <s v="Akshata Nayak Non IT"/>
    <s v="Noami Peter Picardo "/>
    <n v="2"/>
    <s v="C36231857"/>
    <x v="151"/>
    <n v="32500"/>
    <n v="7500"/>
    <s v="Accenture_BPO"/>
    <n v="5"/>
    <x v="0"/>
    <x v="9"/>
  </r>
  <r>
    <s v="Gouri Priya"/>
    <s v="Pradeep P"/>
    <s v="Akshata Nayak Non IT"/>
    <s v="Passi Gangothri"/>
    <n v="1"/>
    <s v="C36231955"/>
    <x v="144"/>
    <n v="26775"/>
    <n v="6775"/>
    <s v="UHG(BCI &amp; SS)"/>
    <n v="6"/>
    <x v="1"/>
    <x v="1"/>
  </r>
  <r>
    <s v="Gouri Priya"/>
    <s v="Pradeep P"/>
    <s v="Akshata Nayak Non IT"/>
    <s v="Kanakam Haritha "/>
    <n v="1"/>
    <s v="C36231918"/>
    <x v="117"/>
    <n v="26775"/>
    <n v="6775"/>
    <s v="UHG(BCI &amp; SS)"/>
    <n v="6"/>
    <x v="1"/>
    <x v="1"/>
  </r>
  <r>
    <s v="Gouri Priya"/>
    <s v="Pradeep P"/>
    <s v="Akshata Nayak Non IT"/>
    <s v="Mohd Gulam Osmani"/>
    <n v="1"/>
    <s v="C36231944"/>
    <x v="117"/>
    <n v="26775"/>
    <n v="6775"/>
    <s v="UHG(BCI &amp; SS)"/>
    <n v="6"/>
    <x v="1"/>
    <x v="1"/>
  </r>
  <r>
    <s v="Gouri Priya"/>
    <s v="Pradeep P"/>
    <s v="Akshata Nayak Non IT"/>
    <s v="Arelli Sravani"/>
    <n v="1"/>
    <s v="C36231958"/>
    <x v="117"/>
    <n v="26775"/>
    <n v="6775"/>
    <s v="UHG(BCI &amp; SS)"/>
    <n v="6"/>
    <x v="1"/>
    <x v="1"/>
  </r>
  <r>
    <s v="Gouri Priya"/>
    <s v="Pradeep P"/>
    <s v="Akshata Nayak Non IT"/>
    <s v="Mohammad Farooq Baba"/>
    <n v="1"/>
    <s v="C36231836"/>
    <x v="117"/>
    <n v="26775"/>
    <n v="6775"/>
    <s v="UHG(BCI &amp; SS)"/>
    <n v="6"/>
    <x v="1"/>
    <x v="1"/>
  </r>
  <r>
    <s v="Bindushree R"/>
    <s v="Prathyusha Mangalampalli"/>
    <s v="Akshata Nayak Non IT"/>
    <s v="Mohammed  Younus"/>
    <n v="1"/>
    <s v="C36231986"/>
    <x v="144"/>
    <n v="26775"/>
    <n v="6775"/>
    <s v="UHG(BCI &amp; SS)"/>
    <n v="6"/>
    <x v="1"/>
    <x v="1"/>
  </r>
  <r>
    <s v="Vaishnavi G"/>
    <s v="Shoeb Ahmed"/>
    <s v="Antati Deekshith"/>
    <s v="Vinutha "/>
    <n v="4"/>
    <s v="O36230054"/>
    <x v="91"/>
    <n v="29700"/>
    <n v="7700"/>
    <s v="Manipal Global "/>
    <n v="6"/>
    <x v="5"/>
    <x v="21"/>
  </r>
  <r>
    <s v="Debdutta  M"/>
    <s v="Mehr Hashim D"/>
    <s v="Mehr Hashim"/>
    <s v="Poushali Ghose"/>
    <n v="2"/>
    <s v="C36231852"/>
    <x v="103"/>
    <n v="192000"/>
    <n v="50334"/>
    <s v="SONY Software Development Centre"/>
    <n v="5"/>
    <x v="5"/>
    <x v="10"/>
  </r>
  <r>
    <s v="Poorvi Kundur"/>
    <s v="Monisha RR"/>
    <s v="Akshata Nayak Non IT"/>
    <s v="Koustav Mondal"/>
    <n v="6"/>
    <s v="C36231896"/>
    <x v="147"/>
    <n v="34375"/>
    <n v="6875"/>
    <s v="HP"/>
    <n v="5"/>
    <x v="0"/>
    <x v="0"/>
  </r>
  <r>
    <s v="Bhargavi T R"/>
    <s v="Monisha RR"/>
    <s v="Akshata Nayak Non IT"/>
    <s v="Pradeep Guna G"/>
    <n v="6"/>
    <s v="C36231846"/>
    <x v="147"/>
    <n v="34375"/>
    <n v="6875"/>
    <s v="HP"/>
    <n v="6"/>
    <x v="0"/>
    <x v="0"/>
  </r>
  <r>
    <s v="Pradeep S"/>
    <s v="Monisha RR"/>
    <s v="Akshata Nayak Non IT"/>
    <s v="Sneha V"/>
    <n v="6"/>
    <s v="C36231863"/>
    <x v="147"/>
    <n v="34375"/>
    <n v="6875"/>
    <s v="HP"/>
    <n v="5"/>
    <x v="0"/>
    <x v="0"/>
  </r>
  <r>
    <s v="Poorvi Kundur"/>
    <s v="Monisha RR"/>
    <s v="Akshata Nayak Non IT"/>
    <s v="Tirumalesh C Prajwal"/>
    <n v="6"/>
    <s v="C36231832"/>
    <x v="147"/>
    <n v="34375"/>
    <n v="6875"/>
    <s v="HP"/>
    <n v="5"/>
    <x v="0"/>
    <x v="0"/>
  </r>
  <r>
    <s v="Arpita Biswal"/>
    <s v="Anitha C"/>
    <s v="Akshata Nayak Non IT"/>
    <s v="G Renuka Shree"/>
    <n v="1"/>
    <s v="C36231872"/>
    <x v="117"/>
    <n v="26775"/>
    <n v="6775"/>
    <s v="UHG(BCI &amp; SS)"/>
    <n v="6"/>
    <x v="1"/>
    <x v="1"/>
  </r>
  <r>
    <s v="Arpita Biswal"/>
    <s v="Anitha C"/>
    <s v="Akshata Nayak Non IT"/>
    <s v="Tallapally Nandini"/>
    <n v="1"/>
    <s v="C36231873"/>
    <x v="117"/>
    <n v="26775"/>
    <n v="6775"/>
    <s v="UHG(BCI &amp; SS)"/>
    <n v="5"/>
    <x v="1"/>
    <x v="1"/>
  </r>
  <r>
    <s v="Narendra Kumar Debariki"/>
    <s v="Pradeep P"/>
    <s v="Akshata Nayak Non IT"/>
    <s v="Kadari  Madhu"/>
    <n v="1"/>
    <s v="C36231919"/>
    <x v="117"/>
    <n v="26775"/>
    <n v="6775"/>
    <s v="UHG(BCI &amp; SS)"/>
    <n v="6"/>
    <x v="1"/>
    <x v="1"/>
  </r>
  <r>
    <s v="Sanu S"/>
    <s v="Priyakantha K"/>
    <s v="Prathap Sagar"/>
    <s v=" Daddanala Lavanya"/>
    <n v="2"/>
    <s v="C36231984"/>
    <x v="152"/>
    <n v="135000"/>
    <n v="10000"/>
    <s v="Accenture_IDB"/>
    <n v="5"/>
    <x v="2"/>
    <x v="3"/>
  </r>
  <r>
    <s v="Narendra Kumar Debariki"/>
    <s v="Pradeep P"/>
    <s v="Akshata Nayak Non IT"/>
    <s v="Pannala  Pranitha"/>
    <n v="1"/>
    <s v="C36231920"/>
    <x v="117"/>
    <n v="26775"/>
    <n v="6775"/>
    <s v="UHG(BCI &amp; SS)"/>
    <n v="6"/>
    <x v="1"/>
    <x v="1"/>
  </r>
  <r>
    <s v="Bindushree R"/>
    <s v="Prathyusha Mangalampalli"/>
    <s v="Akshata Nayak Non IT"/>
    <s v="Akarsh Somasundaran Nair "/>
    <n v="2"/>
    <s v="C36231858"/>
    <x v="151"/>
    <n v="21889"/>
    <n v="3339"/>
    <s v="Accenture_BPO"/>
    <n v="5"/>
    <x v="0"/>
    <x v="9"/>
  </r>
  <r>
    <s v="Bindushree R"/>
    <s v="Prathyusha Mangalampalli"/>
    <s v="Akshata Nayak Non IT"/>
    <s v="Pratik Laxman Ninawe"/>
    <n v="2"/>
    <s v="C36231853"/>
    <x v="103"/>
    <n v="21889"/>
    <n v="3339"/>
    <s v="Accenture_BPO"/>
    <n v="5"/>
    <x v="0"/>
    <x v="9"/>
  </r>
  <r>
    <s v="Bindushree R"/>
    <s v="Prathyusha Mangalampalli"/>
    <s v="Akshata Nayak Non IT"/>
    <s v="Aishwarya Ravi  Moghe"/>
    <n v="2"/>
    <s v="C36231861"/>
    <x v="55"/>
    <n v="21889"/>
    <n v="3339"/>
    <s v="Accenture_BPO"/>
    <n v="5"/>
    <x v="0"/>
    <x v="9"/>
  </r>
  <r>
    <s v="Mehraj N"/>
    <s v="Prathyusha Mangalampalli"/>
    <s v="Akshata Nayak Non IT"/>
    <s v="Aditya Prakash Parmeshware"/>
    <n v="2"/>
    <s v="C36231845"/>
    <x v="55"/>
    <n v="22420"/>
    <n v="3420"/>
    <s v="Accenture_BPO"/>
    <n v="6"/>
    <x v="0"/>
    <x v="9"/>
  </r>
  <r>
    <s v="Maheshwari K S"/>
    <s v="Monisha RR"/>
    <s v="Akshata Nayak Non IT"/>
    <s v="Aaushi Singh"/>
    <n v="6"/>
    <s v="C36231957"/>
    <x v="147"/>
    <n v="34375"/>
    <n v="6875"/>
    <s v="HP"/>
    <n v="5"/>
    <x v="0"/>
    <x v="0"/>
  </r>
  <r>
    <s v="Arpita Biswal"/>
    <s v="Anitha C"/>
    <s v="Akshata Nayak Non IT"/>
    <s v="Vishnu S Pillai"/>
    <n v="1"/>
    <s v="C36231878"/>
    <x v="144"/>
    <n v="52500"/>
    <n v="15000"/>
    <s v="Soc gen Ops "/>
    <n v="6"/>
    <x v="4"/>
    <x v="2"/>
  </r>
  <r>
    <s v="Arpita Biswal"/>
    <s v="Anitha C"/>
    <s v="Akshata Nayak Non IT"/>
    <s v="Muzamil Bhasha Abdul Rehman Sab Doddamani"/>
    <n v="2"/>
    <s v="C36231883"/>
    <x v="103"/>
    <n v="53100"/>
    <n v="8100"/>
    <s v="Accenture_BPO"/>
    <n v="5"/>
    <x v="0"/>
    <x v="9"/>
  </r>
  <r>
    <s v="Sindhu S R"/>
    <s v="Prathyusha Mangalampalli"/>
    <s v="Akshata Nayak Non IT"/>
    <s v="Meka Amulya"/>
    <n v="1"/>
    <s v="C36231921"/>
    <x v="117"/>
    <n v="26775"/>
    <n v="6775"/>
    <s v="UHG UNET"/>
    <n v="5"/>
    <x v="1"/>
    <x v="1"/>
  </r>
  <r>
    <s v="Pradeep S"/>
    <s v="Monisha RR"/>
    <s v="Akshata Nayak Non IT"/>
    <s v="Greeshma Lokesh B"/>
    <n v="6"/>
    <s v="C36231897"/>
    <x v="147"/>
    <n v="50000"/>
    <n v="8334"/>
    <s v="HP"/>
    <n v="6"/>
    <x v="0"/>
    <x v="0"/>
  </r>
  <r>
    <s v="Karthik Venkatesh"/>
    <s v="Priyakantha K"/>
    <s v="Prathap Sagar"/>
    <s v="Pratiksha K  Poojary"/>
    <n v="2"/>
    <s v="C36232000"/>
    <x v="153"/>
    <n v="37000"/>
    <n v="7000"/>
    <s v="Accenture_IDB"/>
    <n v="5"/>
    <x v="2"/>
    <x v="3"/>
  </r>
  <r>
    <s v="Sireesha K"/>
    <s v="Prathyusha Mangalampalli"/>
    <s v="Akshata Nayak Non IT"/>
    <s v="Antharam Priyanka Reddy"/>
    <n v="1"/>
    <s v="C36231947"/>
    <x v="117"/>
    <n v="26775"/>
    <n v="6775"/>
    <s v="UHG UNET"/>
    <n v="6"/>
    <x v="1"/>
    <x v="1"/>
  </r>
  <r>
    <s v="Sai Manish"/>
    <s v="Pradeep P"/>
    <s v="Akshata Nayak Non IT"/>
    <s v="Sudagani Swapna "/>
    <n v="1"/>
    <s v="C36231922"/>
    <x v="117"/>
    <n v="26775"/>
    <n v="6775"/>
    <s v="UHG(BCI &amp; SS)"/>
    <n v="6"/>
    <x v="1"/>
    <x v="1"/>
  </r>
  <r>
    <s v="Narendra Kumar Debariki"/>
    <s v="Pradeep P"/>
    <s v="Akshata Nayak Non IT"/>
    <s v="Dande Baby Srilekha "/>
    <n v="1"/>
    <s v="C36231874"/>
    <x v="117"/>
    <n v="26775"/>
    <n v="6775"/>
    <s v="UHG(BCI &amp; SS)"/>
    <n v="6"/>
    <x v="1"/>
    <x v="1"/>
  </r>
  <r>
    <s v="Lakheswari Ranjan"/>
    <s v="Sheetal B"/>
    <s v="Tamil Chelvan"/>
    <s v=" Potturi Ravindranath"/>
    <n v="1"/>
    <s v="C36231932"/>
    <x v="154"/>
    <n v="236453.2"/>
    <n v="69787.199999999997"/>
    <s v="DXC"/>
    <n v="6"/>
    <x v="1"/>
    <x v="6"/>
  </r>
  <r>
    <s v="Gifty Sunny"/>
    <s v="Prathyusha Mangalampalli"/>
    <s v="Akshata Nayak Non IT"/>
    <s v="Vanamoju Preethi "/>
    <n v="1"/>
    <s v="C36231875"/>
    <x v="117"/>
    <n v="26775"/>
    <n v="6775"/>
    <s v="UHG(BCI &amp; SS)"/>
    <n v="6"/>
    <x v="1"/>
    <x v="1"/>
  </r>
  <r>
    <s v="Narendra Kumar Debariki"/>
    <s v="Pradeep P"/>
    <s v="Akshata Nayak Non IT"/>
    <s v="Gajulavarthy Sanny"/>
    <n v="1"/>
    <s v="C36231923"/>
    <x v="117"/>
    <n v="26775"/>
    <n v="6775"/>
    <s v="UHG(BCI &amp; SS)"/>
    <n v="5"/>
    <x v="1"/>
    <x v="1"/>
  </r>
  <r>
    <s v="Ram Praveen B"/>
    <s v="Fazila K"/>
    <s v="Prathap Sagar"/>
    <s v="P Haritha"/>
    <n v="2"/>
    <s v="C36231829"/>
    <x v="55"/>
    <n v="136500"/>
    <n v="44834"/>
    <s v="Infosys"/>
    <n v="6"/>
    <x v="2"/>
    <x v="3"/>
  </r>
  <r>
    <s v="Mouli Roy"/>
    <s v="Prathyusha Mangalampalli"/>
    <s v="Akshata Nayak Non IT"/>
    <s v="Prajesh Chandrshekhar Ambekar"/>
    <n v="2"/>
    <s v="C36231939"/>
    <x v="151"/>
    <n v="22420"/>
    <n v="3420"/>
    <s v="Accenture_BPO"/>
    <n v="6"/>
    <x v="0"/>
    <x v="9"/>
  </r>
  <r>
    <s v="Mouli Roy"/>
    <s v="Prathyusha Mangalampalli"/>
    <s v="Akshata Nayak Non IT"/>
    <s v="Sachin Ramlal Shrivastav"/>
    <n v="2"/>
    <s v="C36231831"/>
    <x v="55"/>
    <n v="32500"/>
    <n v="7500"/>
    <s v="Accenture-voice"/>
    <n v="5"/>
    <x v="0"/>
    <x v="9"/>
  </r>
  <r>
    <s v="Pooja K"/>
    <s v="Prathyusha Mangalampalli"/>
    <s v="Akshata Nayak Non IT"/>
    <s v="Preeti Jawaharlal Navik"/>
    <n v="2"/>
    <s v="C36231948"/>
    <x v="55"/>
    <n v="22420"/>
    <n v="3420"/>
    <s v="Accenture_BPO"/>
    <n v="5"/>
    <x v="0"/>
    <x v="9"/>
  </r>
  <r>
    <s v="Anusha BJ"/>
    <s v="Tara VR"/>
    <s v="Prathap Sagar"/>
    <s v="Neeraj Ravi  Gundappanavar "/>
    <n v="2"/>
    <s v="C36231847"/>
    <x v="133"/>
    <n v="58800"/>
    <n v="17134"/>
    <s v="Koch Industries"/>
    <n v="5"/>
    <x v="2"/>
    <x v="2"/>
  </r>
  <r>
    <s v="Priya b"/>
    <s v="Prathyusha Mangalampalli"/>
    <s v="Akshata Nayak Non IT"/>
    <s v="Sanjana Arun Shimpi"/>
    <n v="2"/>
    <s v="C36231887"/>
    <x v="151"/>
    <n v="21889"/>
    <n v="3339"/>
    <s v="Accenture_BPO"/>
    <n v="6"/>
    <x v="0"/>
    <x v="9"/>
  </r>
  <r>
    <s v="Mouli Roy"/>
    <s v="Prathyusha Mangalampalli"/>
    <s v="Akshata Nayak Non IT"/>
    <s v="Shubham Mihir Thakur"/>
    <n v="2"/>
    <s v="C36231859"/>
    <x v="151"/>
    <n v="42000"/>
    <n v="7000"/>
    <s v="Accenture-voice"/>
    <n v="5"/>
    <x v="0"/>
    <x v="9"/>
  </r>
  <r>
    <s v="Pooja K"/>
    <s v="Prathyusha Mangalampalli"/>
    <s v="Akshata Nayak Non IT"/>
    <s v="Saurabh Sanjay Kamble"/>
    <n v="2"/>
    <s v="C36231888"/>
    <x v="151"/>
    <n v="22420"/>
    <n v="3420"/>
    <s v="Accenture_BPO"/>
    <n v="5"/>
    <x v="0"/>
    <x v="9"/>
  </r>
  <r>
    <s v="Pooja K"/>
    <s v="Prathyusha Mangalampalli"/>
    <s v="Akshata Nayak Non IT"/>
    <s v="Hira  Jina"/>
    <n v="2"/>
    <s v="C36231894"/>
    <x v="55"/>
    <n v="22420"/>
    <n v="3420"/>
    <s v="Accenture-voice"/>
    <n v="6"/>
    <x v="0"/>
    <x v="9"/>
  </r>
  <r>
    <s v="Mehraj N"/>
    <s v="Prathyusha Mangalampalli"/>
    <s v="Akshata Nayak Non IT"/>
    <s v="Rajmuthu Arun Thevar "/>
    <n v="2"/>
    <s v="C36231854"/>
    <x v="103"/>
    <n v="22420"/>
    <n v="3420"/>
    <s v="Accenture_BPO"/>
    <n v="5"/>
    <x v="0"/>
    <x v="9"/>
  </r>
  <r>
    <s v="Deepthi C"/>
    <s v="Anitha C"/>
    <s v="Akshata Nayak Non IT"/>
    <s v="AKUNOOR SHIVA PRASAD"/>
    <n v="1"/>
    <s v="C36231924"/>
    <x v="117"/>
    <n v="26775"/>
    <n v="6775"/>
    <s v="UHG(BCI &amp; SS)"/>
    <n v="6"/>
    <x v="1"/>
    <x v="1"/>
  </r>
  <r>
    <s v="Pradeep S"/>
    <s v="Monisha RR"/>
    <s v="Akshata Nayak Non IT"/>
    <s v="Vidya N"/>
    <n v="6"/>
    <s v="C36231898"/>
    <x v="147"/>
    <n v="47500"/>
    <n v="7917"/>
    <s v="HP"/>
    <n v="6"/>
    <x v="0"/>
    <x v="0"/>
  </r>
  <r>
    <s v="Sireesha K"/>
    <s v="Prathyusha Mangalampalli"/>
    <s v="Akshata Nayak Non IT"/>
    <s v="Monalisha Mishra"/>
    <n v="2"/>
    <s v="C36231889"/>
    <x v="151"/>
    <n v="40120"/>
    <n v="6120"/>
    <s v="Accenture_BPO"/>
    <n v="6"/>
    <x v="0"/>
    <x v="9"/>
  </r>
  <r>
    <s v="Monika Vakati"/>
    <s v="Prathyusha Mangalampalli"/>
    <s v="Akshata Nayak Non IT"/>
    <s v="Anushia Ganthi Ravi"/>
    <n v="2"/>
    <s v="C36231862"/>
    <x v="55"/>
    <n v="159300"/>
    <n v="24300"/>
    <s v="Accenture_BPO"/>
    <n v="5"/>
    <x v="0"/>
    <x v="9"/>
  </r>
  <r>
    <s v="Karthik V"/>
    <s v="Fazila K"/>
    <s v="Prathap Sagar"/>
    <s v="Sharath Ravindra"/>
    <n v="2"/>
    <s v="C36231830"/>
    <x v="55"/>
    <n v="151200"/>
    <n v="67867"/>
    <s v="Infosys"/>
    <n v="6"/>
    <x v="2"/>
    <x v="3"/>
  </r>
  <r>
    <s v="Bindushree R"/>
    <s v="Prathyusha Mangalampalli"/>
    <s v="Akshata Nayak Non IT"/>
    <s v="Satyam Sudhir Rai"/>
    <n v="2"/>
    <s v="C36231884"/>
    <x v="103"/>
    <n v="22420"/>
    <n v="3420"/>
    <s v="Accenture_BPO"/>
    <n v="5"/>
    <x v="0"/>
    <x v="9"/>
  </r>
  <r>
    <s v="Bindushree R"/>
    <s v="Prathyusha Mangalampalli"/>
    <s v="Akshata Nayak Non IT"/>
    <s v="Deepika Kishore Ahuja"/>
    <n v="2"/>
    <s v="C36231951"/>
    <x v="110"/>
    <n v="22420"/>
    <n v="3420"/>
    <s v="Accenture_BPO"/>
    <n v="6"/>
    <x v="0"/>
    <x v="9"/>
  </r>
  <r>
    <s v="Sireesha K"/>
    <s v="Prathyusha Mangalampalli"/>
    <s v="Akshata Nayak Non IT"/>
    <s v="Gayathri P"/>
    <n v="2"/>
    <s v="C36231899"/>
    <x v="147"/>
    <n v="35400"/>
    <n v="5400"/>
    <s v="Accenture_BPO"/>
    <n v="5"/>
    <x v="0"/>
    <x v="9"/>
  </r>
  <r>
    <s v="Saravana BA"/>
    <s v="Mehr Hashim D"/>
    <s v="Mehr Hashim"/>
    <s v="Mahima Chugh"/>
    <n v="2"/>
    <s v="C36231843"/>
    <x v="151"/>
    <n v="336000"/>
    <n v="177667"/>
    <s v="GE Healthcare Global Private Limited."/>
    <n v="5"/>
    <x v="5"/>
    <x v="10"/>
  </r>
  <r>
    <s v="Poorvi Kundur"/>
    <s v="Monisha RR"/>
    <s v="Akshata Nayak Non IT"/>
    <s v="DP Karthikeyan  "/>
    <n v="6"/>
    <s v="C36231864"/>
    <x v="147"/>
    <n v="42000"/>
    <n v="7000"/>
    <s v="HP"/>
    <n v="5"/>
    <x v="0"/>
    <x v="0"/>
  </r>
  <r>
    <s v="Narendra Kumar Debariki"/>
    <s v="Pradeep P"/>
    <s v="Akshata Nayak Non IT"/>
    <s v="Pasala  Celestain"/>
    <n v="1"/>
    <s v="C36231925"/>
    <x v="117"/>
    <n v="26775"/>
    <n v="6775"/>
    <s v="UHG(BCI &amp; SS)"/>
    <n v="6"/>
    <x v="1"/>
    <x v="1"/>
  </r>
  <r>
    <s v="Chetna Jain"/>
    <s v="Fazila K"/>
    <s v="Prathap Sagar"/>
    <s v="Nukala Tulasee Venkata Naga Phaneendra"/>
    <n v="7"/>
    <s v="C36232040"/>
    <x v="155"/>
    <n v="60860.800000000003"/>
    <n v="2620.8000000000002"/>
    <s v="ZTE_payroll"/>
    <n v="6"/>
    <x v="2"/>
    <x v="3"/>
  </r>
  <r>
    <s v="Javeed Khan"/>
    <s v="Prathyusha Mangalampalli"/>
    <s v="Akshata Nayak Non IT"/>
    <s v="Isha Sunil  Pandere "/>
    <n v="2"/>
    <s v="C36231940"/>
    <x v="55"/>
    <n v="21889"/>
    <n v="3339"/>
    <s v="Accenture_BPO"/>
    <n v="5"/>
    <x v="0"/>
    <x v="9"/>
  </r>
  <r>
    <s v="Javeed Khan"/>
    <s v="Prathyusha Mangalampalli"/>
    <s v="Akshata Nayak Non IT"/>
    <s v="Shruti Shrikant jadhav"/>
    <n v="2"/>
    <s v="C36231938"/>
    <x v="103"/>
    <n v="21889"/>
    <n v="3339"/>
    <s v="Accenture_BPO"/>
    <n v="6"/>
    <x v="0"/>
    <x v="9"/>
  </r>
  <r>
    <s v="Gopal V"/>
    <s v="Tamil C"/>
    <s v="Akshata Nayak"/>
    <s v="Awin Kumar"/>
    <n v="1"/>
    <s v="C36231935"/>
    <x v="144"/>
    <n v="275862.07"/>
    <n v="75862.070000000007"/>
    <s v="DXC"/>
    <n v="6"/>
    <x v="1"/>
    <x v="6"/>
  </r>
  <r>
    <s v="Gagan Kumar"/>
    <s v="Shashank Gowda"/>
    <s v="Prathap Sagar"/>
    <s v="Anushka  V"/>
    <n v="2"/>
    <s v="C36232045"/>
    <x v="150"/>
    <n v="135450"/>
    <n v="60450"/>
    <s v="Infosys"/>
    <n v="6"/>
    <x v="2"/>
    <x v="3"/>
  </r>
  <r>
    <s v="Vinith M"/>
    <s v="Tamil C"/>
    <s v="Akshata Nayak"/>
    <s v="Rohan Chaudhari"/>
    <n v="1"/>
    <s v="C36231997"/>
    <x v="94"/>
    <n v="334320"/>
    <n v="75987"/>
    <s v="Deloitte - Advisory"/>
    <n v="5"/>
    <x v="1"/>
    <x v="15"/>
  </r>
  <r>
    <s v="Sai Vineeth"/>
    <s v="Pradeep P"/>
    <s v="Akshata Nayak Non IT"/>
    <s v="Medari Archana"/>
    <n v="1"/>
    <s v="C36231980"/>
    <x v="117"/>
    <n v="26775"/>
    <n v="6775"/>
    <s v="UHG(BCI &amp; SS)"/>
    <n v="6"/>
    <x v="1"/>
    <x v="1"/>
  </r>
  <r>
    <s v="Bindushree R"/>
    <s v="Prathyusha Mangalampalli"/>
    <s v="Akshata Nayak Non IT"/>
    <s v="Nisha Lalchand  Rupani"/>
    <n v="2"/>
    <s v="C36231956"/>
    <x v="144"/>
    <n v="21889"/>
    <n v="3339"/>
    <s v="Accenture_BPO"/>
    <n v="5"/>
    <x v="0"/>
    <x v="9"/>
  </r>
  <r>
    <s v="Bindushree R"/>
    <s v="Prathyusha Mangalampalli"/>
    <s v="Akshata Nayak Non IT"/>
    <s v="Komatla Raju   "/>
    <n v="2"/>
    <s v="C36231885"/>
    <x v="103"/>
    <n v="29500"/>
    <n v="4500"/>
    <s v="Accenture_BPO"/>
    <n v="5"/>
    <x v="0"/>
    <x v="9"/>
  </r>
  <r>
    <s v="Deepthi C"/>
    <s v="Anitha C"/>
    <s v="Akshata Nayak Non IT"/>
    <s v="Sanjay H B "/>
    <n v="2"/>
    <s v="C36231895"/>
    <x v="55"/>
    <n v="55460"/>
    <n v="8460"/>
    <s v="Accenture_BPO"/>
    <n v="5"/>
    <x v="0"/>
    <x v="9"/>
  </r>
  <r>
    <s v="Debdutta  M"/>
    <s v="Mehr Hashim D"/>
    <s v="Mehr Hashim"/>
    <s v="Sridhar"/>
    <n v="2"/>
    <s v="C36231855"/>
    <x v="103"/>
    <n v="250000"/>
    <n v="25000"/>
    <s v="Schneider Electric"/>
    <n v="5"/>
    <x v="5"/>
    <x v="10"/>
  </r>
  <r>
    <s v="Gifty Sunny"/>
    <s v="Prathyusha Mangalampalli"/>
    <s v="Akshata Nayak Non IT"/>
    <s v="Vishal Mahesh Ratanpal"/>
    <n v="2"/>
    <s v="C36231890"/>
    <x v="151"/>
    <n v="21889"/>
    <n v="3339"/>
    <s v="Accenture_BPO"/>
    <n v="5"/>
    <x v="0"/>
    <x v="9"/>
  </r>
  <r>
    <s v="Pradeep S"/>
    <s v="Monisha RR"/>
    <s v="Akshata Nayak Non IT"/>
    <s v="Aiman Siddiqua"/>
    <n v="6"/>
    <s v="C36231966"/>
    <x v="147"/>
    <n v="34375"/>
    <n v="6875"/>
    <s v="HP"/>
    <n v="5"/>
    <x v="0"/>
    <x v="0"/>
  </r>
  <r>
    <s v="Ansh  Sharma "/>
    <s v="Kishore Kumar"/>
    <s v="Kishore Kumar S"/>
    <s v="Aman Rai"/>
    <n v="2"/>
    <s v="C36231837"/>
    <x v="117"/>
    <n v="24570"/>
    <n v="3737"/>
    <s v="Capgemini-Bangalore"/>
    <n v="6"/>
    <x v="3"/>
    <x v="4"/>
  </r>
  <r>
    <s v="Rajesh R"/>
    <s v="Kamlesh A"/>
    <s v="Menaka Prasad"/>
    <s v="Kathiresan  Thandapani"/>
    <n v="2"/>
    <s v="C36231959"/>
    <x v="110"/>
    <n v="124824"/>
    <n v="41491"/>
    <s v="IBM -Mercedes"/>
    <n v="6"/>
    <x v="1"/>
    <x v="7"/>
  </r>
  <r>
    <s v="Arpita Sangavi"/>
    <s v="Shashank Gowda"/>
    <s v="Prathap Sagar"/>
    <s v="Tushar Saini"/>
    <n v="2"/>
    <s v="C36231838"/>
    <x v="117"/>
    <n v="24570"/>
    <n v="2737"/>
    <s v="Capgemini-Bangalore"/>
    <n v="6"/>
    <x v="3"/>
    <x v="4"/>
  </r>
  <r>
    <s v="Mouli Roy"/>
    <s v="Prathyusha Mangalampalli"/>
    <s v="Akshata Nayak Non IT"/>
    <s v="Bhoir Rohit  Arun  "/>
    <n v="2"/>
    <s v="C36231860"/>
    <x v="151"/>
    <n v="38400"/>
    <n v="6400"/>
    <s v="Accenture-voice"/>
    <n v="5"/>
    <x v="0"/>
    <x v="9"/>
  </r>
  <r>
    <s v="Sutripti Mitra"/>
    <s v="Vamsi S"/>
    <s v="Mohanish Pillai"/>
    <s v="Vaibhav"/>
    <n v="2"/>
    <s v="C36231833"/>
    <x v="147"/>
    <n v="24570"/>
    <n v="4570"/>
    <s v="Capgemini-Bangalore"/>
    <n v="5"/>
    <x v="3"/>
    <x v="4"/>
  </r>
  <r>
    <s v="Monika Vakati"/>
    <s v="Prathyusha Mangalampalli"/>
    <s v="Akshata Nayak Non IT"/>
    <s v="Brunda K M"/>
    <n v="2"/>
    <s v="C36231891"/>
    <x v="151"/>
    <n v="35400"/>
    <n v="5400"/>
    <s v="Accenture_BPO"/>
    <n v="5"/>
    <x v="0"/>
    <x v="9"/>
  </r>
  <r>
    <s v="Thrupthi S"/>
    <s v="Menaka Prasad"/>
    <s v="karan lalchandani"/>
    <s v="Debi  Prasad Das"/>
    <n v="2"/>
    <s v="C36231971"/>
    <x v="149"/>
    <n v="122327.52"/>
    <n v="34827.519999999997"/>
    <s v="IBM -Mercedes"/>
    <n v="5"/>
    <x v="1"/>
    <x v="7"/>
  </r>
  <r>
    <s v="Lahari Likitha"/>
    <s v="Menaka Prasad"/>
    <s v="karan lalchandani"/>
    <s v="Sudhi Ranjan  Panigrahi"/>
    <n v="2"/>
    <s v="C36231972"/>
    <x v="149"/>
    <n v="135408"/>
    <n v="27075"/>
    <s v="IBM -Mercedes"/>
    <n v="6"/>
    <x v="1"/>
    <x v="7"/>
  </r>
  <r>
    <s v="Javeed Khan"/>
    <s v="Prathyusha Mangalampalli"/>
    <s v="Akshata Nayak Non IT"/>
    <s v="Nikitarani Brajakishore Panda"/>
    <n v="2"/>
    <s v="C36231886"/>
    <x v="103"/>
    <n v="21889"/>
    <n v="3339"/>
    <s v="Accenture-voice"/>
    <n v="6"/>
    <x v="0"/>
    <x v="9"/>
  </r>
  <r>
    <s v="Mehraj N"/>
    <s v="Prathyusha Mangalampalli"/>
    <s v="Akshata Nayak Non IT"/>
    <s v="Mohd Wasiuddin"/>
    <n v="1"/>
    <s v="C36231930"/>
    <x v="93"/>
    <n v="0"/>
    <n v="-20000"/>
    <s v="UHG(BCI &amp; SS)"/>
    <n v="6"/>
    <x v="1"/>
    <x v="1"/>
  </r>
  <r>
    <s v="Priya b"/>
    <s v="Prathyusha Mangalampalli"/>
    <s v="Akshata Nayak Non IT"/>
    <s v="Narasingarao Bendadi"/>
    <n v="1"/>
    <s v="C36231876"/>
    <x v="117"/>
    <n v="26775"/>
    <n v="6775"/>
    <s v="UHG(BCI &amp; SS)"/>
    <n v="6"/>
    <x v="1"/>
    <x v="1"/>
  </r>
  <r>
    <s v="Sireesha K"/>
    <s v="Prathyusha Mangalampalli"/>
    <s v="Akshata Nayak Non IT"/>
    <s v="Amgoth Sandhya"/>
    <n v="1"/>
    <s v="C36231931"/>
    <x v="93"/>
    <n v="32130"/>
    <n v="12130"/>
    <s v="UHG(BCI &amp; SS)"/>
    <n v="6"/>
    <x v="1"/>
    <x v="1"/>
  </r>
  <r>
    <s v="Krishna priya"/>
    <s v="Suman S"/>
    <s v="Prathap Sagar"/>
    <s v="Kasa Venkatesh"/>
    <n v="2"/>
    <s v="C36231949"/>
    <x v="110"/>
    <n v="135000"/>
    <n v="26667"/>
    <s v="Accenture_IDB"/>
    <n v="6"/>
    <x v="2"/>
    <x v="3"/>
  </r>
  <r>
    <s v="Gopal V"/>
    <s v="Tamil C"/>
    <s v="Akshata Nayak"/>
    <s v="Gumption Systems"/>
    <n v="4"/>
    <s v="O36230114"/>
    <x v="151"/>
    <n v="266009.84999999998"/>
    <n v="32676.85"/>
    <s v="DXC"/>
    <n v="5"/>
    <x v="1"/>
    <x v="6"/>
  </r>
  <r>
    <s v="Karnikasri P"/>
    <s v="Priyakantha K"/>
    <s v="Prathap Sagar"/>
    <s v="Ramesh Kumar Mopuri"/>
    <n v="2"/>
    <s v="C36231879"/>
    <x v="144"/>
    <n v="150000"/>
    <n v="40000"/>
    <s v="Accenture_IDB"/>
    <n v="6"/>
    <x v="2"/>
    <x v="3"/>
  </r>
  <r>
    <s v="Keerthi Reddy"/>
    <s v="Mehr Hashim D"/>
    <s v="Mehr Hashim"/>
    <s v="K Venkata Anunash Reddy"/>
    <n v="2"/>
    <s v="C36231856"/>
    <x v="103"/>
    <n v="285600"/>
    <n v="118934"/>
    <s v="GE Healthcare Global Private Limited."/>
    <n v="5"/>
    <x v="5"/>
    <x v="10"/>
  </r>
  <r>
    <s v="Sheetal B"/>
    <s v="Tamil C"/>
    <s v="Akshata Nayak"/>
    <s v="Bala Krishna Seetha"/>
    <n v="1"/>
    <s v="C36231877"/>
    <x v="151"/>
    <n v="236453.2"/>
    <n v="28120.2"/>
    <s v="DXC"/>
    <n v="6"/>
    <x v="1"/>
    <x v="6"/>
  </r>
  <r>
    <s v="Vaishnavi  Shekar "/>
    <s v="Monisha RR"/>
    <s v="Akshata Nayak Non IT"/>
    <s v="Toufia Kouser"/>
    <n v="2"/>
    <s v="C36231962"/>
    <x v="110"/>
    <n v="48000"/>
    <n v="8000"/>
    <s v="Accenture-voice"/>
    <n v="6"/>
    <x v="0"/>
    <x v="9"/>
  </r>
  <r>
    <s v="Mouli Roy"/>
    <s v="Prathyusha Mangalampalli"/>
    <s v="Akshata Nayak Non IT"/>
    <s v="Manuraj Rajan  Achary"/>
    <n v="2"/>
    <s v="C36231963"/>
    <x v="110"/>
    <n v="42000"/>
    <n v="7000"/>
    <s v="Accenture-voice"/>
    <n v="5"/>
    <x v="0"/>
    <x v="9"/>
  </r>
  <r>
    <s v="Sandipta Panigrahi"/>
    <s v="Mehr Hashim D"/>
    <s v="Mehr Hashim"/>
    <s v="Nalinikanta Sahoo "/>
    <n v="4"/>
    <s v="O36230113"/>
    <x v="156"/>
    <n v="350000"/>
    <n v="50000"/>
    <s v="GE Healthcare Global Private Limited."/>
    <n v="6"/>
    <x v="5"/>
    <x v="10"/>
  </r>
  <r>
    <s v="Jackson Mathew"/>
    <s v="Tamil C"/>
    <s v="Akshata Nayak"/>
    <s v="Chamrathi Sai Chandana"/>
    <n v="2"/>
    <s v="C36231936"/>
    <x v="144"/>
    <n v="33333.33"/>
    <n v="4167.33"/>
    <s v="Harman"/>
    <n v="6"/>
    <x v="1"/>
    <x v="12"/>
  </r>
  <r>
    <s v="Sai Manish"/>
    <s v="Pradeep P"/>
    <s v="Akshata Nayak Non IT"/>
    <s v="Chigiri Pragathi "/>
    <n v="1"/>
    <s v="C36232126"/>
    <x v="157"/>
    <n v="45517.5"/>
    <n v="8017.5"/>
    <s v="UHG"/>
    <n v="5"/>
    <x v="0"/>
    <x v="1"/>
  </r>
  <r>
    <s v="Sasikala  Nagolu"/>
    <s v="Sadhna Shukla"/>
    <s v="Sasikala  Nagolu"/>
    <s v="Naveen Y"/>
    <n v="2"/>
    <s v="C36231937"/>
    <x v="144"/>
    <n v="70091.7"/>
    <n v="15925.7"/>
    <s v="NetApp"/>
    <n v="5"/>
    <x v="5"/>
    <x v="17"/>
  </r>
  <r>
    <s v="Pooja K"/>
    <s v="Prathyusha Mangalampalli"/>
    <s v="Akshata Nayak Non IT"/>
    <s v="Saloni Vinod Guher"/>
    <n v="2"/>
    <s v="C36231979"/>
    <x v="144"/>
    <n v="21889"/>
    <n v="3339"/>
    <s v="Accenture_BPO"/>
    <n v="5"/>
    <x v="0"/>
    <x v="9"/>
  </r>
  <r>
    <s v="Gifty Sunny"/>
    <s v="Prathyusha Mangalampalli"/>
    <s v="Akshata Nayak Non IT"/>
    <s v="Sherin Mary Mathews"/>
    <n v="2"/>
    <s v="C36231960"/>
    <x v="158"/>
    <n v="21889"/>
    <n v="3339"/>
    <s v="Accenture_BPO"/>
    <n v="5"/>
    <x v="0"/>
    <x v="9"/>
  </r>
  <r>
    <s v="Sheetal B"/>
    <s v="Tamil C"/>
    <s v="Akshata Nayak"/>
    <s v="Saurav Saraff"/>
    <n v="1"/>
    <s v="C36231950"/>
    <x v="144"/>
    <n v="285714.28999999998"/>
    <n v="35714.29"/>
    <s v="DXC"/>
    <n v="6"/>
    <x v="1"/>
    <x v="6"/>
  </r>
  <r>
    <s v="Rajesh R"/>
    <s v="Kamlesh A"/>
    <s v="Menaka Prasad"/>
    <s v="Santhosh Lawrance  Rodrigues"/>
    <n v="2"/>
    <s v="C36231880"/>
    <x v="144"/>
    <n v="68040"/>
    <n v="22207"/>
    <s v="IBM -Mercedes"/>
    <n v="6"/>
    <x v="1"/>
    <x v="7"/>
  </r>
  <r>
    <s v="Priya b"/>
    <s v="Prathyusha Mangalampalli"/>
    <s v="Akshata Nayak Non IT"/>
    <s v="Prasansha  Kattel "/>
    <n v="2"/>
    <s v="C36231952"/>
    <x v="110"/>
    <n v="48000"/>
    <n v="8000"/>
    <s v="Accenture-voice"/>
    <n v="6"/>
    <x v="0"/>
    <x v="9"/>
  </r>
  <r>
    <s v="Gouri Priya"/>
    <s v="Pradeep P"/>
    <s v="Akshata Nayak Non IT"/>
    <s v="Karnati Manish Kumar"/>
    <n v="1"/>
    <s v="C36232077"/>
    <x v="157"/>
    <n v="45517.5"/>
    <n v="6351.5"/>
    <s v="UHG"/>
    <n v="5"/>
    <x v="0"/>
    <x v="1"/>
  </r>
  <r>
    <s v="Javeed Khan"/>
    <s v="Prathyusha Mangalampalli"/>
    <s v="Akshata Nayak Non IT"/>
    <s v="Saketh Gowda "/>
    <n v="2"/>
    <s v="C36231975"/>
    <x v="149"/>
    <n v="24898"/>
    <n v="3798"/>
    <s v="Accenture_BPO"/>
    <n v="5"/>
    <x v="0"/>
    <x v="9"/>
  </r>
  <r>
    <s v="Monika Vakati"/>
    <s v="Prathyusha Mangalampalli"/>
    <s v="Akshata Nayak Non IT"/>
    <s v="Junikar Sunil Narayanrao"/>
    <n v="2"/>
    <s v="C36230778"/>
    <x v="39"/>
    <n v="39900"/>
    <n v="9484"/>
    <s v="Medline"/>
    <n v="5"/>
    <x v="1"/>
    <x v="16"/>
  </r>
  <r>
    <s v="Javeed Khan"/>
    <s v="Prathyusha Mangalampalli"/>
    <s v="Akshata Nayak Non IT"/>
    <s v="Gopinatha "/>
    <n v="2"/>
    <s v="C36231976"/>
    <x v="149"/>
    <n v="24898"/>
    <n v="3798"/>
    <s v="Accenture_BPO"/>
    <n v="5"/>
    <x v="0"/>
    <x v="9"/>
  </r>
  <r>
    <s v="Mouli Roy"/>
    <s v="Prathyusha Mangalampalli"/>
    <s v="Akshata Nayak Non IT"/>
    <s v="Sunit Nitin Talpade"/>
    <n v="2"/>
    <s v="C36231954"/>
    <x v="110"/>
    <n v="32500"/>
    <n v="7500"/>
    <s v="Accenture-voice"/>
    <n v="5"/>
    <x v="0"/>
    <x v="9"/>
  </r>
  <r>
    <s v="Mehraj N"/>
    <s v="Prathyusha Mangalampalli"/>
    <s v="Akshata Nayak Non IT"/>
    <s v="Dhanesh Vilas Chaudhari "/>
    <n v="2"/>
    <s v="C36231964"/>
    <x v="110"/>
    <n v="22420"/>
    <n v="3420"/>
    <s v="Accenture_BPO"/>
    <n v="6"/>
    <x v="0"/>
    <x v="9"/>
  </r>
  <r>
    <s v="Siba Prasad"/>
    <s v="Kamlesh A"/>
    <s v="Menaka Prasad"/>
    <s v="Nirikshitha J"/>
    <n v="2"/>
    <s v="C36231999"/>
    <x v="159"/>
    <n v="84131.04"/>
    <n v="25798.04"/>
    <s v="IBM -Mercedes"/>
    <n v="5"/>
    <x v="1"/>
    <x v="7"/>
  </r>
  <r>
    <s v="Sachin K"/>
    <s v="Prathyusha Mangalampalli"/>
    <s v="Akshata Nayak Non IT"/>
    <s v="Mohammed kaif Sarfaraj Khan"/>
    <n v="2"/>
    <s v="C36231965"/>
    <x v="110"/>
    <n v="42000"/>
    <n v="7000"/>
    <s v="Accenture-voice"/>
    <n v="5"/>
    <x v="0"/>
    <x v="9"/>
  </r>
  <r>
    <s v="Gifty Sunny"/>
    <s v="Prathyusha Mangalampalli"/>
    <s v="Akshata Nayak Non IT"/>
    <s v="Isha Rajendra Vishwakarma"/>
    <n v="2"/>
    <s v="C36231953"/>
    <x v="110"/>
    <n v="22420"/>
    <n v="3420"/>
    <s v="Accenture_BPO"/>
    <n v="6"/>
    <x v="0"/>
    <x v="9"/>
  </r>
  <r>
    <s v="Javeed Khan"/>
    <s v="Prathyusha Mangalampalli"/>
    <s v="Akshata Nayak Non IT"/>
    <s v="Priya Jayprakash Yadav"/>
    <n v="2"/>
    <s v="C36231993"/>
    <x v="159"/>
    <n v="21889"/>
    <n v="3339"/>
    <s v="Accenture_BPO"/>
    <n v="6"/>
    <x v="0"/>
    <x v="9"/>
  </r>
  <r>
    <s v="Sindhu N"/>
    <s v="Eugene kurian"/>
    <s v="Anmol Katoch"/>
    <s v="Shristi Jain"/>
    <n v="2"/>
    <s v="C36232129"/>
    <x v="160"/>
    <n v="200000"/>
    <n v="11667"/>
    <s v="Accenture_IDB"/>
    <n v="5"/>
    <x v="2"/>
    <x v="3"/>
  </r>
  <r>
    <s v="Lavani Yasheer"/>
    <s v="Menaka Prasad"/>
    <s v="karan lalchandani"/>
    <s v=" Karthik Surya Manikanta  Landa"/>
    <n v="2"/>
    <s v="C36232006"/>
    <x v="153"/>
    <n v="157500"/>
    <n v="28334"/>
    <s v="Socgen"/>
    <n v="5"/>
    <x v="6"/>
    <x v="2"/>
  </r>
  <r>
    <s v="Bharath Raj"/>
    <s v="Namitha Gowda"/>
    <s v="Prathap Sagar"/>
    <s v="Subba Reddy"/>
    <n v="2"/>
    <s v="C36231973"/>
    <x v="149"/>
    <n v="156492"/>
    <n v="23159"/>
    <s v="Mercedes benz"/>
    <n v="6"/>
    <x v="6"/>
    <x v="14"/>
  </r>
  <r>
    <s v="Pooja K"/>
    <s v="Prathyusha Mangalampalli"/>
    <s v="Akshata Nayak Non IT"/>
    <s v="Chetana Prakash Rane"/>
    <n v="2"/>
    <s v="C36231977"/>
    <x v="149"/>
    <n v="22420"/>
    <n v="3420"/>
    <s v="Accenture_BPO"/>
    <n v="5"/>
    <x v="0"/>
    <x v="9"/>
  </r>
  <r>
    <s v="Priya b"/>
    <s v="Prathyusha Mangalampalli"/>
    <s v="Akshata Nayak Non IT"/>
    <s v="Tarachand Babulal  Suwasiya"/>
    <n v="2"/>
    <s v="C36231981"/>
    <x v="161"/>
    <n v="22420"/>
    <n v="3420"/>
    <s v="Accenture_BPO"/>
    <n v="6"/>
    <x v="0"/>
    <x v="9"/>
  </r>
  <r>
    <s v="Javeed Khan"/>
    <s v="Prathyusha Mangalampalli"/>
    <s v="Akshata Nayak Non IT"/>
    <s v="Vengadeswari Muruganantham"/>
    <n v="2"/>
    <s v="C36231982"/>
    <x v="161"/>
    <n v="17700"/>
    <n v="2700"/>
    <s v="Accenture_BPO"/>
    <n v="5"/>
    <x v="0"/>
    <x v="9"/>
  </r>
  <r>
    <s v="Siba Prasad"/>
    <s v="Kamlesh A"/>
    <s v="Menaka Prasad"/>
    <s v="Harika Pula"/>
    <n v="1"/>
    <s v="C36231992"/>
    <x v="149"/>
    <n v="88200"/>
    <n v="13200"/>
    <s v="Socgen"/>
    <n v="5"/>
    <x v="6"/>
    <x v="2"/>
  </r>
  <r>
    <s v="Jackson Mathew"/>
    <s v="Tamil C"/>
    <s v="Akshata Nayak"/>
    <s v="Arun  Kumar.N"/>
    <n v="2"/>
    <s v="C36231978"/>
    <x v="149"/>
    <n v="33333.33"/>
    <n v="4167.33"/>
    <s v="Harman"/>
    <n v="6"/>
    <x v="1"/>
    <x v="12"/>
  </r>
  <r>
    <s v="Bindushree R"/>
    <s v="Prathyusha Mangalampalli"/>
    <s v="Akshata Nayak Non IT"/>
    <s v="Vaishali"/>
    <n v="2"/>
    <s v="C36232005"/>
    <x v="152"/>
    <n v="17700"/>
    <n v="2700"/>
    <s v="Accenture_BPO"/>
    <n v="6"/>
    <x v="0"/>
    <x v="9"/>
  </r>
  <r>
    <s v="Gifty Sunny"/>
    <s v="Prathyusha Mangalampalli"/>
    <s v="Akshata Nayak Non IT"/>
    <s v="Mrunmayi Narayan Pawar"/>
    <n v="2"/>
    <s v="C36231985"/>
    <x v="152"/>
    <n v="22420"/>
    <n v="3420"/>
    <s v="Accenture_BPO"/>
    <n v="5"/>
    <x v="0"/>
    <x v="9"/>
  </r>
  <r>
    <s v="Javeed Khan"/>
    <s v="Prathyusha Mangalampalli"/>
    <s v="Akshata Nayak Non IT"/>
    <s v="Akshay Kumar Raja Yadav "/>
    <n v="2"/>
    <s v="C36232022"/>
    <x v="153"/>
    <n v="22420"/>
    <n v="3420"/>
    <s v="Accenture_BPO"/>
    <n v="5"/>
    <x v="0"/>
    <x v="9"/>
  </r>
  <r>
    <s v="Krupa Rani"/>
    <s v="Manjunath R"/>
    <s v="Mehr Hashim"/>
    <s v="Shwetha .M"/>
    <n v="2"/>
    <s v="C36232007"/>
    <x v="153"/>
    <n v="200000"/>
    <n v="37500"/>
    <s v="Schneider Electric"/>
    <n v="6"/>
    <x v="5"/>
    <x v="10"/>
  </r>
  <r>
    <s v="Narendra Kumar Debariki"/>
    <s v="Pradeep P"/>
    <s v="Akshata Nayak Non IT"/>
    <s v="Premadhari Durgam"/>
    <n v="1"/>
    <s v="C36232078"/>
    <x v="157"/>
    <n v="45517.5"/>
    <n v="10517.5"/>
    <s v="UHG"/>
    <n v="5"/>
    <x v="0"/>
    <x v="1"/>
  </r>
  <r>
    <s v="Bindushree R"/>
    <s v="Prathyusha Mangalampalli"/>
    <s v="Akshata Nayak Non IT"/>
    <s v="Rinita Pravin Parmar"/>
    <n v="2"/>
    <s v="C36231988"/>
    <x v="161"/>
    <n v="22420"/>
    <n v="3420"/>
    <s v="Accenture_BPO"/>
    <n v="5"/>
    <x v="0"/>
    <x v="9"/>
  </r>
  <r>
    <s v="Mouli Roy"/>
    <s v="Prathyusha Mangalampalli"/>
    <s v="Akshata Nayak Non IT"/>
    <s v="Salman  Afroze N"/>
    <n v="2"/>
    <s v="C36232064"/>
    <x v="150"/>
    <n v="29500"/>
    <n v="4500"/>
    <s v="Accenture_BPO"/>
    <n v="5"/>
    <x v="0"/>
    <x v="9"/>
  </r>
  <r>
    <s v="Jackson Mathew"/>
    <s v="Tamil C"/>
    <s v="Akshata Nayak"/>
    <s v="Veesam Pavani "/>
    <n v="2"/>
    <s v="C36231983"/>
    <x v="161"/>
    <n v="33333.33"/>
    <n v="4167.33"/>
    <s v="Harman"/>
    <n v="6"/>
    <x v="1"/>
    <x v="12"/>
  </r>
  <r>
    <s v="Debdutta  M"/>
    <s v="Mehr Hashim D"/>
    <s v="Mehr Hashim"/>
    <s v="Somu Nekar"/>
    <n v="2"/>
    <s v="C36231990"/>
    <x v="152"/>
    <n v="280000.56"/>
    <n v="80000.56"/>
    <s v="Pure Storage"/>
    <n v="5"/>
    <x v="5"/>
    <x v="10"/>
  </r>
  <r>
    <s v="Sachin K"/>
    <s v="Prathyusha Mangalampalli"/>
    <s v="Akshata Nayak Non IT"/>
    <s v="Sultana Riyajuddin Mansoori"/>
    <n v="2"/>
    <s v="C36231987"/>
    <x v="162"/>
    <n v="42000"/>
    <n v="7000"/>
    <s v="Accenture-voice"/>
    <n v="6"/>
    <x v="0"/>
    <x v="9"/>
  </r>
  <r>
    <s v="Tamilarasan S"/>
    <s v="Mehr Hashim D"/>
    <s v="Mehr Hashim"/>
    <s v="Bonamukkala Chandra Sekhar Reddy"/>
    <n v="2"/>
    <s v="C36231991"/>
    <x v="152"/>
    <n v="211200"/>
    <n v="111200"/>
    <s v="Lowes"/>
    <n v="6"/>
    <x v="5"/>
    <x v="10"/>
  </r>
  <r>
    <s v="Bhargavi T R"/>
    <s v="Monisha RR"/>
    <s v="Akshata Nayak Non IT"/>
    <s v="Mohammed Junaid Khan"/>
    <n v="6"/>
    <s v="C36231995"/>
    <x v="152"/>
    <n v="25000"/>
    <n v="4167"/>
    <s v="HP"/>
    <n v="6"/>
    <x v="0"/>
    <x v="0"/>
  </r>
  <r>
    <s v="Vaishnavi  Shekar "/>
    <s v="Monisha RR"/>
    <s v="Akshata Nayak Non IT"/>
    <s v=" Dilip D"/>
    <n v="6"/>
    <s v="C36231996"/>
    <x v="152"/>
    <n v="25000"/>
    <n v="4167"/>
    <s v="HP"/>
    <n v="6"/>
    <x v="0"/>
    <x v="0"/>
  </r>
  <r>
    <s v="Mehraj N"/>
    <s v="Prathyusha Mangalampalli"/>
    <s v="Akshata Nayak Non IT"/>
    <s v="Rutuja Dilip Mahajan"/>
    <n v="2"/>
    <s v="C36232001"/>
    <x v="153"/>
    <n v="32500"/>
    <n v="7500"/>
    <s v="Accenture-voice"/>
    <n v="5"/>
    <x v="0"/>
    <x v="9"/>
  </r>
  <r>
    <s v="Sandipta Panigrahi"/>
    <s v="Mehr Hashim D"/>
    <s v="Mehr Hashim"/>
    <s v="Kriti Srivastava"/>
    <n v="4"/>
    <s v="O36230117"/>
    <x v="159"/>
    <n v="268000"/>
    <n v="34667"/>
    <s v="Schneider Electric"/>
    <n v="5"/>
    <x v="5"/>
    <x v="10"/>
  </r>
  <r>
    <s v="Mehraj N"/>
    <s v="Prathyusha Mangalampalli"/>
    <s v="Akshata Nayak Non IT"/>
    <s v="Sarvanand Elango Mudliyar"/>
    <n v="2"/>
    <s v="C36232057"/>
    <x v="153"/>
    <n v="32500"/>
    <n v="7500"/>
    <s v="Accenture-voice"/>
    <n v="5"/>
    <x v="0"/>
    <x v="9"/>
  </r>
  <r>
    <s v="Sharanabasava Saalunke"/>
    <s v="Mehr Hashim D"/>
    <s v="Mehr Hashim"/>
    <s v="Madhusudhan  T G_x0009_"/>
    <n v="2"/>
    <s v="C36231989"/>
    <x v="162"/>
    <n v="268800"/>
    <n v="135467"/>
    <s v="GE Healthcare Global Private Limited."/>
    <n v="5"/>
    <x v="5"/>
    <x v="10"/>
  </r>
  <r>
    <s v="Ram Praveen B"/>
    <s v="Fazila K"/>
    <s v="Prathap Sagar"/>
    <s v="Mudit Gupta"/>
    <n v="2"/>
    <s v="C36232046"/>
    <x v="150"/>
    <n v="289800"/>
    <n v="6467"/>
    <s v="Infosys"/>
    <n v="6"/>
    <x v="2"/>
    <x v="3"/>
  </r>
  <r>
    <s v="Priya Dharshini C"/>
    <s v="Sunitha V"/>
    <s v="Akshata Nayak"/>
    <s v="Jeetendra Kumar Tripathy"/>
    <n v="1"/>
    <s v="C36232029"/>
    <x v="156"/>
    <n v="268800"/>
    <n v="122967"/>
    <s v="Northern Trust"/>
    <n v="6"/>
    <x v="1"/>
    <x v="9"/>
  </r>
  <r>
    <s v="Ram Praveen B"/>
    <s v="Fazila K"/>
    <s v="Prathap Sagar"/>
    <s v="Jitendra Mewada"/>
    <n v="2"/>
    <s v="C36232030"/>
    <x v="156"/>
    <n v="231000"/>
    <n v="39334"/>
    <s v="Infosys"/>
    <n v="5"/>
    <x v="2"/>
    <x v="3"/>
  </r>
  <r>
    <s v="Vinith M"/>
    <s v="Tamil C"/>
    <s v="Akshata Nayak"/>
    <s v="Prabhat Kumar Gouda"/>
    <n v="4"/>
    <s v="O36230116"/>
    <x v="153"/>
    <n v="295566.5"/>
    <n v="64566.5"/>
    <s v="DXC"/>
    <n v="5"/>
    <x v="1"/>
    <x v="6"/>
  </r>
  <r>
    <s v="Mehraj N"/>
    <s v="Prathyusha Mangalampalli"/>
    <s v="Akshata Nayak Non IT"/>
    <s v="M Bhanu prasad"/>
    <n v="2"/>
    <s v="C36231994"/>
    <x v="159"/>
    <n v="24898"/>
    <n v="3798"/>
    <s v="Accenture_BPO"/>
    <n v="5"/>
    <x v="0"/>
    <x v="9"/>
  </r>
  <r>
    <s v="Ram Praveen B"/>
    <s v="Fazila K"/>
    <s v="Prathap Sagar"/>
    <s v="Naresh Babu Karreddula"/>
    <n v="2"/>
    <s v="C36232031"/>
    <x v="156"/>
    <n v="163800"/>
    <n v="5467"/>
    <s v="Infosys"/>
    <n v="5"/>
    <x v="2"/>
    <x v="3"/>
  </r>
  <r>
    <s v="Pooja K"/>
    <s v="Prathyusha Mangalampalli"/>
    <s v="Akshata Nayak Non IT"/>
    <s v="Nikita Rajendra Kadam"/>
    <n v="2"/>
    <s v="C36232004"/>
    <x v="159"/>
    <n v="21889"/>
    <n v="3339"/>
    <s v="Accenture_BPO"/>
    <n v="6"/>
    <x v="0"/>
    <x v="9"/>
  </r>
  <r>
    <s v="Javeed Khan"/>
    <s v="Prathyusha Mangalampalli"/>
    <s v="Akshata Nayak Non IT"/>
    <s v="Anjali Rajkumar Pandey "/>
    <n v="2"/>
    <s v="C36232002"/>
    <x v="153"/>
    <n v="21889"/>
    <n v="3339"/>
    <s v="Accenture_BPO"/>
    <n v="6"/>
    <x v="0"/>
    <x v="9"/>
  </r>
  <r>
    <s v="Harshitha S"/>
    <s v="Tamil C"/>
    <s v="Akshata Nayak"/>
    <s v="Tirunagari Sudha"/>
    <n v="1"/>
    <s v="C36231998"/>
    <x v="153"/>
    <n v="197044.33"/>
    <n v="47044.33"/>
    <s v="DXC"/>
    <n v="6"/>
    <x v="1"/>
    <x v="6"/>
  </r>
  <r>
    <s v="Mouli Roy"/>
    <s v="Prathyusha Mangalampalli"/>
    <s v="Akshata Nayak Non IT"/>
    <s v="Faiz Ibrahim Shaikh "/>
    <n v="2"/>
    <s v="C36232014"/>
    <x v="153"/>
    <n v="42000"/>
    <n v="7000"/>
    <s v="Accenture-voice"/>
    <n v="5"/>
    <x v="0"/>
    <x v="9"/>
  </r>
  <r>
    <s v="Saravana BA"/>
    <s v="Mehr Hashim D"/>
    <s v="Mehr Hashim"/>
    <s v="Rishob Ghosh_x0009_ "/>
    <n v="4"/>
    <s v="O36230118"/>
    <x v="156"/>
    <n v="311267.5"/>
    <n v="73767.5"/>
    <s v="Google"/>
    <n v="6"/>
    <x v="5"/>
    <x v="10"/>
  </r>
  <r>
    <s v="Bindushree R"/>
    <s v="Prathyusha Mangalampalli"/>
    <s v="Akshata Nayak Non IT"/>
    <s v="Mohammed Khadeer  Pasha"/>
    <n v="2"/>
    <s v="C36232008"/>
    <x v="153"/>
    <n v="24846"/>
    <n v="3790"/>
    <s v="Accenture_BPO"/>
    <n v="5"/>
    <x v="0"/>
    <x v="9"/>
  </r>
  <r>
    <s v="Pooja K"/>
    <s v="Prathyusha Mangalampalli"/>
    <s v="Akshata Nayak Non IT"/>
    <s v="Rehan Rakesh jaiswal"/>
    <n v="2"/>
    <s v="C36232003"/>
    <x v="153"/>
    <n v="22420"/>
    <n v="3420"/>
    <s v="Accenture_BPO"/>
    <n v="5"/>
    <x v="0"/>
    <x v="9"/>
  </r>
  <r>
    <s v="Mehraj N"/>
    <s v="Prathyusha Mangalampalli"/>
    <s v="Akshata Nayak Non IT"/>
    <s v="Dipesh Vijay Londhe "/>
    <n v="2"/>
    <s v="C36232011"/>
    <x v="163"/>
    <n v="32500"/>
    <n v="7500"/>
    <s v="Accenture-voice"/>
    <n v="6"/>
    <x v="0"/>
    <x v="9"/>
  </r>
  <r>
    <s v="Mehraj N"/>
    <s v="Prathyusha Mangalampalli"/>
    <s v="Akshata Nayak Non IT"/>
    <s v="Pratik Pramod Suvare "/>
    <n v="2"/>
    <s v="C36232012"/>
    <x v="163"/>
    <n v="32500"/>
    <n v="7500"/>
    <s v="Accenture-voice"/>
    <n v="5"/>
    <x v="0"/>
    <x v="9"/>
  </r>
  <r>
    <s v="Sachin K"/>
    <s v="Prathyusha Mangalampalli"/>
    <s v="Akshata Nayak Non IT"/>
    <s v="Rutuja Sanjay Auchar"/>
    <n v="2"/>
    <s v="C36232010"/>
    <x v="153"/>
    <n v="42000"/>
    <n v="7000"/>
    <s v="Accenture-voice"/>
    <n v="6"/>
    <x v="0"/>
    <x v="9"/>
  </r>
  <r>
    <s v="Pooja K"/>
    <s v="Prathyusha Mangalampalli"/>
    <s v="Akshata Nayak Non IT"/>
    <s v="Priti Rajesh Sharma "/>
    <n v="2"/>
    <s v="C36232089"/>
    <x v="164"/>
    <n v="22420"/>
    <n v="3420"/>
    <s v="Accenture_BPO"/>
    <n v="6"/>
    <x v="0"/>
    <x v="9"/>
  </r>
  <r>
    <s v="Don Bosco"/>
    <s v="Suman S"/>
    <s v="Prathap Sagar"/>
    <s v="Pooja"/>
    <n v="2"/>
    <s v="C36232038"/>
    <x v="111"/>
    <n v="90000"/>
    <n v="19167"/>
    <s v="Accenture_IDB"/>
    <n v="5"/>
    <x v="2"/>
    <x v="3"/>
  </r>
  <r>
    <s v="Don Bosco"/>
    <s v="Suman S"/>
    <s v="Prathap Sagar"/>
    <s v="Varasala Immanuel Madhavan  "/>
    <n v="2"/>
    <s v="C36232212"/>
    <x v="165"/>
    <n v="90000"/>
    <n v="6666.67"/>
    <s v="Accenture_IDB"/>
    <n v="6"/>
    <x v="2"/>
    <x v="3"/>
  </r>
  <r>
    <s v="Tejashwini A"/>
    <s v="Fazila K"/>
    <s v="Prathap Sagar"/>
    <s v="Rahul "/>
    <n v="7"/>
    <s v="C36232067"/>
    <x v="111"/>
    <n v="83746.3"/>
    <n v="3606.3"/>
    <s v="ZTE_payroll"/>
    <n v="5"/>
    <x v="2"/>
    <x v="3"/>
  </r>
  <r>
    <s v="Sumanth K"/>
    <s v="Fazila K"/>
    <s v="Prathap Sagar"/>
    <s v=" Mandar Mangesh Khanvilkar "/>
    <n v="2"/>
    <s v="C36232158"/>
    <x v="166"/>
    <n v="136700"/>
    <n v="28367"/>
    <s v="Accenture_IDB"/>
    <n v="5"/>
    <x v="2"/>
    <x v="3"/>
  </r>
  <r>
    <s v="Chaithra M"/>
    <s v="Vamsi S"/>
    <s v="Mohanish Pillai"/>
    <s v="Rohit Bhatt "/>
    <n v="2"/>
    <s v="C36232025"/>
    <x v="167"/>
    <n v="156000"/>
    <n v="26834"/>
    <s v="Accenture_IDB"/>
    <n v="5"/>
    <x v="2"/>
    <x v="3"/>
  </r>
  <r>
    <s v="Vidya Bharthi"/>
    <s v="Fazila K"/>
    <s v="Prathap Sagar"/>
    <s v="Shaik Mansoor  Ali "/>
    <n v="2"/>
    <s v="C36232032"/>
    <x v="156"/>
    <n v="277200"/>
    <n v="2200"/>
    <s v="Infosys"/>
    <n v="5"/>
    <x v="2"/>
    <x v="3"/>
  </r>
  <r>
    <s v="Vidya Bharthi"/>
    <s v="Fazila K"/>
    <s v="Prathap Sagar"/>
    <s v="Santhi B V"/>
    <n v="2"/>
    <s v="C36232059"/>
    <x v="168"/>
    <n v="189000"/>
    <n v="22334"/>
    <s v="Infosys"/>
    <n v="6"/>
    <x v="2"/>
    <x v="3"/>
  </r>
  <r>
    <s v="Sneha G"/>
    <s v="Manjunath R"/>
    <s v="Mehr Hashim"/>
    <s v="Rajesh  Rayakar "/>
    <n v="2"/>
    <s v="C36232084"/>
    <x v="160"/>
    <n v="208084"/>
    <n v="33084"/>
    <s v="GE Healthcare Global Private Limited."/>
    <n v="5"/>
    <x v="5"/>
    <x v="10"/>
  </r>
  <r>
    <s v="Javeed Khan"/>
    <s v="Prathyusha Mangalampalli"/>
    <s v="Akshata Nayak Non IT"/>
    <s v="Aman Munnilal Jaiswal "/>
    <n v="2"/>
    <s v="C36232039"/>
    <x v="111"/>
    <n v="22420"/>
    <n v="3420"/>
    <s v="Accenture_BPO"/>
    <n v="5"/>
    <x v="0"/>
    <x v="9"/>
  </r>
  <r>
    <s v="Muhammed faizal"/>
    <s v="Namitha Gowda"/>
    <s v="Prathap Sagar"/>
    <s v="Pagala Ramalakshumma"/>
    <n v="2"/>
    <s v="C36232088"/>
    <x v="94"/>
    <n v="144900"/>
    <n v="44900"/>
    <s v="Mercedes benz"/>
    <n v="5"/>
    <x v="6"/>
    <x v="14"/>
  </r>
  <r>
    <s v="Sumanth VM"/>
    <s v="Suman S"/>
    <s v="Prathap Sagar"/>
    <s v="Swayam Samyak Debasis"/>
    <n v="2"/>
    <s v="C36232195"/>
    <x v="169"/>
    <n v="90000"/>
    <n v="23334"/>
    <s v="Accenture_IDB"/>
    <n v="6"/>
    <x v="2"/>
    <x v="3"/>
  </r>
  <r>
    <s v="Pooja K"/>
    <s v="Prathyusha Mangalampalli"/>
    <s v="Akshata Nayak Non IT"/>
    <s v="Harshitha V"/>
    <n v="2"/>
    <s v="C36232013"/>
    <x v="163"/>
    <n v="47200"/>
    <n v="7200"/>
    <s v="Accenture_BPO"/>
    <n v="5"/>
    <x v="0"/>
    <x v="9"/>
  </r>
  <r>
    <s v="Priya b"/>
    <s v="Prathyusha Mangalampalli"/>
    <s v="Akshata Nayak Non IT"/>
    <s v="Tejas Sanjay Divekar"/>
    <n v="2"/>
    <s v="C36232053"/>
    <x v="111"/>
    <n v="22420"/>
    <n v="3420"/>
    <s v="Accenture_BPO"/>
    <n v="5"/>
    <x v="0"/>
    <x v="9"/>
  </r>
  <r>
    <s v="Meenal Shrivas"/>
    <s v="Mehr Hashim D"/>
    <s v="Mehr Hashim"/>
    <s v="K N Sharat"/>
    <n v="2"/>
    <s v="C36232020"/>
    <x v="163"/>
    <n v="436800"/>
    <n v="145134"/>
    <s v="GE Healthcare Global Private Limited."/>
    <n v="5"/>
    <x v="5"/>
    <x v="10"/>
  </r>
  <r>
    <s v="Gopal V"/>
    <s v="Tamil C"/>
    <s v="Akshata Nayak"/>
    <s v="Sonali B Sabawat "/>
    <n v="1"/>
    <s v="C36232083"/>
    <x v="157"/>
    <n v="68965.52"/>
    <n v="18965.52"/>
    <s v="DXC"/>
    <n v="6"/>
    <x v="1"/>
    <x v="6"/>
  </r>
  <r>
    <s v="Keerthi Reddy"/>
    <s v="Mehr Hashim D"/>
    <s v="Mehr Hashim"/>
    <s v="Nikhil  Gowda"/>
    <n v="2"/>
    <s v="C36232027"/>
    <x v="167"/>
    <n v="300000"/>
    <n v="175000"/>
    <s v="GE Healthcare Global Private Limited."/>
    <n v="5"/>
    <x v="5"/>
    <x v="10"/>
  </r>
  <r>
    <s v="Mehraj N"/>
    <s v="Prathyusha Mangalampalli"/>
    <s v="Akshata Nayak Non IT"/>
    <s v="Shivam Rajendra Prasad Mishra"/>
    <n v="2"/>
    <s v="C36232023"/>
    <x v="167"/>
    <n v="42000"/>
    <n v="7000"/>
    <s v="Accenture-voice"/>
    <n v="5"/>
    <x v="0"/>
    <x v="9"/>
  </r>
  <r>
    <s v="Sachin K"/>
    <s v="Prathyusha Mangalampalli"/>
    <s v="Akshata Nayak Non IT"/>
    <s v="Thashif Thajudeen"/>
    <n v="2"/>
    <s v="C36232097"/>
    <x v="164"/>
    <n v="32500"/>
    <n v="7500"/>
    <s v="Accenture-voice"/>
    <n v="5"/>
    <x v="0"/>
    <x v="9"/>
  </r>
  <r>
    <s v="Greeshma MS"/>
    <s v="Tamil C"/>
    <s v="Akshata Nayak"/>
    <s v="Amit  Dhatrak "/>
    <n v="2"/>
    <s v="C36232016"/>
    <x v="167"/>
    <n v="192118.23"/>
    <n v="54618.23"/>
    <s v="DXC"/>
    <n v="5"/>
    <x v="1"/>
    <x v="6"/>
  </r>
  <r>
    <s v="Greeshma MS"/>
    <s v="Tamil C"/>
    <s v="Akshata Nayak"/>
    <s v=" Gurupu Vamsi Kumar "/>
    <n v="1"/>
    <s v="C36232017"/>
    <x v="167"/>
    <n v="197044.33"/>
    <n v="105378.33"/>
    <s v="DXC"/>
    <n v="5"/>
    <x v="1"/>
    <x v="6"/>
  </r>
  <r>
    <s v="Vinith M"/>
    <s v="Tamil C"/>
    <s v="Akshata Nayak"/>
    <s v="Vutukuri Sobharani"/>
    <n v="1"/>
    <s v="C36232015"/>
    <x v="155"/>
    <n v="118226.6"/>
    <n v="34893.599999999999"/>
    <s v="DXC"/>
    <n v="6"/>
    <x v="1"/>
    <x v="6"/>
  </r>
  <r>
    <s v="Subha Bharathi"/>
    <s v="Tamil C"/>
    <s v="Akshata Nayak"/>
    <s v=" Boddu Jaya shri"/>
    <n v="2"/>
    <s v="C36232021"/>
    <x v="94"/>
    <n v="191000"/>
    <n v="91000"/>
    <s v="Harman"/>
    <n v="6"/>
    <x v="1"/>
    <x v="12"/>
  </r>
  <r>
    <s v="Priya b"/>
    <s v="Prathyusha Mangalampalli"/>
    <s v="Akshata Nayak Non IT"/>
    <s v="Nishanth Kumar"/>
    <n v="2"/>
    <s v="C36232024"/>
    <x v="167"/>
    <n v="54000"/>
    <n v="9000"/>
    <s v="Accenture-voice"/>
    <n v="6"/>
    <x v="0"/>
    <x v="9"/>
  </r>
  <r>
    <s v="Shaik MohammadSuheil"/>
    <s v="Antati Deekshith"/>
    <s v="Vinod K"/>
    <s v="Jaidhir Kumar"/>
    <n v="2"/>
    <s v="C36230768"/>
    <x v="41"/>
    <n v="245000"/>
    <n v="61667"/>
    <s v="Monsanto"/>
    <n v="5"/>
    <x v="1"/>
    <x v="16"/>
  </r>
  <r>
    <s v="Silpa Vukkem"/>
    <s v="Vinay Murthy"/>
    <s v="Raghuramaiah K"/>
    <s v="Shriyanka  Jamadade"/>
    <n v="1"/>
    <s v="C36231242"/>
    <x v="107"/>
    <n v="125000"/>
    <n v="70834"/>
    <s v="Monsanto"/>
    <n v="6"/>
    <x v="1"/>
    <x v="16"/>
  </r>
  <r>
    <s v="Sakshi Pathak"/>
    <s v="Manjunath R"/>
    <s v="Mehr Hashim"/>
    <s v="Gajanand Amruth"/>
    <n v="2"/>
    <s v="C36232043"/>
    <x v="168"/>
    <n v="300000"/>
    <n v="66666.67"/>
    <s v="Schneider Electric"/>
    <n v="6"/>
    <x v="5"/>
    <x v="10"/>
  </r>
  <r>
    <s v="Mehraj N"/>
    <s v="Prathyusha Mangalampalli"/>
    <s v="Akshata Nayak Non IT"/>
    <s v="Roshani Dinesh Rane "/>
    <n v="2"/>
    <s v="C36232047"/>
    <x v="150"/>
    <n v="22302"/>
    <n v="3402"/>
    <s v="Accenture_BPO"/>
    <n v="5"/>
    <x v="0"/>
    <x v="9"/>
  </r>
  <r>
    <s v="Bindushree R"/>
    <s v="Prathyusha Mangalampalli"/>
    <s v="Akshata Nayak Non IT"/>
    <s v="Smile Darshan Kumar Sharma"/>
    <n v="2"/>
    <s v="C36232041"/>
    <x v="156"/>
    <n v="21889"/>
    <n v="3339"/>
    <s v="Accenture_BPO"/>
    <n v="5"/>
    <x v="0"/>
    <x v="9"/>
  </r>
  <r>
    <s v="Mehraj N"/>
    <s v="Prathyusha Mangalampalli"/>
    <s v="Akshata Nayak Non IT"/>
    <s v="Prathamesh Sunil Panzade"/>
    <n v="2"/>
    <s v="C36232033"/>
    <x v="156"/>
    <n v="21889"/>
    <n v="3339"/>
    <s v="Accenture_BPO"/>
    <n v="6"/>
    <x v="0"/>
    <x v="9"/>
  </r>
  <r>
    <s v="Mehraj N"/>
    <s v="Prathyusha Mangalampalli"/>
    <s v="Akshata Nayak Non IT"/>
    <s v="Naganikitha Ila"/>
    <n v="2"/>
    <s v="C36232036"/>
    <x v="155"/>
    <n v="17700"/>
    <n v="2700"/>
    <s v="Accenture_BPO"/>
    <n v="5"/>
    <x v="0"/>
    <x v="9"/>
  </r>
  <r>
    <s v="Mehraj N"/>
    <s v="Prathyusha Mangalampalli"/>
    <s v="Akshata Nayak Non IT"/>
    <s v="Pratik Kailash Pardeshi "/>
    <n v="2"/>
    <s v="C36232063"/>
    <x v="168"/>
    <n v="21889"/>
    <n v="3339"/>
    <s v="Accenture_BPO"/>
    <n v="5"/>
    <x v="0"/>
    <x v="9"/>
  </r>
  <r>
    <s v="Pooja K"/>
    <s v="Prathyusha Mangalampalli"/>
    <s v="Akshata Nayak Non IT"/>
    <s v="Nikita Appa Hegade"/>
    <n v="2"/>
    <s v="C36232042"/>
    <x v="156"/>
    <n v="21889"/>
    <n v="3339"/>
    <s v="Accenture_BPO"/>
    <n v="6"/>
    <x v="0"/>
    <x v="9"/>
  </r>
  <r>
    <s v="sumran Mattoo"/>
    <s v="Mehr Hashim D"/>
    <s v="Mehr Hashim"/>
    <s v="Sejal Jalan_x0009_"/>
    <n v="2"/>
    <s v="C36232034"/>
    <x v="156"/>
    <n v="29518"/>
    <n v="4518"/>
    <s v="Lowes"/>
    <n v="5"/>
    <x v="5"/>
    <x v="10"/>
  </r>
  <r>
    <s v="Keerthi Reddy"/>
    <s v="Mehr Hashim D"/>
    <s v="Mehr Hashim"/>
    <s v="Gurudas  P C"/>
    <n v="2"/>
    <s v="C36232035"/>
    <x v="156"/>
    <n v="29518"/>
    <n v="4518"/>
    <s v="Lowes"/>
    <n v="5"/>
    <x v="5"/>
    <x v="10"/>
  </r>
  <r>
    <s v="Sasikala  Nagolu"/>
    <s v="Sadhna Shukla"/>
    <s v="Sasikala  Nagolu"/>
    <s v="Akshay  Raikar"/>
    <n v="2"/>
    <s v="C36232026"/>
    <x v="167"/>
    <n v="67200"/>
    <n v="15533.33"/>
    <s v="NetApp"/>
    <n v="6"/>
    <x v="5"/>
    <x v="17"/>
  </r>
  <r>
    <s v="Pooja K"/>
    <s v="Prathyusha Mangalampalli"/>
    <s v="Akshata Nayak Non IT"/>
    <s v="Tejas Mangesh Ranpise"/>
    <n v="2"/>
    <s v="C36232037"/>
    <x v="156"/>
    <n v="21889"/>
    <n v="3339"/>
    <s v="Accenture_BPO"/>
    <n v="5"/>
    <x v="0"/>
    <x v="9"/>
  </r>
  <r>
    <s v="Bindushree R"/>
    <s v="Prathyusha Mangalampalli"/>
    <s v="Akshata Nayak Non IT"/>
    <s v="Devdath  S"/>
    <n v="2"/>
    <s v="C36232054"/>
    <x v="111"/>
    <n v="24898"/>
    <n v="3798"/>
    <s v="Accenture_BPO"/>
    <n v="5"/>
    <x v="0"/>
    <x v="9"/>
  </r>
  <r>
    <s v="Gifty Sunny"/>
    <s v="Prathyusha Mangalampalli"/>
    <s v="Akshata Nayak Non IT"/>
    <s v="Tejasvi Balasaheb  Namade"/>
    <n v="2"/>
    <s v="C36232076"/>
    <x v="111"/>
    <n v="22420"/>
    <n v="3420"/>
    <s v="Accenture_BPO"/>
    <n v="5"/>
    <x v="0"/>
    <x v="9"/>
  </r>
  <r>
    <s v="Sachin K"/>
    <s v="Prathyusha Mangalampalli"/>
    <s v="Akshata Nayak Non IT"/>
    <s v="Wagh Shweta Satish"/>
    <n v="2"/>
    <s v="C36232048"/>
    <x v="150"/>
    <n v="22302"/>
    <n v="3402"/>
    <s v="Accenture_BPO"/>
    <n v="5"/>
    <x v="0"/>
    <x v="9"/>
  </r>
  <r>
    <s v="Narendra Kumar Debariki"/>
    <s v="Pradeep P"/>
    <s v="Akshata Nayak Non IT"/>
    <s v="Satyam Omkar Mishra"/>
    <n v="2"/>
    <s v="C36232055"/>
    <x v="111"/>
    <n v="22420"/>
    <n v="3420"/>
    <s v="Accenture_BPO"/>
    <n v="6"/>
    <x v="0"/>
    <x v="9"/>
  </r>
  <r>
    <s v="Narendra Kumar Debariki"/>
    <s v="Pradeep P"/>
    <s v="Akshata Nayak Non IT"/>
    <s v="Sumith  Arun Raj"/>
    <n v="2"/>
    <s v="C36232069"/>
    <x v="111"/>
    <n v="22420"/>
    <n v="3420"/>
    <s v="Accenture_BPO"/>
    <n v="5"/>
    <x v="0"/>
    <x v="9"/>
  </r>
  <r>
    <s v="Priya b"/>
    <s v="Prathyusha Mangalampalli"/>
    <s v="Akshata Nayak Non IT"/>
    <s v="Harshad Vishwanath Surve"/>
    <n v="2"/>
    <s v="C36232079"/>
    <x v="160"/>
    <n v="48000"/>
    <n v="8000"/>
    <s v="Accenture-voice"/>
    <n v="6"/>
    <x v="0"/>
    <x v="9"/>
  </r>
  <r>
    <s v="Sachin K"/>
    <s v="Prathyusha Mangalampalli"/>
    <s v="Akshata Nayak Non IT"/>
    <s v="Veena M V"/>
    <n v="2"/>
    <s v="C36232100"/>
    <x v="170"/>
    <n v="24898"/>
    <n v="3798"/>
    <s v="Accenture_BPO"/>
    <n v="5"/>
    <x v="0"/>
    <x v="9"/>
  </r>
  <r>
    <s v="Priya b"/>
    <s v="Prathyusha Mangalampalli"/>
    <s v="Akshata Nayak Non IT"/>
    <s v="Ikshita Milind  Meshram"/>
    <n v="2"/>
    <s v="C36232101"/>
    <x v="170"/>
    <n v="32500"/>
    <n v="7500"/>
    <s v="Accenture-voice"/>
    <n v="6"/>
    <x v="0"/>
    <x v="9"/>
  </r>
  <r>
    <s v="Javeed Khan"/>
    <s v="Prathyusha Mangalampalli"/>
    <s v="Akshata Nayak Non IT"/>
    <s v="Sushmita Roshanlal Naithani  "/>
    <n v="2"/>
    <s v="C36232068"/>
    <x v="168"/>
    <n v="21889"/>
    <n v="3339"/>
    <s v="Accenture_BPO"/>
    <n v="6"/>
    <x v="0"/>
    <x v="9"/>
  </r>
  <r>
    <s v="Gouri Priya"/>
    <s v="Pradeep P"/>
    <s v="Akshata Nayak Non IT"/>
    <s v="Jill Harshad Khadodra"/>
    <n v="2"/>
    <s v="C36232065"/>
    <x v="150"/>
    <n v="22420"/>
    <n v="3420"/>
    <s v="Accenture_BPO"/>
    <n v="6"/>
    <x v="0"/>
    <x v="9"/>
  </r>
  <r>
    <s v="Shruthi R"/>
    <s v="Mehr Hashim D"/>
    <s v="Mehr Hashim"/>
    <s v="Addagiri Venkateswarlu"/>
    <n v="2"/>
    <s v="C36232056"/>
    <x v="155"/>
    <n v="208665.07"/>
    <n v="100332.07"/>
    <s v="Pure Storage"/>
    <n v="5"/>
    <x v="5"/>
    <x v="10"/>
  </r>
  <r>
    <s v="Javeed Khan"/>
    <s v="Prathyusha Mangalampalli"/>
    <s v="Akshata Nayak Non IT"/>
    <s v="Shifa Tabrez"/>
    <n v="2"/>
    <s v="C36232049"/>
    <x v="150"/>
    <n v="24898"/>
    <n v="3798"/>
    <s v="Accenture_BPO"/>
    <n v="5"/>
    <x v="0"/>
    <x v="9"/>
  </r>
  <r>
    <s v="Lavani Yasheer"/>
    <s v="Menaka Prasad"/>
    <s v="karan lalchandani"/>
    <s v="Nagisetti Phanindra Babu"/>
    <n v="2"/>
    <s v="C36232112"/>
    <x v="170"/>
    <n v="157500"/>
    <n v="36667"/>
    <s v="Socgen"/>
    <n v="5"/>
    <x v="6"/>
    <x v="2"/>
  </r>
  <r>
    <s v="Siva Naga"/>
    <s v="Dummy Record Lead"/>
    <s v="Vinod K"/>
    <s v="Basavalingayya Channabasayya Jetagimath"/>
    <n v="1"/>
    <s v="C36231461"/>
    <x v="87"/>
    <n v="295334"/>
    <n v="12001"/>
    <s v="Monsanto (Bayer) - Payroll"/>
    <n v="5"/>
    <x v="1"/>
    <x v="16"/>
  </r>
  <r>
    <s v="Narendra Kumar Debariki"/>
    <s v="Pradeep P"/>
    <s v="Akshata Nayak Non IT"/>
    <s v="Rutwik Santosh  Lawate"/>
    <n v="2"/>
    <s v="C36232075"/>
    <x v="150"/>
    <n v="22420"/>
    <n v="3420"/>
    <s v="Accenture_BPO"/>
    <n v="6"/>
    <x v="0"/>
    <x v="9"/>
  </r>
  <r>
    <s v="Maheshwari K S"/>
    <s v="Monisha RR"/>
    <s v="Akshata Nayak Non IT"/>
    <s v="Anvitha H M"/>
    <n v="6"/>
    <s v="C36232105"/>
    <x v="108"/>
    <n v="34375"/>
    <n v="6875"/>
    <s v="HP"/>
    <n v="5"/>
    <x v="0"/>
    <x v="0"/>
  </r>
  <r>
    <s v="Maheshwari K S"/>
    <s v="Monisha RR"/>
    <s v="Akshata Nayak Non IT"/>
    <s v="Susan Jovita Dsouza"/>
    <n v="6"/>
    <s v="C36232123"/>
    <x v="108"/>
    <n v="34375"/>
    <n v="6875"/>
    <s v="HP"/>
    <n v="5"/>
    <x v="0"/>
    <x v="0"/>
  </r>
  <r>
    <s v="Bhargavi T R"/>
    <s v="Monisha RR"/>
    <s v="Akshata Nayak Non IT"/>
    <s v="Aaliya Rahmath"/>
    <n v="6"/>
    <s v="C36232090"/>
    <x v="108"/>
    <n v="36600"/>
    <n v="9100"/>
    <s v="HP"/>
    <n v="5"/>
    <x v="0"/>
    <x v="0"/>
  </r>
  <r>
    <s v="Pooja K"/>
    <s v="Prathyusha Mangalampalli"/>
    <s v="Akshata Nayak Non IT"/>
    <s v="Badakal Madhu"/>
    <n v="2"/>
    <s v="C36232050"/>
    <x v="150"/>
    <n v="24898"/>
    <n v="3798"/>
    <s v="Accenture_BPO"/>
    <n v="5"/>
    <x v="0"/>
    <x v="9"/>
  </r>
  <r>
    <s v="Bhargavi T R"/>
    <s v="Monisha RR"/>
    <s v="Akshata Nayak Non IT"/>
    <s v="Tushar Bhatt"/>
    <n v="6"/>
    <s v="C36232190"/>
    <x v="108"/>
    <n v="34375"/>
    <n v="6875"/>
    <s v="HP"/>
    <n v="5"/>
    <x v="0"/>
    <x v="0"/>
  </r>
  <r>
    <s v="Aishwarya Kakade"/>
    <s v="Sunitha V"/>
    <s v="Akshata Nayak"/>
    <s v="Vamsi Gollamandala"/>
    <n v="1"/>
    <s v="C36232194"/>
    <x v="168"/>
    <n v="200592"/>
    <n v="117259"/>
    <s v="Deloitte - Advisory"/>
    <n v="6"/>
    <x v="1"/>
    <x v="15"/>
  </r>
  <r>
    <s v="Pooja K"/>
    <s v="Prathyusha Mangalampalli"/>
    <s v="Akshata Nayak Non IT"/>
    <s v="Riya AnilKumar Shyamdasani"/>
    <n v="2"/>
    <s v="C36232070"/>
    <x v="160"/>
    <n v="22302"/>
    <n v="3402"/>
    <s v="Accenture_BPO"/>
    <n v="5"/>
    <x v="0"/>
    <x v="9"/>
  </r>
  <r>
    <s v="Mehraj N"/>
    <s v="Prathyusha Mangalampalli"/>
    <s v="Akshata Nayak Non IT"/>
    <s v="Ichha  Manohar Shirke"/>
    <n v="2"/>
    <s v="C36232071"/>
    <x v="160"/>
    <n v="22302"/>
    <n v="3402"/>
    <s v="Accenture_BPO"/>
    <n v="5"/>
    <x v="0"/>
    <x v="9"/>
  </r>
  <r>
    <s v="Keerthana S"/>
    <s v="Monisha RR"/>
    <s v="Akshata Nayak Non IT"/>
    <s v="Zion Oliveira"/>
    <n v="6"/>
    <s v="C36232091"/>
    <x v="108"/>
    <n v="34375"/>
    <n v="6875"/>
    <s v="HP"/>
    <n v="5"/>
    <x v="0"/>
    <x v="0"/>
  </r>
  <r>
    <s v="Bindushree R"/>
    <s v="Prathyusha Mangalampalli"/>
    <s v="Akshata Nayak Non IT"/>
    <s v="Kotha Saileela "/>
    <n v="2"/>
    <s v="C36232051"/>
    <x v="150"/>
    <n v="24898"/>
    <n v="3798"/>
    <s v="Accenture_BPO"/>
    <n v="6"/>
    <x v="0"/>
    <x v="9"/>
  </r>
  <r>
    <s v="Karnikasri P"/>
    <s v="Priyakantha K"/>
    <s v="Prathap Sagar"/>
    <s v="Pradeep Sadashiv Gadhepatil "/>
    <n v="2"/>
    <s v="C36232052"/>
    <x v="150"/>
    <n v="83583.33"/>
    <n v="83583.33"/>
    <s v="Bharat Forge"/>
    <n v="5"/>
    <x v="2"/>
    <x v="11"/>
  </r>
  <r>
    <s v="Sireesha K"/>
    <s v="Prathyusha Mangalampalli"/>
    <s v="Akshata Nayak Non IT"/>
    <s v="Kiran L "/>
    <n v="2"/>
    <s v="C36232066"/>
    <x v="150"/>
    <n v="24898"/>
    <n v="3798"/>
    <s v="Accenture_BPO"/>
    <n v="5"/>
    <x v="0"/>
    <x v="9"/>
  </r>
  <r>
    <s v="Keerthana S"/>
    <s v="Monisha RR"/>
    <s v="Akshata Nayak Non IT"/>
    <s v="S Sailesh "/>
    <n v="6"/>
    <s v="C36232092"/>
    <x v="108"/>
    <n v="34375"/>
    <n v="6875"/>
    <s v="HP"/>
    <n v="5"/>
    <x v="0"/>
    <x v="0"/>
  </r>
  <r>
    <s v="Poorvi Kundur"/>
    <s v="Monisha RR"/>
    <s v="Akshata Nayak Non IT"/>
    <s v="Srijeeth A"/>
    <n v="6"/>
    <s v="C36232124"/>
    <x v="108"/>
    <n v="34375"/>
    <n v="6875"/>
    <s v="HP"/>
    <n v="5"/>
    <x v="0"/>
    <x v="0"/>
  </r>
  <r>
    <s v="Poorvi Kundur"/>
    <s v="Monisha RR"/>
    <s v="Akshata Nayak Non IT"/>
    <s v="R Rakshith  "/>
    <n v="6"/>
    <s v="C36232144"/>
    <x v="108"/>
    <n v="34375"/>
    <n v="6875"/>
    <s v="HP"/>
    <n v="5"/>
    <x v="0"/>
    <x v="0"/>
  </r>
  <r>
    <s v="Poorvi Kundur"/>
    <s v="Monisha RR"/>
    <s v="Akshata Nayak Non IT"/>
    <s v="Aashish S Angadi"/>
    <n v="6"/>
    <s v="C36232093"/>
    <x v="108"/>
    <n v="34375"/>
    <n v="6875"/>
    <s v="HP"/>
    <n v="5"/>
    <x v="0"/>
    <x v="0"/>
  </r>
  <r>
    <s v="Sai S"/>
    <s v="Sunitha V"/>
    <s v="Akshata Nayak"/>
    <s v="Aftab Alam"/>
    <n v="1"/>
    <s v="C36232128"/>
    <x v="157"/>
    <n v="351036"/>
    <n v="101036"/>
    <s v="Deloitte_Consulting"/>
    <n v="5"/>
    <x v="1"/>
    <x v="16"/>
  </r>
  <r>
    <s v="Mouli Roy"/>
    <s v="Prathyusha Mangalampalli"/>
    <s v="Akshata Nayak Non IT"/>
    <s v="Saima Qutbuddin Mapari"/>
    <n v="2"/>
    <s v="C36232072"/>
    <x v="160"/>
    <n v="22302"/>
    <n v="3402"/>
    <s v="Accenture_BPO"/>
    <n v="5"/>
    <x v="0"/>
    <x v="9"/>
  </r>
  <r>
    <s v="Gouri Priya"/>
    <s v="Pradeep P"/>
    <s v="Akshata Nayak Non IT"/>
    <s v="Kurakula Ravalika"/>
    <n v="1"/>
    <s v="C36231061"/>
    <x v="72"/>
    <n v="27500"/>
    <n v="2500"/>
    <s v="RealPage"/>
    <n v="6"/>
    <x v="0"/>
    <x v="22"/>
  </r>
  <r>
    <s v="Shivangi Gupta"/>
    <s v="Mehr Hashim D"/>
    <s v="Mehr Hashim"/>
    <s v="Manomeeta Dhawan"/>
    <n v="2"/>
    <s v="C36232058"/>
    <x v="168"/>
    <n v="150000"/>
    <n v="66667"/>
    <s v="Flipkart"/>
    <n v="5"/>
    <x v="5"/>
    <x v="10"/>
  </r>
  <r>
    <s v="Shivangi Gupta"/>
    <s v="Mehr Hashim D"/>
    <s v="Mehr Hashim"/>
    <s v="Gourish"/>
    <n v="2"/>
    <s v="C36232060"/>
    <x v="168"/>
    <n v="330000"/>
    <n v="105000"/>
    <s v="SONY Software Development Centre"/>
    <n v="6"/>
    <x v="5"/>
    <x v="10"/>
  </r>
  <r>
    <s v="Shiva Prasad"/>
    <s v="Fazila K"/>
    <s v="Prathap Sagar"/>
    <s v="Partha Rana"/>
    <n v="7"/>
    <s v="C36232288"/>
    <x v="119"/>
    <n v="93046.8"/>
    <n v="4006.8"/>
    <s v="ZTE_payroll"/>
    <n v="5"/>
    <x v="2"/>
    <x v="3"/>
  </r>
  <r>
    <s v="Bhargavi T R"/>
    <s v="Monisha RR"/>
    <s v="Akshata Nayak Non IT"/>
    <s v="Riya Santosh"/>
    <n v="6"/>
    <s v="C36232178"/>
    <x v="108"/>
    <n v="34375"/>
    <n v="6875"/>
    <s v="HP"/>
    <n v="5"/>
    <x v="0"/>
    <x v="0"/>
  </r>
  <r>
    <s v="Keerthi Reddy"/>
    <s v="Mehr Hashim D"/>
    <s v="Mehr Hashim"/>
    <s v="Kommineni Bhargav "/>
    <n v="2"/>
    <s v="C36232061"/>
    <x v="168"/>
    <n v="218400"/>
    <n v="110067"/>
    <s v="GE Healthcare Global Private Limited."/>
    <n v="5"/>
    <x v="5"/>
    <x v="10"/>
  </r>
  <r>
    <s v="rajeev krishna"/>
    <s v="Poornachandra V"/>
    <s v="Akshata Nayak"/>
    <s v="Madhuri Babasaheb Narale"/>
    <n v="2"/>
    <s v="C36232127"/>
    <x v="170"/>
    <n v="173333"/>
    <n v="81667"/>
    <s v="CME"/>
    <n v="5"/>
    <x v="1"/>
    <x v="2"/>
  </r>
  <r>
    <s v="Spoorthy C"/>
    <s v="Mehr Hashim D"/>
    <s v="Mehr Hashim"/>
    <s v="Naghma"/>
    <n v="2"/>
    <s v="C36232062"/>
    <x v="168"/>
    <n v="40611.57"/>
    <n v="11445.57"/>
    <s v="Lowes"/>
    <n v="5"/>
    <x v="5"/>
    <x v="10"/>
  </r>
  <r>
    <s v="Pradeep S"/>
    <s v="Monisha RR"/>
    <s v="Akshata Nayak Non IT"/>
    <s v="Priyanka N"/>
    <n v="6"/>
    <s v="C36232094"/>
    <x v="108"/>
    <n v="34375"/>
    <n v="6875"/>
    <s v="HP"/>
    <n v="5"/>
    <x v="0"/>
    <x v="0"/>
  </r>
  <r>
    <s v="Pradeep S"/>
    <s v="Monisha RR"/>
    <s v="Akshata Nayak Non IT"/>
    <s v="Kanika"/>
    <n v="6"/>
    <s v="C36232110"/>
    <x v="108"/>
    <n v="34375"/>
    <n v="6875"/>
    <s v="HP"/>
    <n v="6"/>
    <x v="0"/>
    <x v="0"/>
  </r>
  <r>
    <s v="Vaishnavi  Shekar "/>
    <s v="Monisha RR"/>
    <s v="Akshata Nayak Non IT"/>
    <s v="Samridhi Rai"/>
    <n v="6"/>
    <s v="C36232165"/>
    <x v="108"/>
    <n v="34375"/>
    <n v="6875"/>
    <s v="HP"/>
    <n v="5"/>
    <x v="0"/>
    <x v="0"/>
  </r>
  <r>
    <s v="Pradeep S"/>
    <s v="Monisha RR"/>
    <s v="Akshata Nayak Non IT"/>
    <s v="Bhumika Padaliya"/>
    <n v="6"/>
    <s v="C36232125"/>
    <x v="108"/>
    <n v="34375"/>
    <n v="6875"/>
    <s v="HP"/>
    <n v="5"/>
    <x v="0"/>
    <x v="0"/>
  </r>
  <r>
    <s v="Pradeep S"/>
    <s v="Monisha RR"/>
    <s v="Akshata Nayak Non IT"/>
    <s v="Kiran Lal V Pillai"/>
    <n v="6"/>
    <s v="C36232174"/>
    <x v="171"/>
    <n v="34375"/>
    <n v="6875"/>
    <s v="HP"/>
    <n v="6"/>
    <x v="0"/>
    <x v="0"/>
  </r>
  <r>
    <s v="Pooja K"/>
    <s v="Prathyusha Mangalampalli"/>
    <s v="Akshata Nayak Non IT"/>
    <s v="Sumit "/>
    <n v="2"/>
    <s v="C36232073"/>
    <x v="160"/>
    <n v="22420"/>
    <n v="3420"/>
    <s v="Accenture_BPO"/>
    <n v="5"/>
    <x v="0"/>
    <x v="9"/>
  </r>
  <r>
    <s v="Akanksha  Tripathi"/>
    <s v="Manjunath R"/>
    <s v="Mehr Hashim"/>
    <s v="Sudhakar C"/>
    <n v="2"/>
    <s v="C36232098"/>
    <x v="164"/>
    <n v="300000"/>
    <n v="50000"/>
    <s v="Schneider Electric"/>
    <n v="5"/>
    <x v="5"/>
    <x v="10"/>
  </r>
  <r>
    <s v="Bindushree R"/>
    <s v="Prathyusha Mangalampalli"/>
    <s v="Akshata Nayak Non IT"/>
    <s v="Gagana Shree B R"/>
    <n v="2"/>
    <s v="C36232074"/>
    <x v="160"/>
    <n v="24898"/>
    <n v="3798"/>
    <s v="Accenture_BPO"/>
    <n v="5"/>
    <x v="0"/>
    <x v="9"/>
  </r>
  <r>
    <s v="Sandipta Panigrahi"/>
    <s v="Mehr Hashim D"/>
    <s v="Mehr Hashim"/>
    <s v="Prashant Kumar Shukla"/>
    <n v="2"/>
    <s v="C36232085"/>
    <x v="160"/>
    <n v="179850.72"/>
    <n v="50684.72"/>
    <s v="Pure Storage"/>
    <n v="5"/>
    <x v="5"/>
    <x v="10"/>
  </r>
  <r>
    <s v="Mamtha V"/>
    <s v="Fazila K"/>
    <s v="Prathap Sagar"/>
    <s v="Devendra Pal Rajput "/>
    <n v="7"/>
    <s v="C36232086"/>
    <x v="108"/>
    <n v="172362.3"/>
    <n v="7422.3"/>
    <s v="ZTE_payroll"/>
    <n v="5"/>
    <x v="2"/>
    <x v="3"/>
  </r>
  <r>
    <s v="Shiva Prasad"/>
    <s v="Fazila K"/>
    <s v="Prathap Sagar"/>
    <s v="Kallesh S B"/>
    <n v="2"/>
    <s v="C36232199"/>
    <x v="160"/>
    <n v="72240"/>
    <n v="22240"/>
    <s v="Koch Industries"/>
    <n v="6"/>
    <x v="2"/>
    <x v="2"/>
  </r>
  <r>
    <s v="Arpita Biswal"/>
    <s v="Anitha C"/>
    <s v="Akshata Nayak Non IT"/>
    <s v="Smitha N"/>
    <n v="2"/>
    <s v="C36232122"/>
    <x v="170"/>
    <n v="115000"/>
    <n v="40000"/>
    <s v="Fluence Energy"/>
    <n v="5"/>
    <x v="1"/>
    <x v="12"/>
  </r>
  <r>
    <s v="Karthik V"/>
    <s v="Fazila K"/>
    <s v="Prathap Sagar"/>
    <s v="Kondeti Ashok Reddy "/>
    <n v="2"/>
    <s v="C36232191"/>
    <x v="172"/>
    <n v="101850"/>
    <n v="10184"/>
    <s v="Infosys"/>
    <n v="5"/>
    <x v="2"/>
    <x v="3"/>
  </r>
  <r>
    <s v="Surekha S"/>
    <s v="Monisha RR"/>
    <s v="Akshata Nayak Non IT"/>
    <s v="Bhuvan Deepak Thakurel "/>
    <n v="6"/>
    <s v="C36232170"/>
    <x v="108"/>
    <n v="34375"/>
    <n v="6875"/>
    <s v="HP"/>
    <n v="6"/>
    <x v="0"/>
    <x v="0"/>
  </r>
  <r>
    <s v="Gouri Priya"/>
    <s v="Pradeep P"/>
    <s v="Akshata Nayak Non IT"/>
    <s v="Dudekula Jameel"/>
    <n v="1"/>
    <s v="C36231062"/>
    <x v="72"/>
    <n v="27500"/>
    <n v="2500"/>
    <s v="RealPage"/>
    <n v="6"/>
    <x v="0"/>
    <x v="22"/>
  </r>
  <r>
    <s v="Harshitha S"/>
    <s v="Tamil C"/>
    <s v="Akshata Nayak"/>
    <s v="Adil  Farooque"/>
    <n v="2"/>
    <s v="C36232081"/>
    <x v="108"/>
    <n v="88200"/>
    <n v="21534"/>
    <s v="Socgen"/>
    <n v="6"/>
    <x v="6"/>
    <x v="2"/>
  </r>
  <r>
    <s v="Harshitha S"/>
    <s v="Tamil C"/>
    <s v="Akshata Nayak"/>
    <s v="suseela p"/>
    <n v="2"/>
    <s v="C36232082"/>
    <x v="108"/>
    <n v="188000"/>
    <n v="113000"/>
    <s v="Harman"/>
    <n v="6"/>
    <x v="1"/>
    <x v="12"/>
  </r>
  <r>
    <s v="Bhargavi T R"/>
    <s v="Monisha RR"/>
    <s v="Akshata Nayak Non IT"/>
    <s v="S Manjunath "/>
    <n v="2"/>
    <s v="C36232095"/>
    <x v="108"/>
    <n v="48000"/>
    <n v="8000"/>
    <s v="Accenture-voice"/>
    <n v="5"/>
    <x v="0"/>
    <x v="9"/>
  </r>
  <r>
    <s v="Vidya Bharthi"/>
    <s v="Fazila K"/>
    <s v="Prathap Sagar"/>
    <s v="Ashish Lakhera"/>
    <n v="2"/>
    <s v="C36232239"/>
    <x v="63"/>
    <n v="268800"/>
    <n v="35467"/>
    <s v="Infosys"/>
    <n v="6"/>
    <x v="2"/>
    <x v="3"/>
  </r>
  <r>
    <s v="Gouri Priya"/>
    <s v="Pradeep P"/>
    <s v="Akshata Nayak Non IT"/>
    <s v="Veerabomma Nagaraju"/>
    <n v="1"/>
    <s v="C36240364"/>
    <x v="173"/>
    <n v="27500"/>
    <n v="3195.83"/>
    <s v="RealPage"/>
    <n v="5"/>
    <x v="0"/>
    <x v="22"/>
  </r>
  <r>
    <s v="Maheshwari K S"/>
    <s v="Monisha RR"/>
    <s v="Akshata Nayak Non IT"/>
    <s v="Abaan Atheeqh Khan"/>
    <n v="6"/>
    <s v="C36232179"/>
    <x v="108"/>
    <n v="34375"/>
    <n v="6875"/>
    <s v="HP"/>
    <n v="5"/>
    <x v="0"/>
    <x v="0"/>
  </r>
  <r>
    <s v="Vaishnavi  Shekar "/>
    <s v="Monisha RR"/>
    <s v="Akshata Nayak Non IT"/>
    <s v="Sanmith"/>
    <n v="6"/>
    <s v="C36232157"/>
    <x v="108"/>
    <n v="34375"/>
    <n v="6875"/>
    <s v="HP"/>
    <n v="5"/>
    <x v="0"/>
    <x v="0"/>
  </r>
  <r>
    <s v="Deepthi C"/>
    <s v="Anitha C"/>
    <s v="Akshata Nayak Non IT"/>
    <s v="Aleena Benjaman"/>
    <n v="1"/>
    <s v="C36232161"/>
    <x v="174"/>
    <n v="39900"/>
    <n v="10734"/>
    <s v="Soc gen Ops "/>
    <n v="5"/>
    <x v="4"/>
    <x v="2"/>
  </r>
  <r>
    <s v="Sandipta Panigrahi"/>
    <s v="Mehr Hashim D"/>
    <s v="Mehr Hashim"/>
    <s v="Mihir Alkeshbhai Khandhar"/>
    <n v="4"/>
    <s v="O36230120"/>
    <x v="164"/>
    <n v="375000"/>
    <n v="108334"/>
    <s v="SONY Software Development Centre"/>
    <n v="5"/>
    <x v="5"/>
    <x v="10"/>
  </r>
  <r>
    <s v="Keerthana S"/>
    <s v="Monisha RR"/>
    <s v="Akshata Nayak Non IT"/>
    <s v="Swaroop Abhishek J"/>
    <n v="6"/>
    <s v="C36232107"/>
    <x v="108"/>
    <n v="34375"/>
    <n v="6875"/>
    <s v="HP"/>
    <n v="5"/>
    <x v="0"/>
    <x v="0"/>
  </r>
  <r>
    <s v="Pradeep S"/>
    <s v="Monisha RR"/>
    <s v="Akshata Nayak Non IT"/>
    <s v="Mohammed Bilal"/>
    <n v="6"/>
    <s v="C36232108"/>
    <x v="108"/>
    <n v="34375"/>
    <n v="6875"/>
    <s v="HP"/>
    <n v="5"/>
    <x v="0"/>
    <x v="0"/>
  </r>
  <r>
    <s v="Pradeep S"/>
    <s v="Monisha RR"/>
    <s v="Akshata Nayak Non IT"/>
    <s v="Monika Vincent"/>
    <n v="6"/>
    <s v="C36232111"/>
    <x v="108"/>
    <n v="34375"/>
    <n v="6875"/>
    <s v="HP"/>
    <n v="5"/>
    <x v="0"/>
    <x v="0"/>
  </r>
  <r>
    <s v="Vaishnavi  Shekar "/>
    <s v="Monisha RR"/>
    <s v="Akshata Nayak Non IT"/>
    <s v="Sai Meghana"/>
    <n v="6"/>
    <s v="C36232180"/>
    <x v="108"/>
    <n v="34375"/>
    <n v="6875"/>
    <s v="HP"/>
    <n v="5"/>
    <x v="0"/>
    <x v="0"/>
  </r>
  <r>
    <s v="Bindushree R"/>
    <s v="Prathyusha Mangalampalli"/>
    <s v="Akshata Nayak Non IT"/>
    <s v="Bijin Biju George"/>
    <n v="2"/>
    <s v="C36232102"/>
    <x v="170"/>
    <n v="21889"/>
    <n v="3339"/>
    <s v="Accenture_BPO"/>
    <n v="5"/>
    <x v="0"/>
    <x v="9"/>
  </r>
  <r>
    <s v="rajeev krishna"/>
    <s v="Poornachandra V"/>
    <s v="Akshata Nayak"/>
    <s v="Aaditya Gupta"/>
    <n v="1"/>
    <s v="C36232230"/>
    <x v="63"/>
    <n v="300888"/>
    <n v="75888"/>
    <s v="Deloitte - Advisory"/>
    <n v="6"/>
    <x v="1"/>
    <x v="15"/>
  </r>
  <r>
    <s v="Sachin K"/>
    <s v="Prathyusha Mangalampalli"/>
    <s v="Akshata Nayak Non IT"/>
    <s v="Mohammad Saad Asif Shaikh"/>
    <n v="2"/>
    <s v="C36232103"/>
    <x v="170"/>
    <n v="32500"/>
    <n v="7500"/>
    <s v="Accenture-voice"/>
    <n v="5"/>
    <x v="0"/>
    <x v="9"/>
  </r>
  <r>
    <s v="santhosh B"/>
    <s v="Tara VR"/>
    <s v="Prathap Sagar"/>
    <s v="Amit Tiwari "/>
    <n v="2"/>
    <s v="C36232099"/>
    <x v="164"/>
    <n v="90000"/>
    <n v="10000"/>
    <s v="Accenture_IDB"/>
    <n v="5"/>
    <x v="2"/>
    <x v="3"/>
  </r>
  <r>
    <s v="Sai Manish"/>
    <s v="Pradeep P"/>
    <s v="Akshata Nayak Non IT"/>
    <s v="Aman Khanna"/>
    <n v="1"/>
    <s v="NULL"/>
    <x v="175"/>
    <n v="45517"/>
    <n v="6350.33"/>
    <s v="UHG"/>
    <n v="6"/>
    <x v="0"/>
    <x v="1"/>
  </r>
  <r>
    <s v="Sai Vineeth"/>
    <s v="Pradeep P"/>
    <s v="Akshata Nayak Non IT"/>
    <s v=" Santosh Sharanappa Patil "/>
    <n v="2"/>
    <s v="C36232115"/>
    <x v="176"/>
    <n v="22420"/>
    <n v="3420"/>
    <s v="Accenture_BPO"/>
    <n v="6"/>
    <x v="0"/>
    <x v="9"/>
  </r>
  <r>
    <s v="Karthik Venkatesh"/>
    <s v="Priyakantha K"/>
    <s v="Prathap Sagar"/>
    <s v=" Vivek  Kumar"/>
    <n v="2"/>
    <s v="C36232148"/>
    <x v="174"/>
    <n v="150000"/>
    <n v="33334"/>
    <s v="Accenture_IDB"/>
    <n v="6"/>
    <x v="2"/>
    <x v="3"/>
  </r>
  <r>
    <s v="Poorvi Kundur"/>
    <s v="Monisha RR"/>
    <s v="Akshata Nayak Non IT"/>
    <s v="J Vijay Kumar "/>
    <n v="2"/>
    <s v="C36232143"/>
    <x v="164"/>
    <n v="48000"/>
    <n v="8000"/>
    <s v="Accenture-voice"/>
    <n v="5"/>
    <x v="0"/>
    <x v="9"/>
  </r>
  <r>
    <s v="Keerthana S"/>
    <s v="Monisha RR"/>
    <s v="Akshata Nayak Non IT"/>
    <s v="M G BHOOMIKA "/>
    <n v="2"/>
    <s v="C36232120"/>
    <x v="177"/>
    <n v="30000"/>
    <n v="5000"/>
    <s v="Accenture-voice"/>
    <n v="6"/>
    <x v="0"/>
    <x v="9"/>
  </r>
  <r>
    <s v="Medha nag"/>
    <s v="Suman S"/>
    <s v="Prathap Sagar"/>
    <s v=" Imran Ahmad Mohammad Haroon"/>
    <n v="2"/>
    <s v="C36232114"/>
    <x v="178"/>
    <n v="28000"/>
    <n v="3000"/>
    <s v="Accenture_IDB"/>
    <n v="5"/>
    <x v="2"/>
    <x v="3"/>
  </r>
  <r>
    <s v="Pooja K"/>
    <s v="Prathyusha Mangalampalli"/>
    <s v="Akshata Nayak Non IT"/>
    <s v="Swathi "/>
    <n v="2"/>
    <s v="C36232116"/>
    <x v="178"/>
    <n v="17700"/>
    <n v="2700"/>
    <s v="Accenture_BPO"/>
    <n v="5"/>
    <x v="0"/>
    <x v="9"/>
  </r>
  <r>
    <s v="Pooja K"/>
    <s v="Prathyusha Mangalampalli"/>
    <s v="Akshata Nayak Non IT"/>
    <s v="Nimesh Raghunath Apte"/>
    <n v="2"/>
    <s v="C36232140"/>
    <x v="178"/>
    <n v="32500"/>
    <n v="7500"/>
    <s v="Accenture-voice"/>
    <n v="5"/>
    <x v="0"/>
    <x v="9"/>
  </r>
  <r>
    <s v="Arpita Biswal"/>
    <s v="Anitha C"/>
    <s v="Akshata Nayak Non IT"/>
    <s v="Harshit Sunil Upadhyaya "/>
    <n v="2"/>
    <s v="C36232121"/>
    <x v="177"/>
    <n v="32500"/>
    <n v="7500"/>
    <s v="Accenture-voice"/>
    <n v="6"/>
    <x v="0"/>
    <x v="9"/>
  </r>
  <r>
    <s v="Mehraj N"/>
    <s v="Prathyusha Mangalampalli"/>
    <s v="Akshata Nayak Non IT"/>
    <s v="Kokila S"/>
    <n v="2"/>
    <s v="C36232117"/>
    <x v="178"/>
    <n v="17700"/>
    <n v="2700"/>
    <s v="Accenture_BPO"/>
    <n v="5"/>
    <x v="0"/>
    <x v="9"/>
  </r>
  <r>
    <s v="Pooja K"/>
    <s v="Prathyusha Mangalampalli"/>
    <s v="Akshata Nayak Non IT"/>
    <s v="Yashwanth M"/>
    <n v="2"/>
    <s v="C36232175"/>
    <x v="178"/>
    <n v="24898"/>
    <n v="3798"/>
    <s v="Accenture_BPO"/>
    <n v="6"/>
    <x v="0"/>
    <x v="9"/>
  </r>
  <r>
    <s v="Saravana BA"/>
    <s v="Mehr Hashim D"/>
    <s v="Mehr Hashim"/>
    <s v="Rishob Ghosh "/>
    <n v="2"/>
    <s v="C36232096"/>
    <x v="164"/>
    <n v="311267.5"/>
    <n v="73767.5"/>
    <s v="Google"/>
    <n v="5"/>
    <x v="5"/>
    <x v="10"/>
  </r>
  <r>
    <s v="Ram Praveen B"/>
    <s v="Fazila K"/>
    <s v="Prathap Sagar"/>
    <s v="Moulishankar Chiranjeevi srikantan"/>
    <n v="2"/>
    <s v="C36232147"/>
    <x v="174"/>
    <n v="157500"/>
    <n v="28334"/>
    <s v="Infosys"/>
    <n v="5"/>
    <x v="2"/>
    <x v="3"/>
  </r>
  <r>
    <s v="Mamtha V"/>
    <s v="Fazila K"/>
    <s v="Prathap Sagar"/>
    <s v="Vilas Atmaram Jadhav"/>
    <n v="2"/>
    <s v="C36232146"/>
    <x v="174"/>
    <n v="147000"/>
    <n v="59500"/>
    <s v="Infosys"/>
    <n v="5"/>
    <x v="2"/>
    <x v="3"/>
  </r>
  <r>
    <s v="Mehraj N"/>
    <s v="Prathyusha Mangalampalli"/>
    <s v="Akshata Nayak Non IT"/>
    <s v="K S Arul Kumar "/>
    <n v="2"/>
    <s v="C36232118"/>
    <x v="178"/>
    <n v="54000"/>
    <n v="9000"/>
    <s v="Accenture-voice"/>
    <n v="5"/>
    <x v="0"/>
    <x v="9"/>
  </r>
  <r>
    <s v="Mehraj N"/>
    <s v="Prathyusha Mangalampalli"/>
    <s v="Akshata Nayak Non IT"/>
    <s v="Sahil Ziyauddin Khan"/>
    <n v="2"/>
    <s v="C36232119"/>
    <x v="178"/>
    <n v="22420"/>
    <n v="3420"/>
    <s v="Accenture_BPO"/>
    <n v="6"/>
    <x v="0"/>
    <x v="9"/>
  </r>
  <r>
    <s v="Anmol Katoch"/>
    <s v="Prathap Sagar BL"/>
    <s v="Anmol Katoch"/>
    <s v="Kunal  Rajaram Bhosle"/>
    <n v="2"/>
    <s v="C36232113"/>
    <x v="178"/>
    <n v="27000"/>
    <n v="2000"/>
    <s v="Accenture_IDB"/>
    <n v="5"/>
    <x v="2"/>
    <x v="3"/>
  </r>
  <r>
    <s v="Bhargavi T R"/>
    <s v="Monisha RR"/>
    <s v="Akshata Nayak Non IT"/>
    <s v="Ramya MR"/>
    <n v="6"/>
    <s v="C36232152"/>
    <x v="171"/>
    <n v="34375"/>
    <n v="6875"/>
    <s v="HP"/>
    <n v="5"/>
    <x v="0"/>
    <x v="0"/>
  </r>
  <r>
    <s v="Bhargavi T R"/>
    <s v="Monisha RR"/>
    <s v="Akshata Nayak Non IT"/>
    <s v="Thulasi TS"/>
    <n v="6"/>
    <s v="C36232176"/>
    <x v="178"/>
    <n v="27500"/>
    <n v="4584"/>
    <s v="HP"/>
    <n v="5"/>
    <x v="0"/>
    <x v="0"/>
  </r>
  <r>
    <s v="Bhargavi T R"/>
    <s v="Monisha RR"/>
    <s v="Akshata Nayak Non IT"/>
    <s v="Saniya "/>
    <n v="6"/>
    <s v="C36232162"/>
    <x v="178"/>
    <n v="27500"/>
    <n v="4584"/>
    <s v="HP"/>
    <n v="5"/>
    <x v="0"/>
    <x v="0"/>
  </r>
  <r>
    <s v="Priya b"/>
    <s v="Prathyusha Mangalampalli"/>
    <s v="Akshata Nayak Non IT"/>
    <s v="Merin Xavier"/>
    <n v="2"/>
    <s v="C36232133"/>
    <x v="171"/>
    <n v="50400"/>
    <n v="8400"/>
    <s v="Accenture-voice"/>
    <n v="5"/>
    <x v="0"/>
    <x v="9"/>
  </r>
  <r>
    <s v="Vaishnavi  Shekar "/>
    <s v="Monisha RR"/>
    <s v="Akshata Nayak Non IT"/>
    <s v="Dishali Khatri"/>
    <n v="2"/>
    <s v="C36232188"/>
    <x v="178"/>
    <n v="44840"/>
    <n v="6840"/>
    <s v="Accenture-voice"/>
    <n v="5"/>
    <x v="0"/>
    <x v="9"/>
  </r>
  <r>
    <s v="Thrupthi S"/>
    <s v="Menaka Prasad"/>
    <s v="karan lalchandani"/>
    <s v="Amit  Kumar Jha"/>
    <n v="2"/>
    <s v="C36232229"/>
    <x v="179"/>
    <n v="113272.32000000001"/>
    <n v="42439.32"/>
    <s v="IBM -Mercedes"/>
    <n v="5"/>
    <x v="1"/>
    <x v="7"/>
  </r>
  <r>
    <s v="Poorvi Kundur"/>
    <s v="Monisha RR"/>
    <s v="Akshata Nayak Non IT"/>
    <s v="Satyam Sagar  "/>
    <n v="6"/>
    <s v="C36232134"/>
    <x v="171"/>
    <n v="34375"/>
    <n v="6875"/>
    <s v="HP"/>
    <n v="6"/>
    <x v="0"/>
    <x v="0"/>
  </r>
  <r>
    <s v="Maheshwari K S"/>
    <s v="Monisha RR"/>
    <s v="Akshata Nayak Non IT"/>
    <s v="Mohammed Matheen"/>
    <n v="6"/>
    <s v="C36232189"/>
    <x v="178"/>
    <n v="27500"/>
    <n v="4584"/>
    <s v="HP"/>
    <n v="5"/>
    <x v="0"/>
    <x v="0"/>
  </r>
  <r>
    <s v="Pradeep S"/>
    <s v="Monisha RR"/>
    <s v="Akshata Nayak Non IT"/>
    <s v="Swati Sucharita Nayak"/>
    <n v="6"/>
    <s v="C36232163"/>
    <x v="178"/>
    <n v="27500"/>
    <n v="4584"/>
    <s v="HP"/>
    <n v="5"/>
    <x v="0"/>
    <x v="0"/>
  </r>
  <r>
    <s v="Pradeep S"/>
    <s v="Monisha RR"/>
    <s v="Akshata Nayak Non IT"/>
    <s v="Syed Khadar Fareed"/>
    <n v="6"/>
    <s v="C36232141"/>
    <x v="178"/>
    <n v="27500"/>
    <n v="4584"/>
    <s v="HP"/>
    <n v="5"/>
    <x v="0"/>
    <x v="0"/>
  </r>
  <r>
    <s v="Priya Dharshini C"/>
    <s v="Sunitha V"/>
    <s v="Akshata Nayak"/>
    <s v="Kattari Sneha  "/>
    <n v="1"/>
    <s v="C36232221"/>
    <x v="165"/>
    <n v="200592"/>
    <n v="50592"/>
    <s v="Deloitte - Advisory"/>
    <n v="5"/>
    <x v="1"/>
    <x v="15"/>
  </r>
  <r>
    <s v="Vaishnavi  Shekar "/>
    <s v="Monisha RR"/>
    <s v="Akshata Nayak Non IT"/>
    <s v="Arya R K"/>
    <n v="6"/>
    <s v="C36232154"/>
    <x v="178"/>
    <n v="27500"/>
    <n v="4584"/>
    <s v="HP"/>
    <n v="5"/>
    <x v="0"/>
    <x v="0"/>
  </r>
  <r>
    <s v="Vaishnavi  Shekar "/>
    <s v="Monisha RR"/>
    <s v="Akshata Nayak Non IT"/>
    <s v="Safura Taj A"/>
    <n v="6"/>
    <s v="C36232198"/>
    <x v="178"/>
    <n v="27500"/>
    <n v="4584"/>
    <s v="HP"/>
    <n v="5"/>
    <x v="0"/>
    <x v="0"/>
  </r>
  <r>
    <s v="Vaishnavi  Shekar "/>
    <s v="Monisha RR"/>
    <s v="Akshata Nayak Non IT"/>
    <s v=" Sanketh S Chavan"/>
    <n v="6"/>
    <s v="C36232153"/>
    <x v="171"/>
    <n v="34375"/>
    <n v="6875"/>
    <s v="HP"/>
    <n v="5"/>
    <x v="0"/>
    <x v="0"/>
  </r>
  <r>
    <s v="Keerthana S"/>
    <s v="Monisha RR"/>
    <s v="Akshata Nayak Non IT"/>
    <s v="Arpitha Francis"/>
    <n v="6"/>
    <s v="C36232135"/>
    <x v="171"/>
    <n v="34375"/>
    <n v="6875"/>
    <s v="HP"/>
    <n v="5"/>
    <x v="0"/>
    <x v="0"/>
  </r>
  <r>
    <s v="Keerthana S"/>
    <s v="Monisha RR"/>
    <s v="Akshata Nayak Non IT"/>
    <s v="Sam Sanjith Calvin B"/>
    <n v="6"/>
    <s v="C36232136"/>
    <x v="171"/>
    <n v="34375"/>
    <n v="6875"/>
    <s v="HP"/>
    <n v="6"/>
    <x v="0"/>
    <x v="0"/>
  </r>
  <r>
    <s v="Keerthana S"/>
    <s v="Monisha RR"/>
    <s v="Akshata Nayak Non IT"/>
    <s v="Jatin Chandra C"/>
    <n v="6"/>
    <s v="C36232137"/>
    <x v="171"/>
    <n v="34375"/>
    <n v="6875"/>
    <s v="HP"/>
    <n v="6"/>
    <x v="0"/>
    <x v="0"/>
  </r>
  <r>
    <s v="Keerthana S"/>
    <s v="Monisha RR"/>
    <s v="Akshata Nayak Non IT"/>
    <s v="C M Deekshitha "/>
    <n v="6"/>
    <s v="C36232142"/>
    <x v="178"/>
    <n v="27500"/>
    <n v="4584"/>
    <s v="HP"/>
    <n v="5"/>
    <x v="0"/>
    <x v="0"/>
  </r>
  <r>
    <s v="Bhargavi T R"/>
    <s v="Monisha RR"/>
    <s v="Akshata Nayak Non IT"/>
    <s v="Abdul Roshan Shariff "/>
    <n v="6"/>
    <s v="C36232155"/>
    <x v="178"/>
    <n v="27500"/>
    <n v="4584"/>
    <s v="HP"/>
    <n v="6"/>
    <x v="0"/>
    <x v="0"/>
  </r>
  <r>
    <s v="Poorvi Kundur"/>
    <s v="Monisha RR"/>
    <s v="Akshata Nayak Non IT"/>
    <s v=" Neelesh M H"/>
    <n v="6"/>
    <s v="C36232177"/>
    <x v="178"/>
    <n v="27500"/>
    <n v="4584"/>
    <s v="HP"/>
    <n v="5"/>
    <x v="0"/>
    <x v="0"/>
  </r>
  <r>
    <s v="Bhargavi T R"/>
    <s v="Monisha RR"/>
    <s v="Akshata Nayak Non IT"/>
    <s v="Aman Agarwal"/>
    <n v="6"/>
    <s v="C36232156"/>
    <x v="178"/>
    <n v="27500"/>
    <n v="4584"/>
    <s v="HP"/>
    <n v="6"/>
    <x v="0"/>
    <x v="0"/>
  </r>
  <r>
    <s v="Shubha K"/>
    <s v="Manjunath R"/>
    <s v="Mehr Hashim"/>
    <s v="Anusha Kittur"/>
    <n v="2"/>
    <s v="C36232145"/>
    <x v="174"/>
    <n v="55916.67"/>
    <n v="10083.67"/>
    <s v="Alliance Data"/>
    <n v="5"/>
    <x v="5"/>
    <x v="8"/>
  </r>
  <r>
    <s v="Bindushree R"/>
    <s v="Prathyusha Mangalampalli"/>
    <s v="Akshata Nayak Non IT"/>
    <s v="Poornima Kotteswaran"/>
    <n v="2"/>
    <s v="C36232138"/>
    <x v="171"/>
    <n v="17700"/>
    <n v="2700"/>
    <s v="Accenture_BPO"/>
    <n v="5"/>
    <x v="0"/>
    <x v="9"/>
  </r>
  <r>
    <s v="Chandana K"/>
    <s v="Anitha C"/>
    <s v="Akshata Nayak Non IT"/>
    <s v="Kurapati Naveen Kumar"/>
    <n v="2"/>
    <s v="C36240077"/>
    <x v="180"/>
    <n v="94400"/>
    <n v="14400"/>
    <s v="Accenture_BPO"/>
    <n v="5"/>
    <x v="0"/>
    <x v="9"/>
  </r>
  <r>
    <s v="Arpita Biswal"/>
    <s v="Anitha C"/>
    <s v="Akshata Nayak Non IT"/>
    <s v="Arjun S"/>
    <n v="2"/>
    <s v="C36232130"/>
    <x v="176"/>
    <n v="29500"/>
    <n v="4500"/>
    <s v="Accenture_BPO"/>
    <n v="5"/>
    <x v="0"/>
    <x v="9"/>
  </r>
  <r>
    <s v="Sachin K"/>
    <s v="Prathyusha Mangalampalli"/>
    <s v="Akshata Nayak Non IT"/>
    <s v="Tamanna Anis mohammad  Ansari"/>
    <n v="2"/>
    <s v="C36232139"/>
    <x v="171"/>
    <n v="42000"/>
    <n v="7000"/>
    <s v="Accenture-voice"/>
    <n v="5"/>
    <x v="0"/>
    <x v="9"/>
  </r>
  <r>
    <s v="Poorvi Kundur"/>
    <s v="Monisha RR"/>
    <s v="Akshata Nayak Non IT"/>
    <s v="Ketan Ninad Phatak"/>
    <n v="6"/>
    <s v="C36240150"/>
    <x v="181"/>
    <n v="34375"/>
    <n v="6875"/>
    <s v="HP"/>
    <n v="5"/>
    <x v="0"/>
    <x v="0"/>
  </r>
  <r>
    <s v="Bhargavi T R"/>
    <s v="Monisha RR"/>
    <s v="Akshata Nayak Non IT"/>
    <s v="Ehsan"/>
    <n v="6"/>
    <s v="C36232164"/>
    <x v="177"/>
    <n v="34375"/>
    <n v="6875"/>
    <s v="HP"/>
    <n v="6"/>
    <x v="0"/>
    <x v="0"/>
  </r>
  <r>
    <s v="Deekshith MS"/>
    <s v="Poornachandra V"/>
    <s v="Akshata Nayak"/>
    <s v="Pottabathina Aruna "/>
    <n v="1"/>
    <s v="C36232169"/>
    <x v="174"/>
    <n v="367752"/>
    <n v="59419"/>
    <s v="Deloitte - Advisory"/>
    <n v="5"/>
    <x v="1"/>
    <x v="15"/>
  </r>
  <r>
    <s v="Ashwini P"/>
    <s v="Tara VR"/>
    <s v="Prathap Sagar"/>
    <s v="Sireesha Ravipati"/>
    <n v="2"/>
    <s v="C36232131"/>
    <x v="171"/>
    <n v="160000"/>
    <n v="26667"/>
    <s v="Wipro"/>
    <n v="6"/>
    <x v="2"/>
    <x v="14"/>
  </r>
  <r>
    <s v="Thrupthi S"/>
    <s v="Menaka Prasad"/>
    <s v="karan lalchandani"/>
    <s v="Febin Philip"/>
    <n v="2"/>
    <s v="C36232241"/>
    <x v="119"/>
    <n v="113272.32000000001"/>
    <n v="38272.32"/>
    <s v="IBM -Mercedes"/>
    <n v="5"/>
    <x v="1"/>
    <x v="7"/>
  </r>
  <r>
    <s v="Deekshith MS"/>
    <s v="Poornachandra V"/>
    <s v="Akshata Nayak"/>
    <s v="Shyam Laxmanrao Darade"/>
    <n v="1"/>
    <s v="C36232208"/>
    <x v="182"/>
    <n v="367752"/>
    <n v="67752"/>
    <s v="Deloitte_Consulting"/>
    <n v="6"/>
    <x v="1"/>
    <x v="16"/>
  </r>
  <r>
    <s v="Vinith M"/>
    <s v="Tamil C"/>
    <s v="Akshata Nayak"/>
    <s v="Akash M"/>
    <n v="4"/>
    <s v="O36230121"/>
    <x v="183"/>
    <n v="121182.27"/>
    <n v="37849.269999999997"/>
    <s v="DXC"/>
    <n v="5"/>
    <x v="1"/>
    <x v="6"/>
  </r>
  <r>
    <s v="Subha Bharathi"/>
    <s v="Tamil C"/>
    <s v="Akshata Nayak"/>
    <s v="Pankaj Jindal"/>
    <n v="1"/>
    <s v="C36232245"/>
    <x v="184"/>
    <n v="367752"/>
    <n v="76086"/>
    <s v="Deloitte - Advisory"/>
    <n v="5"/>
    <x v="1"/>
    <x v="15"/>
  </r>
  <r>
    <s v="Javeed Khan"/>
    <s v="Prathyusha Mangalampalli"/>
    <s v="Akshata Nayak Non IT"/>
    <s v="D Sai Kumari "/>
    <n v="2"/>
    <s v="C36232231"/>
    <x v="119"/>
    <n v="33040"/>
    <n v="5040"/>
    <s v="Accenture_BPO"/>
    <n v="6"/>
    <x v="0"/>
    <x v="9"/>
  </r>
  <r>
    <s v="Mouli Roy"/>
    <s v="Prathyusha Mangalampalli"/>
    <s v="Akshata Nayak Non IT"/>
    <s v="Niyaz Ahmed Mohammad Hussain Tirmizi "/>
    <n v="2"/>
    <s v="C36232150"/>
    <x v="183"/>
    <n v="32500"/>
    <n v="7500"/>
    <s v="Accenture-voice"/>
    <n v="6"/>
    <x v="0"/>
    <x v="9"/>
  </r>
  <r>
    <s v="Ram Praveen B"/>
    <s v="Fazila K"/>
    <s v="Prathap Sagar"/>
    <s v="S Prathiba Margrat"/>
    <n v="2"/>
    <s v="C36232149"/>
    <x v="166"/>
    <n v="178500"/>
    <n v="32667"/>
    <s v="Infosys"/>
    <n v="5"/>
    <x v="2"/>
    <x v="3"/>
  </r>
  <r>
    <s v="Tamilarasan S"/>
    <s v="Mehr Hashim D"/>
    <s v="Mehr Hashim"/>
    <s v="Buchi Srinu "/>
    <n v="2"/>
    <s v="C36232132"/>
    <x v="171"/>
    <n v="250000"/>
    <n v="125000"/>
    <s v="SONY Software Development Centre"/>
    <n v="6"/>
    <x v="5"/>
    <x v="10"/>
  </r>
  <r>
    <s v="Mouli Roy"/>
    <s v="Prathyusha Mangalampalli"/>
    <s v="Akshata Nayak Non IT"/>
    <s v="Runal Francis Pereira"/>
    <n v="2"/>
    <s v="C36232151"/>
    <x v="183"/>
    <n v="32500"/>
    <n v="7500"/>
    <s v="Accenture-voice"/>
    <n v="6"/>
    <x v="0"/>
    <x v="9"/>
  </r>
  <r>
    <s v="Karnikasri P"/>
    <s v="Priyakantha K"/>
    <s v="Prathap Sagar"/>
    <s v="Angadi Venugopal"/>
    <n v="2"/>
    <s v="C36232200"/>
    <x v="185"/>
    <n v="137666.67000000001"/>
    <n v="21000.67"/>
    <s v="Bharat Forge"/>
    <n v="5"/>
    <x v="2"/>
    <x v="11"/>
  </r>
  <r>
    <s v="Chaithra M"/>
    <s v="Vamsi S"/>
    <s v="Mohanish Pillai"/>
    <s v="Md Sohail Siddique "/>
    <n v="2"/>
    <s v="C36232192"/>
    <x v="172"/>
    <n v="180000"/>
    <n v="34167"/>
    <s v="Accenture_IDB"/>
    <n v="5"/>
    <x v="2"/>
    <x v="3"/>
  </r>
  <r>
    <s v="Akanksha  Tripathi"/>
    <s v="Manjunath R"/>
    <s v="Mehr Hashim"/>
    <s v="Tarunoju Kranthi Kumar"/>
    <n v="2"/>
    <s v="C36232218"/>
    <x v="165"/>
    <n v="300000"/>
    <n v="33334"/>
    <s v="Schneider Electric"/>
    <n v="6"/>
    <x v="5"/>
    <x v="10"/>
  </r>
  <r>
    <s v="Arpita Biswal"/>
    <s v="Anitha C"/>
    <s v="Akshata Nayak Non IT"/>
    <s v=" Chinmaya Kumar Maharana "/>
    <n v="2"/>
    <s v="C36232224"/>
    <x v="182"/>
    <n v="68440"/>
    <n v="10440"/>
    <s v="Accenture_BPO"/>
    <n v="5"/>
    <x v="0"/>
    <x v="9"/>
  </r>
  <r>
    <s v="Shaik Sharukh"/>
    <s v="Poornachandra V"/>
    <s v="Akshata Nayak"/>
    <s v="Dinesh Kumar"/>
    <n v="1"/>
    <s v="C36232248"/>
    <x v="119"/>
    <n v="376110"/>
    <n v="67777"/>
    <s v="Deloitte_Consulting"/>
    <n v="6"/>
    <x v="1"/>
    <x v="16"/>
  </r>
  <r>
    <s v="Karnikasri P"/>
    <s v="Priyakantha K"/>
    <s v="Prathap Sagar"/>
    <s v="Ansari Juned Shaukatali "/>
    <n v="2"/>
    <s v="C36232167"/>
    <x v="62"/>
    <n v="334333.33"/>
    <n v="51000.33"/>
    <s v="Bharat Forge"/>
    <n v="6"/>
    <x v="2"/>
    <x v="11"/>
  </r>
  <r>
    <s v="Ram Praveen B"/>
    <s v="Fazila K"/>
    <s v="Prathap Sagar"/>
    <s v="mayuresh bharmoria"/>
    <n v="2"/>
    <s v="C36232168"/>
    <x v="166"/>
    <n v="231000"/>
    <n v="47667"/>
    <s v="Infosys"/>
    <n v="6"/>
    <x v="2"/>
    <x v="3"/>
  </r>
  <r>
    <s v="Mouli Roy"/>
    <s v="Prathyusha Mangalampalli"/>
    <s v="Akshata Nayak Non IT"/>
    <s v="Girish Gopal Naik"/>
    <n v="2"/>
    <s v="C36232185"/>
    <x v="186"/>
    <n v="32500"/>
    <n v="7500"/>
    <s v="Accenture-voice"/>
    <n v="6"/>
    <x v="0"/>
    <x v="9"/>
  </r>
  <r>
    <s v="Javeed Khan"/>
    <s v="Prathyusha Mangalampalli"/>
    <s v="Akshata Nayak Non IT"/>
    <s v="Dushya S"/>
    <n v="2"/>
    <s v="C36232196"/>
    <x v="169"/>
    <n v="47200"/>
    <n v="7200"/>
    <s v="Accenture_BPO"/>
    <n v="6"/>
    <x v="0"/>
    <x v="9"/>
  </r>
  <r>
    <s v="Chandana K"/>
    <s v="Anitha C"/>
    <s v="Akshata Nayak Non IT"/>
    <s v="Mohamed Azarudeen "/>
    <n v="2"/>
    <s v="C36232204"/>
    <x v="169"/>
    <n v="29500"/>
    <n v="4500"/>
    <s v="Accenture_BPO"/>
    <n v="5"/>
    <x v="0"/>
    <x v="9"/>
  </r>
  <r>
    <s v="Arpita Biswal"/>
    <s v="Anitha C"/>
    <s v="Akshata Nayak Non IT"/>
    <s v="K Karthikeyan"/>
    <n v="2"/>
    <s v="C36232173"/>
    <x v="62"/>
    <n v="29500"/>
    <n v="4500"/>
    <s v="Accenture_BPO"/>
    <n v="5"/>
    <x v="0"/>
    <x v="9"/>
  </r>
  <r>
    <s v="Shaik Sharukh"/>
    <s v="Poornachandra V"/>
    <s v="Akshata Nayak"/>
    <s v="Somnath Choudhury"/>
    <n v="4"/>
    <s v="O36230127"/>
    <x v="187"/>
    <n v="367752"/>
    <n v="134419"/>
    <s v="Deloitte Contract"/>
    <n v="5"/>
    <x v="1"/>
    <x v="15"/>
  </r>
  <r>
    <s v="Deekshith MS"/>
    <s v="Poornachandra V"/>
    <s v="Akshata Nayak"/>
    <s v="PD WOLKE CONSULTANCY"/>
    <n v="4"/>
    <s v="O36230123"/>
    <x v="62"/>
    <n v="376110"/>
    <n v="76110"/>
    <s v="Deloitte Contract"/>
    <n v="5"/>
    <x v="1"/>
    <x v="15"/>
  </r>
  <r>
    <s v="Gouri Priya"/>
    <s v="Pradeep P"/>
    <s v="Akshata Nayak Non IT"/>
    <s v="Narendra Kumar Shivpujan Azad"/>
    <n v="2"/>
    <s v="C36232222"/>
    <x v="165"/>
    <n v="22420"/>
    <n v="3420"/>
    <s v="Accenture_BPO"/>
    <n v="5"/>
    <x v="0"/>
    <x v="9"/>
  </r>
  <r>
    <s v="Prathyusha Mangalampalli"/>
    <s v="Jawad Ulla Khan"/>
    <s v="Jawad Ulla Khan"/>
    <s v="Bhakti Shirish Shinde"/>
    <n v="2"/>
    <s v="C36232159"/>
    <x v="62"/>
    <n v="22420"/>
    <n v="3420"/>
    <s v="Accenture_BPO"/>
    <n v="6"/>
    <x v="0"/>
    <x v="9"/>
  </r>
  <r>
    <s v="Sheetal B"/>
    <s v="Tamil C"/>
    <s v="Akshata Nayak"/>
    <s v="Pottipati Chandra Sekhar Reddy"/>
    <n v="4"/>
    <s v="O36230122"/>
    <x v="166"/>
    <n v="226600.99"/>
    <n v="76600.990000000005"/>
    <s v="DXC"/>
    <n v="5"/>
    <x v="1"/>
    <x v="6"/>
  </r>
  <r>
    <s v="Sai Manish"/>
    <s v="Pradeep P"/>
    <s v="Akshata Nayak Non IT"/>
    <s v="Priya Thombre"/>
    <n v="1"/>
    <s v="C36240080"/>
    <x v="188"/>
    <n v="45517"/>
    <n v="6350.33"/>
    <s v="UHG"/>
    <n v="5"/>
    <x v="0"/>
    <x v="1"/>
  </r>
  <r>
    <s v="Ram Praveen B"/>
    <s v="Fazila K"/>
    <s v="Prathap Sagar"/>
    <s v="Akhil Choudhary"/>
    <n v="7"/>
    <s v="C36232183"/>
    <x v="172"/>
    <n v="60860.800000000003"/>
    <n v="2620.8000000000002"/>
    <s v="ZTE_payroll"/>
    <n v="5"/>
    <x v="2"/>
    <x v="3"/>
  </r>
  <r>
    <s v="Subha Bharathi"/>
    <s v="Tamil C"/>
    <s v="Akshata Nayak"/>
    <s v="Archana B Bangera"/>
    <n v="1"/>
    <s v="C36240253"/>
    <x v="189"/>
    <n v="260932.41"/>
    <n v="260930.41"/>
    <s v="DXC"/>
    <n v="5"/>
    <x v="1"/>
    <x v="6"/>
  </r>
  <r>
    <s v="Mehraj N"/>
    <s v="Prathyusha Mangalampalli"/>
    <s v="Akshata Nayak Non IT"/>
    <s v="Madeena Mohd ibrahim"/>
    <n v="2"/>
    <s v="C36232181"/>
    <x v="186"/>
    <n v="32500"/>
    <n v="7500"/>
    <s v="Accenture-voice"/>
    <n v="5"/>
    <x v="0"/>
    <x v="9"/>
  </r>
  <r>
    <s v="Pooja K"/>
    <s v="Prathyusha Mangalampalli"/>
    <s v="Akshata Nayak Non IT"/>
    <s v="Fareen"/>
    <n v="2"/>
    <s v="C36232171"/>
    <x v="186"/>
    <n v="24898"/>
    <n v="3798"/>
    <s v="Accenture_BPO"/>
    <n v="5"/>
    <x v="0"/>
    <x v="9"/>
  </r>
  <r>
    <s v="Gifty Sunny"/>
    <s v="Prathyusha Mangalampalli"/>
    <s v="Akshata Nayak Non IT"/>
    <s v="Mansi Santosh Choubey"/>
    <n v="2"/>
    <s v="C36232172"/>
    <x v="186"/>
    <n v="32500"/>
    <n v="7500"/>
    <s v="Accenture-voice"/>
    <n v="5"/>
    <x v="0"/>
    <x v="9"/>
  </r>
  <r>
    <s v="Athriya Shet"/>
    <s v="Suman S"/>
    <s v="Prathap Sagar"/>
    <s v="Nitin Dhanyakumar Meshram"/>
    <n v="2"/>
    <s v="C36232219"/>
    <x v="190"/>
    <n v="195000"/>
    <n v="28334"/>
    <s v="Accenture_IDB"/>
    <n v="6"/>
    <x v="2"/>
    <x v="3"/>
  </r>
  <r>
    <s v="Sai Manish"/>
    <s v="Pradeep P"/>
    <s v="Akshata Nayak Non IT"/>
    <s v="P Ahalya "/>
    <n v="1"/>
    <s v="C36240363"/>
    <x v="173"/>
    <n v="27500"/>
    <n v="3195.83"/>
    <s v="RealPage"/>
    <n v="5"/>
    <x v="0"/>
    <x v="22"/>
  </r>
  <r>
    <s v="Surabhi K"/>
    <s v="Mehr Hashim D"/>
    <s v="Mehr Hashim"/>
    <s v="Gangireddy Chenna Reddy"/>
    <n v="2"/>
    <s v="C36232182"/>
    <x v="186"/>
    <n v="336000"/>
    <n v="194334"/>
    <s v="GE Healthcare Global Private Limited."/>
    <n v="5"/>
    <x v="5"/>
    <x v="10"/>
  </r>
  <r>
    <s v="Deekshith MS"/>
    <s v="Poornachandra V"/>
    <s v="Akshata Nayak"/>
    <s v="Biladugu Venkateswarlu"/>
    <n v="1"/>
    <s v="C36232213"/>
    <x v="165"/>
    <n v="317604"/>
    <n v="38438"/>
    <s v="Deloitte - Advisory"/>
    <n v="6"/>
    <x v="1"/>
    <x v="15"/>
  </r>
  <r>
    <s v="Pradeep S"/>
    <s v="Monisha RR"/>
    <s v="Akshata Nayak Non IT"/>
    <s v="Umakanth Mahindrakar"/>
    <n v="1"/>
    <s v="C36232201"/>
    <x v="187"/>
    <n v="45517.5"/>
    <n v="6351.5"/>
    <s v="UHG"/>
    <n v="5"/>
    <x v="0"/>
    <x v="1"/>
  </r>
  <r>
    <s v="Arpita Biswal"/>
    <s v="Anitha C"/>
    <s v="Akshata Nayak Non IT"/>
    <s v="Bhakti Ashok Gajra "/>
    <n v="2"/>
    <s v="C36232186"/>
    <x v="186"/>
    <n v="32500"/>
    <n v="7500"/>
    <s v="Accenture-voice"/>
    <n v="5"/>
    <x v="0"/>
    <x v="9"/>
  </r>
  <r>
    <s v="Manda Ushodaya"/>
    <s v="Fazila K"/>
    <s v="Prathap Sagar"/>
    <s v="Mandeep Singh"/>
    <n v="7"/>
    <s v="C36232184"/>
    <x v="172"/>
    <n v="60860.800000000003"/>
    <n v="2620.8000000000002"/>
    <s v="ZTE_payroll"/>
    <n v="5"/>
    <x v="2"/>
    <x v="3"/>
  </r>
  <r>
    <s v="Lakheswari Ranjan"/>
    <s v="Sheetal B"/>
    <s v="Tamil Chelvan"/>
    <s v="Bezawada Subhash Chandra"/>
    <n v="1"/>
    <s v="C36232205"/>
    <x v="165"/>
    <n v="369000"/>
    <n v="94000"/>
    <s v="Deloitte_Consulting"/>
    <n v="6"/>
    <x v="1"/>
    <x v="16"/>
  </r>
  <r>
    <s v="Surabhi K"/>
    <s v="Mehr Hashim D"/>
    <s v="Mehr Hashim"/>
    <s v="Prejith Antony R"/>
    <n v="2"/>
    <s v="C36232193"/>
    <x v="172"/>
    <n v="226166.67"/>
    <n v="34500.67"/>
    <s v="Pure Storage"/>
    <n v="5"/>
    <x v="5"/>
    <x v="10"/>
  </r>
  <r>
    <s v="Shaik  Nayeem"/>
    <s v="Dummy Record Lead"/>
    <s v="Akansha Ahuja"/>
    <s v="A Shadaksharan"/>
    <n v="1"/>
    <s v="C36232263"/>
    <x v="169"/>
    <n v="119700"/>
    <n v="28034"/>
    <s v="Socgen"/>
    <n v="6"/>
    <x v="6"/>
    <x v="2"/>
  </r>
  <r>
    <s v="Priya b"/>
    <s v="Prathyusha Mangalampalli"/>
    <s v="Akshata Nayak Non IT"/>
    <s v="Amit Deepak  Shelar"/>
    <n v="2"/>
    <s v="C36232211"/>
    <x v="187"/>
    <n v="22420"/>
    <n v="3420"/>
    <s v="Accenture_BPO"/>
    <n v="6"/>
    <x v="0"/>
    <x v="9"/>
  </r>
  <r>
    <s v="Pooja K"/>
    <s v="Prathyusha Mangalampalli"/>
    <s v="Akshata Nayak Non IT"/>
    <s v="Patwe Altaf Arshad"/>
    <n v="2"/>
    <s v="C36232244"/>
    <x v="187"/>
    <n v="32500"/>
    <n v="7500"/>
    <s v="Accenture-voice"/>
    <n v="5"/>
    <x v="0"/>
    <x v="9"/>
  </r>
  <r>
    <s v="Bhargavi T R"/>
    <s v="Monisha RR"/>
    <s v="Akshata Nayak Non IT"/>
    <s v="Anil Gowda H"/>
    <n v="6"/>
    <s v="C36232217"/>
    <x v="169"/>
    <n v="34375"/>
    <n v="6875"/>
    <s v="HP"/>
    <n v="5"/>
    <x v="0"/>
    <x v="0"/>
  </r>
  <r>
    <s v="Prateek A"/>
    <s v="Mehr Hashim D"/>
    <s v="Mehr Hashim"/>
    <s v="Pankaj  Verma"/>
    <n v="4"/>
    <s v="O36230125"/>
    <x v="185"/>
    <n v="253698.48"/>
    <n v="153698.48000000001"/>
    <s v="Pure Storage"/>
    <n v="6"/>
    <x v="5"/>
    <x v="10"/>
  </r>
  <r>
    <s v="Deepthi C"/>
    <s v="Anitha C"/>
    <s v="Akshata Nayak Non IT"/>
    <s v="H Prabhas "/>
    <n v="2"/>
    <s v="C36232228"/>
    <x v="185"/>
    <n v="25872"/>
    <n v="5039"/>
    <s v="Northern Trust"/>
    <n v="5"/>
    <x v="1"/>
    <x v="9"/>
  </r>
  <r>
    <s v="Punitha C"/>
    <s v="Suman S"/>
    <s v="Prathap Sagar"/>
    <s v="Sathya Neil Chowdary Daruru"/>
    <n v="2"/>
    <s v="C36232214"/>
    <x v="165"/>
    <n v="26000"/>
    <n v="5000"/>
    <s v="Accenture_IDB"/>
    <n v="5"/>
    <x v="2"/>
    <x v="3"/>
  </r>
  <r>
    <s v="Krishna Mohanty"/>
    <s v="Kamlesh A"/>
    <s v="Menaka Prasad"/>
    <s v="Monalisa Patra"/>
    <n v="2"/>
    <s v="C36232227"/>
    <x v="165"/>
    <n v="56442"/>
    <n v="2276"/>
    <s v="CenturyLink Technologies India Pvt.Ltd"/>
    <n v="5"/>
    <x v="1"/>
    <x v="2"/>
  </r>
  <r>
    <s v="Gopinath S N"/>
    <s v="Mehr Hashim D"/>
    <s v="Mehr Hashim"/>
    <s v="RAJESH VB"/>
    <n v="2"/>
    <s v="C36232202"/>
    <x v="187"/>
    <n v="100000"/>
    <n v="8334"/>
    <s v="SONY Software Development Centre"/>
    <n v="5"/>
    <x v="5"/>
    <x v="10"/>
  </r>
  <r>
    <s v="Priya b"/>
    <s v="Prathyusha Mangalampalli"/>
    <s v="Akshata Nayak Non IT"/>
    <s v="Abhishek Kamble"/>
    <n v="2"/>
    <s v="C36232209"/>
    <x v="185"/>
    <n v="30000"/>
    <n v="5000"/>
    <s v="Accenture-voice"/>
    <n v="6"/>
    <x v="0"/>
    <x v="9"/>
  </r>
  <r>
    <s v="Sachin K"/>
    <s v="Prathyusha Mangalampalli"/>
    <s v="Akshata Nayak Non IT"/>
    <s v="  UK Deepak "/>
    <n v="2"/>
    <s v="C36232210"/>
    <x v="185"/>
    <n v="72000"/>
    <n v="12000"/>
    <s v="Accenture-voice"/>
    <n v="6"/>
    <x v="0"/>
    <x v="9"/>
  </r>
  <r>
    <s v="Bindushree R"/>
    <s v="Prathyusha Mangalampalli"/>
    <s v="Akshata Nayak Non IT"/>
    <s v="Harshitha K"/>
    <n v="2"/>
    <s v="C36232237"/>
    <x v="182"/>
    <n v="24898"/>
    <n v="3798"/>
    <s v="Accenture_BPO"/>
    <n v="6"/>
    <x v="0"/>
    <x v="9"/>
  </r>
  <r>
    <s v="Narendra Kumar Debariki"/>
    <s v="Pradeep P"/>
    <s v="Akshata Nayak Non IT"/>
    <s v="Bybare Wasim Akram"/>
    <n v="1"/>
    <s v="C36232215"/>
    <x v="187"/>
    <n v="45517.5"/>
    <n v="6351.5"/>
    <s v="UHG"/>
    <n v="5"/>
    <x v="0"/>
    <x v="1"/>
  </r>
  <r>
    <s v="Jackson Mathew"/>
    <s v="Tamil C"/>
    <s v="Akshata Nayak"/>
    <s v="Boddu Jaya shri"/>
    <n v="4"/>
    <s v="O36230124"/>
    <x v="169"/>
    <n v="191000"/>
    <n v="91000"/>
    <s v="Harman"/>
    <n v="6"/>
    <x v="1"/>
    <x v="12"/>
  </r>
  <r>
    <s v="sumran Mattoo"/>
    <s v="Mehr Hashim D"/>
    <s v="Mehr Hashim"/>
    <s v="Gopinath V_x0009_ "/>
    <n v="4"/>
    <s v="O36230126"/>
    <x v="165"/>
    <n v="253698.48"/>
    <n v="128698.48"/>
    <s v="Pure Storage"/>
    <n v="5"/>
    <x v="5"/>
    <x v="10"/>
  </r>
  <r>
    <s v="Sharanabasava Saalunke"/>
    <s v="Mehr Hashim D"/>
    <s v="Mehr Hashim"/>
    <s v="Revappa Savale"/>
    <n v="2"/>
    <s v="C36232203"/>
    <x v="187"/>
    <n v="150000"/>
    <n v="75000"/>
    <s v="SONY Software Development Centre"/>
    <n v="5"/>
    <x v="5"/>
    <x v="10"/>
  </r>
  <r>
    <s v="Sneha G"/>
    <s v="Manjunath R"/>
    <s v="Mehr Hashim"/>
    <s v="Mayank "/>
    <n v="2"/>
    <s v="C36232206"/>
    <x v="165"/>
    <n v="203333.33"/>
    <n v="36667.33"/>
    <s v="Alliance Data"/>
    <n v="6"/>
    <x v="5"/>
    <x v="8"/>
  </r>
  <r>
    <s v="Gifty Sunny"/>
    <s v="Prathyusha Mangalampalli"/>
    <s v="Akshata Nayak Non IT"/>
    <s v="T Jennifer"/>
    <n v="2"/>
    <s v="C36232216"/>
    <x v="187"/>
    <n v="25300"/>
    <n v="3860"/>
    <s v="Accenture-voice"/>
    <n v="6"/>
    <x v="0"/>
    <x v="9"/>
  </r>
  <r>
    <s v="Sachin K"/>
    <s v="Prathyusha Mangalampalli"/>
    <s v="Akshata Nayak Non IT"/>
    <s v="Palaparty SriTeja"/>
    <n v="2"/>
    <s v="C36232238"/>
    <x v="187"/>
    <n v="68400"/>
    <n v="11400"/>
    <s v="Accenture-voice"/>
    <n v="5"/>
    <x v="0"/>
    <x v="9"/>
  </r>
  <r>
    <s v="Sai Manish"/>
    <s v="Pradeep P"/>
    <s v="Akshata Nayak Non IT"/>
    <s v="Nimmani Vasanth "/>
    <n v="1"/>
    <s v="C36232256"/>
    <x v="190"/>
    <n v="45517"/>
    <n v="6350.33"/>
    <s v="UHG"/>
    <n v="5"/>
    <x v="0"/>
    <x v="1"/>
  </r>
  <r>
    <s v="Lokesh Reddy"/>
    <s v="Mehr Hashim D"/>
    <s v="Mehr Hashim"/>
    <s v=" Kajal Kumari"/>
    <n v="2"/>
    <s v="C36232207"/>
    <x v="165"/>
    <n v="172833.33"/>
    <n v="31167.33"/>
    <s v="Alliance Data"/>
    <n v="5"/>
    <x v="5"/>
    <x v="8"/>
  </r>
  <r>
    <s v="Sachin K"/>
    <s v="Prathyusha Mangalampalli"/>
    <s v="Akshata Nayak Non IT"/>
    <s v="Swarnali Mitra"/>
    <n v="2"/>
    <s v="C36232243"/>
    <x v="182"/>
    <n v="66000"/>
    <n v="11000"/>
    <s v="Accenture-voice"/>
    <n v="5"/>
    <x v="0"/>
    <x v="9"/>
  </r>
  <r>
    <s v="Harshitha S"/>
    <s v="Tamil C"/>
    <s v="Akshata Nayak"/>
    <s v="Peraboina Ajay  "/>
    <n v="2"/>
    <s v="C36232264"/>
    <x v="143"/>
    <n v="67200"/>
    <n v="17200"/>
    <s v="Socgen"/>
    <n v="6"/>
    <x v="6"/>
    <x v="2"/>
  </r>
  <r>
    <s v="rajeev krishna"/>
    <s v="Poornachandra V"/>
    <s v="Akshata Nayak"/>
    <s v="Swetha J R"/>
    <n v="1"/>
    <s v="C36232247"/>
    <x v="191"/>
    <n v="183876"/>
    <n v="125543"/>
    <s v="Deloitte-One Tech"/>
    <n v="5"/>
    <x v="1"/>
    <x v="15"/>
  </r>
  <r>
    <s v="Aishwarya Kakade"/>
    <s v="Sunitha V"/>
    <s v="Akshata Nayak"/>
    <s v="Jithkrishna V A"/>
    <n v="2"/>
    <s v="C36232251"/>
    <x v="119"/>
    <n v="234024"/>
    <n v="92358"/>
    <s v="Deloitte_Consulting"/>
    <n v="5"/>
    <x v="1"/>
    <x v="16"/>
  </r>
  <r>
    <s v="Bindushree R"/>
    <s v="Prathyusha Mangalampalli"/>
    <s v="Akshata Nayak Non IT"/>
    <s v="Suman Rajendra Yadav"/>
    <n v="2"/>
    <s v="C36232223"/>
    <x v="165"/>
    <n v="22420"/>
    <n v="3420"/>
    <s v="Accenture_BPO"/>
    <n v="5"/>
    <x v="0"/>
    <x v="9"/>
  </r>
  <r>
    <s v="Mehraj N"/>
    <s v="Prathyusha Mangalampalli"/>
    <s v="Akshata Nayak Non IT"/>
    <s v="Saniya A"/>
    <n v="2"/>
    <s v="C36232220"/>
    <x v="190"/>
    <n v="60000"/>
    <n v="10000"/>
    <s v="Accenture-voice"/>
    <n v="5"/>
    <x v="0"/>
    <x v="9"/>
  </r>
  <r>
    <s v="Shiva Prasad"/>
    <s v="Fazila K"/>
    <s v="Prathap Sagar"/>
    <s v="Laxmi Yadav"/>
    <n v="2"/>
    <s v="C36232232"/>
    <x v="63"/>
    <n v="195300"/>
    <n v="28634"/>
    <s v="Infosys"/>
    <n v="6"/>
    <x v="2"/>
    <x v="3"/>
  </r>
  <r>
    <s v="Gouri Priya"/>
    <s v="Pradeep P"/>
    <s v="Akshata Nayak Non IT"/>
    <s v="Suman Kumar"/>
    <n v="1"/>
    <s v="C36232343"/>
    <x v="192"/>
    <n v="45517"/>
    <n v="8017"/>
    <s v="UHG"/>
    <n v="5"/>
    <x v="0"/>
    <x v="1"/>
  </r>
  <r>
    <s v="Keerthana S"/>
    <s v="Monisha RR"/>
    <s v="Akshata Nayak Non IT"/>
    <s v="Mishell Bhavana"/>
    <n v="6"/>
    <s v="C36240025"/>
    <x v="190"/>
    <n v="34375"/>
    <n v="6875"/>
    <s v="HP"/>
    <n v="5"/>
    <x v="0"/>
    <x v="0"/>
  </r>
  <r>
    <s v="Poorvi Kundur"/>
    <s v="Monisha RR"/>
    <s v="Akshata Nayak Non IT"/>
    <s v="Taskeen Taj"/>
    <n v="6"/>
    <s v="C36232252"/>
    <x v="190"/>
    <n v="34375"/>
    <n v="6875"/>
    <s v="HP"/>
    <n v="6"/>
    <x v="0"/>
    <x v="0"/>
  </r>
  <r>
    <s v="Saravana BA"/>
    <s v="Mehr Hashim D"/>
    <s v="Mehr Hashim"/>
    <s v="Piyush Agarwal  "/>
    <n v="2"/>
    <s v="C36232291"/>
    <x v="193"/>
    <n v="290000"/>
    <n v="27500"/>
    <s v="Schneider Electric"/>
    <n v="5"/>
    <x v="5"/>
    <x v="10"/>
  </r>
  <r>
    <s v="Mouli Roy"/>
    <s v="Prathyusha Mangalampalli"/>
    <s v="Akshata Nayak Non IT"/>
    <s v=" Amzad Khan"/>
    <n v="2"/>
    <s v="C36232242"/>
    <x v="190"/>
    <n v="48000"/>
    <n v="8000"/>
    <s v="Accenture-voice"/>
    <n v="6"/>
    <x v="0"/>
    <x v="9"/>
  </r>
  <r>
    <s v="Saravana BA"/>
    <s v="Mehr Hashim D"/>
    <s v="Mehr Hashim"/>
    <s v=" Piyush Agarwal  "/>
    <n v="4"/>
    <s v="O36230132"/>
    <x v="63"/>
    <n v="290000"/>
    <n v="27500"/>
    <s v="Schneider Electric"/>
    <n v="6"/>
    <x v="5"/>
    <x v="10"/>
  </r>
  <r>
    <s v="Arpita Biswal"/>
    <s v="Anitha C"/>
    <s v="Akshata Nayak Non IT"/>
    <s v="Waseem "/>
    <n v="2"/>
    <s v="C36232240"/>
    <x v="194"/>
    <n v="25872"/>
    <n v="5039"/>
    <s v="Northern Trust"/>
    <n v="6"/>
    <x v="1"/>
    <x v="9"/>
  </r>
  <r>
    <s v="Bhargavi T R"/>
    <s v="Monisha RR"/>
    <s v="Akshata Nayak Non IT"/>
    <s v="Abdul  Rahim Khan"/>
    <n v="2"/>
    <s v="C36232225"/>
    <x v="63"/>
    <n v="48000"/>
    <n v="8000"/>
    <s v="Accenture-voice"/>
    <n v="6"/>
    <x v="0"/>
    <x v="9"/>
  </r>
  <r>
    <s v="Prateek A"/>
    <s v="Mehr Hashim D"/>
    <s v="Mehr Hashim"/>
    <s v="Chandani "/>
    <n v="2"/>
    <s v="C36230547"/>
    <x v="27"/>
    <n v="441000"/>
    <n v="191000"/>
    <s v="Shell"/>
    <n v="5"/>
    <x v="5"/>
    <x v="8"/>
  </r>
  <r>
    <s v="Mehraj N"/>
    <s v="Prathyusha Mangalampalli"/>
    <s v="Akshata Nayak Non IT"/>
    <s v="ROHIT Panchu pal"/>
    <n v="2"/>
    <s v="C36232234"/>
    <x v="63"/>
    <n v="22420"/>
    <n v="3420"/>
    <s v="Accenture_BPO"/>
    <n v="5"/>
    <x v="0"/>
    <x v="9"/>
  </r>
  <r>
    <s v="Manda Ushodaya"/>
    <s v="Fazila K"/>
    <s v="Prathap Sagar"/>
    <s v="Vennapusa Varaprasad Reddy"/>
    <n v="4"/>
    <s v="O36230133"/>
    <x v="63"/>
    <n v="178500"/>
    <n v="28500"/>
    <s v="Infosys"/>
    <n v="5"/>
    <x v="2"/>
    <x v="3"/>
  </r>
  <r>
    <s v="Uma Sree"/>
    <s v="Mehr Hashim D"/>
    <s v="Mehr Hashim"/>
    <s v="Surendra Kumar Purohit"/>
    <n v="4"/>
    <s v="O36230129"/>
    <x v="179"/>
    <n v="415000"/>
    <n v="206666.67"/>
    <s v="GE Healthcare Global Private Limited."/>
    <n v="5"/>
    <x v="5"/>
    <x v="10"/>
  </r>
  <r>
    <s v="Aishwarya Kakade"/>
    <s v="Sunitha V"/>
    <s v="Akshata Nayak"/>
    <s v="M K Aashiq"/>
    <n v="2"/>
    <s v="C36232330"/>
    <x v="119"/>
    <n v="119700"/>
    <n v="15534"/>
    <s v="Socgen"/>
    <n v="5"/>
    <x v="6"/>
    <x v="2"/>
  </r>
  <r>
    <s v="Chandana K"/>
    <s v="Anitha C"/>
    <s v="Akshata Nayak Non IT"/>
    <s v="Adarsh C V"/>
    <n v="2"/>
    <s v="C36232235"/>
    <x v="63"/>
    <n v="37760"/>
    <n v="5760"/>
    <s v="Accenture_BPO"/>
    <n v="5"/>
    <x v="0"/>
    <x v="9"/>
  </r>
  <r>
    <s v="Gopinath S N"/>
    <s v="Mehr Hashim D"/>
    <s v="Mehr Hashim"/>
    <s v="Keerti "/>
    <n v="2"/>
    <s v="C36232226"/>
    <x v="179"/>
    <n v="336000"/>
    <n v="227667"/>
    <s v="GE Healthcare Global Private Limited."/>
    <n v="5"/>
    <x v="5"/>
    <x v="10"/>
  </r>
  <r>
    <s v="Surabhi K"/>
    <s v="Mehr Hashim D"/>
    <s v="Mehr Hashim"/>
    <s v="Vaishnavi  Arunrao Kakad"/>
    <n v="4"/>
    <s v="O36230128"/>
    <x v="63"/>
    <n v="336000"/>
    <n v="194333.33"/>
    <s v="GE Healthcare Global Private Limited."/>
    <n v="6"/>
    <x v="5"/>
    <x v="10"/>
  </r>
  <r>
    <s v="Shivangi Gupta"/>
    <s v="Mehr Hashim D"/>
    <s v="Mehr Hashim"/>
    <s v="Harsha C M"/>
    <n v="2"/>
    <s v="C36230702"/>
    <x v="43"/>
    <n v="441000"/>
    <n v="124334"/>
    <s v="Shell"/>
    <n v="6"/>
    <x v="5"/>
    <x v="8"/>
  </r>
  <r>
    <s v="Keerthana S"/>
    <s v="Monisha RR"/>
    <s v="Akshata Nayak Non IT"/>
    <s v="MOHD JAMEEL AHMED"/>
    <n v="1"/>
    <s v="C36232261"/>
    <x v="184"/>
    <n v="45517"/>
    <n v="6350.33"/>
    <s v="UHG"/>
    <n v="6"/>
    <x v="0"/>
    <x v="1"/>
  </r>
  <r>
    <s v="Shivangi Gupta"/>
    <s v="Mehr Hashim D"/>
    <s v="Mehr Hashim"/>
    <s v="Gourish .R"/>
    <n v="4"/>
    <s v="O36230131"/>
    <x v="179"/>
    <n v="400000"/>
    <n v="175000"/>
    <s v="SONY Software Development Centre"/>
    <n v="5"/>
    <x v="5"/>
    <x v="10"/>
  </r>
  <r>
    <s v="Don Bosco"/>
    <s v="Suman S"/>
    <s v="Prathap Sagar"/>
    <s v="Kusumeshkant  Sharma"/>
    <n v="2"/>
    <s v="C36232236"/>
    <x v="63"/>
    <n v="125000"/>
    <n v="15000"/>
    <s v="Accenture_IDB"/>
    <n v="5"/>
    <x v="2"/>
    <x v="3"/>
  </r>
  <r>
    <s v="Gouri Priya"/>
    <s v="Pradeep P"/>
    <s v="Akshata Nayak Non IT"/>
    <s v="Kandula Anil Kumar"/>
    <n v="1"/>
    <s v="C36232277"/>
    <x v="184"/>
    <n v="45517"/>
    <n v="6350.33"/>
    <s v="UHG"/>
    <n v="5"/>
    <x v="0"/>
    <x v="1"/>
  </r>
  <r>
    <s v="Sireesha K"/>
    <s v="Prathyusha Mangalampalli"/>
    <s v="Akshata Nayak Non IT"/>
    <s v="Rayidi Prathima "/>
    <n v="2"/>
    <s v="C36232274"/>
    <x v="195"/>
    <n v="29500"/>
    <n v="4500"/>
    <s v="Accenture_BPO"/>
    <n v="5"/>
    <x v="0"/>
    <x v="9"/>
  </r>
  <r>
    <s v="Tamilarasan S"/>
    <s v="Mehr Hashim D"/>
    <s v="Mehr Hashim"/>
    <s v="Bakkir Reddy Vinod Kumar Reddy"/>
    <n v="4"/>
    <s v="O36230134"/>
    <x v="63"/>
    <n v="302400"/>
    <n v="52400"/>
    <s v="GE Healthcare Global Private Limited."/>
    <n v="6"/>
    <x v="5"/>
    <x v="10"/>
  </r>
  <r>
    <s v="Bhargavi T R"/>
    <s v="Monisha RR"/>
    <s v="Akshata Nayak Non IT"/>
    <s v="Sanjay Js"/>
    <n v="2"/>
    <s v="C36232298"/>
    <x v="119"/>
    <n v="65000"/>
    <n v="15000"/>
    <s v="Accenture-voice"/>
    <n v="5"/>
    <x v="0"/>
    <x v="9"/>
  </r>
  <r>
    <s v="Priya b"/>
    <s v="Prathyusha Mangalampalli"/>
    <s v="Akshata Nayak Non IT"/>
    <s v="Srujana BR"/>
    <n v="2"/>
    <s v="C36232250"/>
    <x v="119"/>
    <n v="32500"/>
    <n v="7500"/>
    <s v="Accenture-voice"/>
    <n v="5"/>
    <x v="0"/>
    <x v="9"/>
  </r>
  <r>
    <s v="Deekshith MS"/>
    <s v="Poornachandra V"/>
    <s v="Akshata Nayak"/>
    <s v=" Vemulapalli Raveendra Kumar"/>
    <n v="1"/>
    <s v="C36232307"/>
    <x v="196"/>
    <n v="376110"/>
    <n v="34444"/>
    <s v="Deloitte_Consulting"/>
    <n v="6"/>
    <x v="1"/>
    <x v="16"/>
  </r>
  <r>
    <s v="Gopal V"/>
    <s v="Tamil C"/>
    <s v="Akshata Nayak"/>
    <s v=" Chandan Kumar "/>
    <n v="4"/>
    <s v="O36230135"/>
    <x v="191"/>
    <n v="295566.5"/>
    <n v="70566.5"/>
    <s v="DXC"/>
    <n v="5"/>
    <x v="1"/>
    <x v="6"/>
  </r>
  <r>
    <s v="Javeed Khan"/>
    <s v="Prathyusha Mangalampalli"/>
    <s v="Akshata Nayak Non IT"/>
    <s v="PremKumar Paras Yadav "/>
    <n v="2"/>
    <s v="C36232257"/>
    <x v="184"/>
    <n v="32500"/>
    <n v="7500"/>
    <s v="Accenture_BPO"/>
    <n v="5"/>
    <x v="0"/>
    <x v="9"/>
  </r>
  <r>
    <s v="Vinith M"/>
    <s v="Tamil C"/>
    <s v="Akshata Nayak"/>
    <s v="Soujanya. C.S"/>
    <n v="1"/>
    <s v="C36232246"/>
    <x v="184"/>
    <n v="200592"/>
    <n v="75592"/>
    <s v="Deloitte - Advisory"/>
    <n v="5"/>
    <x v="1"/>
    <x v="15"/>
  </r>
  <r>
    <s v="Manda Ushodaya"/>
    <s v="Fazila K"/>
    <s v="Prathap Sagar"/>
    <s v="Velmani Sankaranarayanan"/>
    <n v="2"/>
    <s v="C36232311"/>
    <x v="197"/>
    <n v="155400"/>
    <n v="38733.33"/>
    <s v="Infosys"/>
    <n v="6"/>
    <x v="2"/>
    <x v="3"/>
  </r>
  <r>
    <s v="Mehraj N"/>
    <s v="Prathyusha Mangalampalli"/>
    <s v="Akshata Nayak Non IT"/>
    <s v="Sahil Harish Bhandari"/>
    <n v="2"/>
    <s v="C36232249"/>
    <x v="119"/>
    <n v="22420"/>
    <n v="3420"/>
    <s v="Accenture_BPO"/>
    <n v="5"/>
    <x v="0"/>
    <x v="9"/>
  </r>
  <r>
    <s v="Greeshma MS"/>
    <s v="Tamil C"/>
    <s v="Akshata Nayak"/>
    <s v="Koppala Bhanuchandra"/>
    <n v="4"/>
    <s v="O36230136"/>
    <x v="184"/>
    <n v="232000"/>
    <n v="37000"/>
    <s v="Harman"/>
    <n v="6"/>
    <x v="1"/>
    <x v="12"/>
  </r>
  <r>
    <s v="Surekha S"/>
    <s v="Monisha RR"/>
    <s v="Akshata Nayak Non IT"/>
    <s v="Yash Deepak Wadhwani"/>
    <n v="6"/>
    <s v="C36232310"/>
    <x v="194"/>
    <n v="34375"/>
    <n v="6875"/>
    <s v="HP"/>
    <n v="5"/>
    <x v="0"/>
    <x v="0"/>
  </r>
  <r>
    <s v="Tejashwini A"/>
    <s v="Fazila K"/>
    <s v="Prathap Sagar"/>
    <s v=" Mani Verma "/>
    <n v="2"/>
    <s v="C36232312"/>
    <x v="197"/>
    <n v="151200"/>
    <n v="9533.33"/>
    <s v="Infosys"/>
    <n v="5"/>
    <x v="2"/>
    <x v="3"/>
  </r>
  <r>
    <s v="Subha Bharathi"/>
    <s v="Tamil C"/>
    <s v="Akshata Nayak"/>
    <s v="Rahul Ajay Shinde "/>
    <n v="1"/>
    <s v="C36232292"/>
    <x v="193"/>
    <n v="91938"/>
    <n v="21105"/>
    <s v="Deloitte - Advisory"/>
    <n v="5"/>
    <x v="1"/>
    <x v="15"/>
  </r>
  <r>
    <s v="Gifty Sunny"/>
    <s v="Prathyusha Mangalampalli"/>
    <s v="Akshata Nayak Non IT"/>
    <s v="Ravikumar Ramkumar Soni"/>
    <n v="2"/>
    <s v="C36232270"/>
    <x v="198"/>
    <n v="22302"/>
    <n v="3402"/>
    <s v="Accenture_BPO"/>
    <n v="5"/>
    <x v="0"/>
    <x v="9"/>
  </r>
  <r>
    <s v="Sai Vineeth"/>
    <s v="Pradeep P"/>
    <s v="Akshata Nayak Non IT"/>
    <s v="Adapa Sai Latha"/>
    <n v="1"/>
    <s v="C36232284"/>
    <x v="184"/>
    <n v="45517"/>
    <n v="8017"/>
    <s v="UHG"/>
    <n v="5"/>
    <x v="0"/>
    <x v="1"/>
  </r>
  <r>
    <s v="Javeed Khan"/>
    <s v="Prathyusha Mangalampalli"/>
    <s v="Akshata Nayak Non IT"/>
    <s v="Sakshi Agarwal"/>
    <n v="2"/>
    <s v="C36232283"/>
    <x v="195"/>
    <n v="47200"/>
    <n v="7200"/>
    <s v="Accenture_BPO"/>
    <n v="5"/>
    <x v="0"/>
    <x v="9"/>
  </r>
  <r>
    <s v="Gopal V"/>
    <s v="Tamil C"/>
    <s v="Akshata Nayak"/>
    <s v=" Challagundla SriLakshmi "/>
    <n v="2"/>
    <s v="C36232268"/>
    <x v="184"/>
    <n v="140000"/>
    <n v="40000"/>
    <s v="Harman"/>
    <n v="6"/>
    <x v="1"/>
    <x v="12"/>
  </r>
  <r>
    <s v="Deepthi C"/>
    <s v="Anitha C"/>
    <s v="Akshata Nayak Non IT"/>
    <s v="Ayushi Kesarwani"/>
    <n v="2"/>
    <s v="C36240022"/>
    <x v="56"/>
    <n v="135000"/>
    <n v="55834"/>
    <s v="Fluence Energy"/>
    <n v="5"/>
    <x v="1"/>
    <x v="12"/>
  </r>
  <r>
    <s v="Mehraj N"/>
    <s v="Prathyusha Mangalampalli"/>
    <s v="Akshata Nayak Non IT"/>
    <s v="Jasmine I "/>
    <n v="2"/>
    <s v="C36232299"/>
    <x v="175"/>
    <n v="65000"/>
    <n v="15000"/>
    <s v="Accenture-voice"/>
    <n v="6"/>
    <x v="0"/>
    <x v="9"/>
  </r>
  <r>
    <s v="Pooja K"/>
    <s v="Prathyusha Mangalampalli"/>
    <s v="Akshata Nayak Non IT"/>
    <s v="Karan Pravin  Kadam"/>
    <n v="2"/>
    <s v="C36232285"/>
    <x v="184"/>
    <n v="22420"/>
    <n v="3420"/>
    <s v="Accenture_BPO"/>
    <n v="5"/>
    <x v="0"/>
    <x v="9"/>
  </r>
  <r>
    <s v="Mehraj N"/>
    <s v="Prathyusha Mangalampalli"/>
    <s v="Akshata Nayak Non IT"/>
    <s v="Anish Vasanth Shetty"/>
    <n v="2"/>
    <s v="C36232254"/>
    <x v="198"/>
    <n v="22420"/>
    <n v="3420"/>
    <s v="Accenture_BPO"/>
    <n v="5"/>
    <x v="0"/>
    <x v="9"/>
  </r>
  <r>
    <s v="Mouli Roy"/>
    <s v="Prathyusha Mangalampalli"/>
    <s v="Akshata Nayak Non IT"/>
    <s v="Nehal madan Kanojia"/>
    <n v="2"/>
    <s v="C36232286"/>
    <x v="198"/>
    <n v="22420"/>
    <n v="3420"/>
    <s v="Accenture_BPO"/>
    <n v="5"/>
    <x v="0"/>
    <x v="9"/>
  </r>
  <r>
    <s v="Mehraj N"/>
    <s v="Prathyusha Mangalampalli"/>
    <s v="Akshata Nayak Non IT"/>
    <s v="Prathamesh Jitendra Yadav "/>
    <n v="2"/>
    <s v="C36232262"/>
    <x v="198"/>
    <n v="22420"/>
    <n v="3420"/>
    <s v="Accenture_BPO"/>
    <n v="5"/>
    <x v="0"/>
    <x v="9"/>
  </r>
  <r>
    <s v="Arpita Biswal"/>
    <s v="Anitha C"/>
    <s v="Akshata Nayak Non IT"/>
    <s v="Sonali Rai.R"/>
    <n v="2"/>
    <s v="C36232265"/>
    <x v="195"/>
    <n v="37800"/>
    <n v="6134"/>
    <s v="Northern Trust"/>
    <n v="5"/>
    <x v="1"/>
    <x v="9"/>
  </r>
  <r>
    <s v="Vinay Kumar"/>
    <s v="Shashank Gowda"/>
    <s v="Prathap Sagar"/>
    <s v="Dhinuja "/>
    <n v="2"/>
    <s v="C36232259"/>
    <x v="194"/>
    <n v="34000"/>
    <n v="9000"/>
    <s v="Wipro"/>
    <n v="5"/>
    <x v="2"/>
    <x v="14"/>
  </r>
  <r>
    <s v="Pariki Pradeep"/>
    <s v="Akshata Nayak"/>
    <s v="Pariki Pradeep"/>
    <s v="Nelluri Tejaswi"/>
    <n v="1"/>
    <s v="C36232341"/>
    <x v="196"/>
    <n v="45517"/>
    <n v="6350.33"/>
    <s v="UHG"/>
    <n v="6"/>
    <x v="0"/>
    <x v="1"/>
  </r>
  <r>
    <s v="Sanu S"/>
    <s v="Priyakantha K"/>
    <s v="Prathap Sagar"/>
    <s v=" Ruchi Kumari "/>
    <n v="2"/>
    <s v="C36232325"/>
    <x v="199"/>
    <n v="97000"/>
    <n v="12000"/>
    <s v="Accenture_IDB"/>
    <n v="6"/>
    <x v="2"/>
    <x v="3"/>
  </r>
  <r>
    <s v="Javeed Khan"/>
    <s v="Prathyusha Mangalampalli"/>
    <s v="Akshata Nayak Non IT"/>
    <s v="Singh Kishan Chandrashekher "/>
    <n v="2"/>
    <s v="C36232258"/>
    <x v="184"/>
    <n v="22420"/>
    <n v="3420"/>
    <s v="Accenture_BPO"/>
    <n v="6"/>
    <x v="0"/>
    <x v="9"/>
  </r>
  <r>
    <s v="Sumanth VM"/>
    <s v="Suman S"/>
    <s v="Prathap Sagar"/>
    <s v="Divyanshu Sharma"/>
    <n v="2"/>
    <s v="C36232266"/>
    <x v="195"/>
    <n v="87000"/>
    <n v="12000"/>
    <s v="Accenture_IDB"/>
    <n v="5"/>
    <x v="2"/>
    <x v="3"/>
  </r>
  <r>
    <s v="Shaik Sharukh"/>
    <s v="Poornachandra V"/>
    <s v="Akshata Nayak"/>
    <s v="Matham Diwakar "/>
    <n v="1"/>
    <s v="C36232293"/>
    <x v="193"/>
    <n v="376110"/>
    <n v="34444"/>
    <s v="Deloitte_Consulting"/>
    <n v="5"/>
    <x v="1"/>
    <x v="16"/>
  </r>
  <r>
    <s v="Bindushree R"/>
    <s v="Prathyusha Mangalampalli"/>
    <s v="Akshata Nayak Non IT"/>
    <s v="Ashitosh Kamble"/>
    <n v="2"/>
    <s v="C36232269"/>
    <x v="184"/>
    <n v="22420"/>
    <n v="3420"/>
    <s v="Accenture_BPO"/>
    <n v="6"/>
    <x v="0"/>
    <x v="9"/>
  </r>
  <r>
    <s v="Mehraj N"/>
    <s v="Prathyusha Mangalampalli"/>
    <s v="Akshata Nayak Non IT"/>
    <s v="Neeraj M B "/>
    <n v="2"/>
    <s v="C36232267"/>
    <x v="195"/>
    <n v="65000"/>
    <n v="15000"/>
    <s v="Accenture-voice"/>
    <n v="6"/>
    <x v="0"/>
    <x v="9"/>
  </r>
  <r>
    <s v="Poorvi Kundur"/>
    <s v="Monisha RR"/>
    <s v="Akshata Nayak Non IT"/>
    <s v="Mohmmed Sultan "/>
    <n v="2"/>
    <s v="C36232280"/>
    <x v="143"/>
    <n v="65000"/>
    <n v="15000"/>
    <s v="Accenture-voice"/>
    <n v="5"/>
    <x v="0"/>
    <x v="9"/>
  </r>
  <r>
    <s v="Mehraj N"/>
    <s v="Prathyusha Mangalampalli"/>
    <s v="Akshata Nayak Non IT"/>
    <s v="Maddipatla Sushanth"/>
    <n v="2"/>
    <s v="C36232275"/>
    <x v="195"/>
    <n v="29500"/>
    <n v="4500"/>
    <s v="Accenture_BPO"/>
    <n v="5"/>
    <x v="0"/>
    <x v="9"/>
  </r>
  <r>
    <s v="Manjunath R"/>
    <s v="Mehr Hashim D"/>
    <s v="Mehr Hashim"/>
    <s v="MALIREDDY SRINADH REDDY"/>
    <n v="2"/>
    <s v="C36232276"/>
    <x v="195"/>
    <n v="81333.33"/>
    <n v="14667.33"/>
    <s v="Alliance Data"/>
    <n v="5"/>
    <x v="5"/>
    <x v="8"/>
  </r>
  <r>
    <s v="Priya b"/>
    <s v="Prathyusha Mangalampalli"/>
    <s v="Akshata Nayak Non IT"/>
    <s v="Nitin R"/>
    <n v="2"/>
    <s v="C36232281"/>
    <x v="143"/>
    <n v="65000"/>
    <n v="15000"/>
    <s v="Accenture-voice"/>
    <n v="6"/>
    <x v="0"/>
    <x v="9"/>
  </r>
  <r>
    <s v="Tejashwini A"/>
    <s v="Fazila K"/>
    <s v="Prathap Sagar"/>
    <s v="Pushkar Pawar"/>
    <n v="2"/>
    <s v="C36232314"/>
    <x v="196"/>
    <n v="161700"/>
    <n v="53366.67"/>
    <s v="Infosys"/>
    <n v="5"/>
    <x v="2"/>
    <x v="3"/>
  </r>
  <r>
    <s v="Fazila Khanum"/>
    <s v="Prathap Sagar BL"/>
    <s v="Fazila Khanum"/>
    <s v="Arun kumar "/>
    <n v="2"/>
    <s v="C36232313"/>
    <x v="197"/>
    <n v="189000"/>
    <n v="14000"/>
    <s v="Infosys"/>
    <n v="5"/>
    <x v="2"/>
    <x v="3"/>
  </r>
  <r>
    <s v="Javeed Khan"/>
    <s v="Prathyusha Mangalampalli"/>
    <s v="Akshata Nayak Non IT"/>
    <s v="Priyanka K G"/>
    <n v="2"/>
    <s v="C36232278"/>
    <x v="200"/>
    <n v="62400"/>
    <n v="14400"/>
    <s v="Accenture-voice"/>
    <n v="5"/>
    <x v="0"/>
    <x v="9"/>
  </r>
  <r>
    <s v="Aashis Kumar"/>
    <s v="Manjunath R"/>
    <s v="Mehr Hashim"/>
    <s v="Kh. Magdalene "/>
    <n v="2"/>
    <s v="C36232294"/>
    <x v="201"/>
    <n v="47783.33"/>
    <n v="8617.33"/>
    <s v="Alliance Data"/>
    <n v="5"/>
    <x v="5"/>
    <x v="8"/>
  </r>
  <r>
    <s v="Kavya c"/>
    <s v="Manjunath R"/>
    <s v="Mehr Hashim"/>
    <s v="Musharaff  Khan A"/>
    <n v="2"/>
    <s v="C36232295"/>
    <x v="201"/>
    <n v="48800"/>
    <n v="8800"/>
    <s v="Alliance Data"/>
    <n v="5"/>
    <x v="5"/>
    <x v="8"/>
  </r>
  <r>
    <s v="Keerthana S"/>
    <s v="Monisha RR"/>
    <s v="Akshata Nayak Non IT"/>
    <s v="Aounathya K Rao"/>
    <n v="2"/>
    <s v="C36232282"/>
    <x v="143"/>
    <n v="32500"/>
    <n v="7500"/>
    <s v="Accenture-voice"/>
    <n v="6"/>
    <x v="0"/>
    <x v="9"/>
  </r>
  <r>
    <s v="Bhaumik U"/>
    <s v="Shoeb Ahmed"/>
    <s v="Shoeb  Ahmed"/>
    <s v="Moduboina Venkateswarlu"/>
    <n v="2"/>
    <s v="C36232279"/>
    <x v="200"/>
    <n v="229910"/>
    <n v="74077"/>
    <s v="DataFlow Group"/>
    <n v="6"/>
    <x v="5"/>
    <x v="17"/>
  </r>
  <r>
    <s v="Mouli Roy"/>
    <s v="Prathyusha Mangalampalli"/>
    <s v="Akshata Nayak Non IT"/>
    <s v="Aishwarya D B"/>
    <n v="2"/>
    <s v="C36232308"/>
    <x v="196"/>
    <n v="47783.33"/>
    <n v="8617.33"/>
    <s v="Alliance Data"/>
    <n v="5"/>
    <x v="5"/>
    <x v="8"/>
  </r>
  <r>
    <s v="Mehraj N"/>
    <s v="Prathyusha Mangalampalli"/>
    <s v="Akshata Nayak Non IT"/>
    <s v="Esha Deepak Kesarkar "/>
    <n v="2"/>
    <s v="C36232302"/>
    <x v="193"/>
    <n v="22420"/>
    <n v="3420"/>
    <s v="Accenture_BPO"/>
    <n v="5"/>
    <x v="0"/>
    <x v="9"/>
  </r>
  <r>
    <s v="Poorvi Kundur"/>
    <s v="Monisha RR"/>
    <s v="Akshata Nayak Non IT"/>
    <s v="Harshitha N"/>
    <n v="6"/>
    <s v="C36232297"/>
    <x v="201"/>
    <n v="36600"/>
    <n v="6100"/>
    <s v="HP"/>
    <n v="5"/>
    <x v="0"/>
    <x v="0"/>
  </r>
  <r>
    <s v="Bhargavi T R"/>
    <s v="Monisha RR"/>
    <s v="Akshata Nayak Non IT"/>
    <s v="Malini J"/>
    <n v="1"/>
    <s v="C36232346"/>
    <x v="201"/>
    <n v="95004"/>
    <n v="15838"/>
    <s v="Amadeus Software"/>
    <n v="6"/>
    <x v="1"/>
    <x v="16"/>
  </r>
  <r>
    <s v="Sireesha K"/>
    <s v="Prathyusha Mangalampalli"/>
    <s v="Akshata Nayak Non IT"/>
    <s v="Prabhakar Shailendra Sharma "/>
    <n v="2"/>
    <s v="C36232320"/>
    <x v="201"/>
    <n v="22420"/>
    <n v="3420"/>
    <s v="Accenture_BPO"/>
    <n v="5"/>
    <x v="0"/>
    <x v="9"/>
  </r>
  <r>
    <s v="Mouli Roy"/>
    <s v="Prathyusha Mangalampalli"/>
    <s v="Akshata Nayak Non IT"/>
    <s v="Kunica Deepak Padhiyar"/>
    <n v="2"/>
    <s v="C36232322"/>
    <x v="196"/>
    <n v="65000"/>
    <n v="15000"/>
    <s v="Accenture-voice"/>
    <n v="5"/>
    <x v="0"/>
    <x v="9"/>
  </r>
  <r>
    <s v="Javeed Khan"/>
    <s v="Prathyusha Mangalampalli"/>
    <s v="Akshata Nayak Non IT"/>
    <s v="Udaynarayan Ramshiromani Vishwakarma  "/>
    <n v="2"/>
    <s v="C36232303"/>
    <x v="193"/>
    <n v="22420"/>
    <n v="3420"/>
    <s v="Accenture_BPO"/>
    <n v="5"/>
    <x v="0"/>
    <x v="9"/>
  </r>
  <r>
    <s v="Mouli Roy"/>
    <s v="Prathyusha Mangalampalli"/>
    <s v="Akshata Nayak Non IT"/>
    <s v="Navneet Kaur R. Saini"/>
    <n v="2"/>
    <s v="C36232334"/>
    <x v="193"/>
    <n v="22420"/>
    <n v="3420"/>
    <s v="Accenture_BPO"/>
    <n v="5"/>
    <x v="0"/>
    <x v="9"/>
  </r>
  <r>
    <s v="Arpita Biswal"/>
    <s v="Anitha C"/>
    <s v="Akshata Nayak Non IT"/>
    <s v="Chetna Soni"/>
    <n v="1"/>
    <s v="C36232327"/>
    <x v="199"/>
    <n v="88200"/>
    <n v="13200"/>
    <s v="Socgen"/>
    <n v="5"/>
    <x v="6"/>
    <x v="2"/>
  </r>
  <r>
    <s v="Hemanth SM"/>
    <s v="Priyakantha K"/>
    <s v="Prathap Sagar"/>
    <s v="Km Akanksha"/>
    <n v="2"/>
    <s v="C36232300"/>
    <x v="175"/>
    <n v="37000"/>
    <n v="2000"/>
    <s v="Accenture_IDB"/>
    <n v="6"/>
    <x v="2"/>
    <x v="3"/>
  </r>
  <r>
    <s v="Prateek A"/>
    <s v="Mehr Hashim D"/>
    <s v="Mehr Hashim"/>
    <s v="Pankaj Verma"/>
    <n v="2"/>
    <s v="C36232289"/>
    <x v="201"/>
    <n v="253698.48"/>
    <n v="153698.48000000001"/>
    <s v="Pure Storage"/>
    <n v="5"/>
    <x v="5"/>
    <x v="10"/>
  </r>
  <r>
    <s v="Narendra Kumar Debariki"/>
    <s v="Pradeep P"/>
    <s v="Akshata Nayak Non IT"/>
    <s v="Shadab  Raja"/>
    <n v="1"/>
    <s v="C36240012"/>
    <x v="192"/>
    <n v="45517.5"/>
    <n v="8017.5"/>
    <s v="UHG"/>
    <n v="5"/>
    <x v="0"/>
    <x v="1"/>
  </r>
  <r>
    <s v="Gopinath S N"/>
    <s v="Mehr Hashim D"/>
    <s v="Mehr Hashim"/>
    <s v="GANGARAJU S"/>
    <n v="2"/>
    <s v="C36232290"/>
    <x v="201"/>
    <n v="436800"/>
    <n v="186800"/>
    <s v="GE Healthcare Global Private Limited."/>
    <n v="6"/>
    <x v="5"/>
    <x v="10"/>
  </r>
  <r>
    <s v="Manish Kalal"/>
    <s v="Mehr Hashim D"/>
    <s v="Mehr Hashim"/>
    <s v="Sreenath S M"/>
    <n v="2"/>
    <s v="C36230756"/>
    <x v="39"/>
    <n v="483000"/>
    <n v="166334"/>
    <s v="Shell"/>
    <n v="5"/>
    <x v="5"/>
    <x v="8"/>
  </r>
  <r>
    <s v="Gouri Priya"/>
    <s v="Pradeep P"/>
    <s v="Akshata Nayak Non IT"/>
    <s v="Likki Manohar Reddy"/>
    <n v="1"/>
    <s v="C36240066"/>
    <x v="202"/>
    <n v="45517"/>
    <n v="6350.33"/>
    <s v="UHG"/>
    <n v="5"/>
    <x v="0"/>
    <x v="1"/>
  </r>
  <r>
    <s v="Mouli Roy"/>
    <s v="Prathyusha Mangalampalli"/>
    <s v="Akshata Nayak Non IT"/>
    <s v="Sclviya W"/>
    <n v="2"/>
    <s v="C36232315"/>
    <x v="196"/>
    <n v="48800"/>
    <n v="8800"/>
    <s v="Alliance Data"/>
    <n v="5"/>
    <x v="5"/>
    <x v="8"/>
  </r>
  <r>
    <s v="Medha nag"/>
    <s v="Suman S"/>
    <s v="Prathap Sagar"/>
    <s v="Ravindra Rajput"/>
    <n v="2"/>
    <s v="C36232309"/>
    <x v="203"/>
    <n v="192500"/>
    <n v="17500"/>
    <s v="Accenture_IDB"/>
    <n v="5"/>
    <x v="2"/>
    <x v="3"/>
  </r>
  <r>
    <s v="Bhargavi T R"/>
    <s v="Monisha RR"/>
    <s v="Akshata Nayak Non IT"/>
    <s v="Poornima M"/>
    <n v="2"/>
    <s v="C36240063"/>
    <x v="204"/>
    <n v="62400"/>
    <n v="14400"/>
    <s v="Accenture-voice"/>
    <n v="5"/>
    <x v="0"/>
    <x v="9"/>
  </r>
  <r>
    <s v="Priya b"/>
    <s v="Prathyusha Mangalampalli"/>
    <s v="Akshata Nayak Non IT"/>
    <s v=" Elston Egbert Saldanha"/>
    <n v="2"/>
    <s v="C36232304"/>
    <x v="193"/>
    <n v="32500"/>
    <n v="7500"/>
    <s v="Accenture-voice"/>
    <n v="6"/>
    <x v="0"/>
    <x v="9"/>
  </r>
  <r>
    <s v="Priya b"/>
    <s v="Prathyusha Mangalampalli"/>
    <s v="Akshata Nayak Non IT"/>
    <s v="Anant Nandkishor Verma"/>
    <n v="2"/>
    <s v="C36232305"/>
    <x v="193"/>
    <n v="32500"/>
    <n v="7500"/>
    <s v="Accenture-voice"/>
    <n v="6"/>
    <x v="0"/>
    <x v="9"/>
  </r>
  <r>
    <s v="Sai Manish"/>
    <s v="Pradeep P"/>
    <s v="Akshata Nayak Non IT"/>
    <s v=" Ali Mehdi "/>
    <n v="1"/>
    <s v="C36240264"/>
    <x v="120"/>
    <n v="45517"/>
    <n v="6350.33"/>
    <s v="UHG"/>
    <n v="5"/>
    <x v="0"/>
    <x v="1"/>
  </r>
  <r>
    <s v="Mouli Roy"/>
    <s v="Prathyusha Mangalampalli"/>
    <s v="Akshata Nayak Non IT"/>
    <s v="Hitesh  Gupta"/>
    <n v="2"/>
    <s v="C36232316"/>
    <x v="196"/>
    <n v="48800"/>
    <n v="8800"/>
    <s v="Alliance Data"/>
    <n v="6"/>
    <x v="5"/>
    <x v="8"/>
  </r>
  <r>
    <s v="Keerthana S"/>
    <s v="Monisha RR"/>
    <s v="Akshata Nayak Non IT"/>
    <s v="Kajal Rajput"/>
    <n v="1"/>
    <s v="C36232317"/>
    <x v="196"/>
    <n v="45517"/>
    <n v="9683.67"/>
    <s v="UHG"/>
    <n v="6"/>
    <x v="0"/>
    <x v="1"/>
  </r>
  <r>
    <s v="Shaik Sharukh"/>
    <s v="Poornachandra V"/>
    <s v="Akshata Nayak"/>
    <s v="Chethan Kumar Mi"/>
    <n v="1"/>
    <s v="C36240027"/>
    <x v="205"/>
    <n v="268000"/>
    <n v="72167"/>
    <s v="BSH"/>
    <n v="5"/>
    <x v="1"/>
    <x v="12"/>
  </r>
  <r>
    <s v="Tamilarasan S"/>
    <s v="Mehr Hashim D"/>
    <s v="Mehr Hashim"/>
    <s v="Raghupathi J P"/>
    <n v="2"/>
    <s v="C36232296"/>
    <x v="193"/>
    <n v="268800"/>
    <n v="152134"/>
    <s v="GE Healthcare Global Private Limited."/>
    <n v="5"/>
    <x v="5"/>
    <x v="10"/>
  </r>
  <r>
    <s v="Sindhu S R"/>
    <s v="Prathyusha Mangalampalli"/>
    <s v="Akshata Nayak Non IT"/>
    <s v="Yugendar  P K"/>
    <n v="2"/>
    <s v="C36232318"/>
    <x v="196"/>
    <n v="48800"/>
    <n v="8800"/>
    <s v="Alliance Data"/>
    <n v="6"/>
    <x v="5"/>
    <x v="8"/>
  </r>
  <r>
    <s v="Nikitha A"/>
    <s v="Sunitha V"/>
    <s v="Akshata Nayak"/>
    <s v="Vangala Kalyan Siva Kumar Reddy"/>
    <n v="1"/>
    <s v="C36240037"/>
    <x v="206"/>
    <n v="175518"/>
    <n v="67185"/>
    <s v="Deloitte - Advisory"/>
    <n v="5"/>
    <x v="1"/>
    <x v="15"/>
  </r>
  <r>
    <s v="Tamilarasan S"/>
    <s v="Mehr Hashim D"/>
    <s v="Mehr Hashim"/>
    <s v="Yavana Subrahmanya Vaageesh"/>
    <n v="2"/>
    <s v="C36232301"/>
    <x v="175"/>
    <n v="268800"/>
    <n v="10467"/>
    <s v="GE Healthcare Global Private Limited."/>
    <n v="5"/>
    <x v="5"/>
    <x v="10"/>
  </r>
  <r>
    <s v="Bindushree R"/>
    <s v="Prathyusha Mangalampalli"/>
    <s v="Akshata Nayak Non IT"/>
    <s v="Snehal Balasaheb Bhosale"/>
    <n v="2"/>
    <s v="C36232321"/>
    <x v="196"/>
    <n v="22420"/>
    <n v="3420"/>
    <s v="Accenture_BPO"/>
    <n v="5"/>
    <x v="0"/>
    <x v="9"/>
  </r>
  <r>
    <s v="Bindushree R"/>
    <s v="Prathyusha Mangalampalli"/>
    <s v="Akshata Nayak Non IT"/>
    <s v="Bhavik Vijay Pawar"/>
    <n v="2"/>
    <s v="C36232306"/>
    <x v="197"/>
    <n v="25000.66"/>
    <n v="3813.66"/>
    <s v="Accenture_BPO"/>
    <n v="5"/>
    <x v="0"/>
    <x v="9"/>
  </r>
  <r>
    <s v="Thrupthi S"/>
    <s v="Menaka Prasad"/>
    <s v="karan lalchandani"/>
    <s v="Bharath P S"/>
    <n v="2"/>
    <s v="C36240038"/>
    <x v="207"/>
    <n v="124824"/>
    <n v="62324"/>
    <s v="IBM -Mercedes"/>
    <n v="5"/>
    <x v="1"/>
    <x v="7"/>
  </r>
  <r>
    <s v="Arpita Biswal"/>
    <s v="Anitha C"/>
    <s v="Akshata Nayak Non IT"/>
    <s v="Rutuja Nivrutti Machindar "/>
    <n v="2"/>
    <s v="C36232328"/>
    <x v="199"/>
    <n v="25000.66"/>
    <n v="3813.66"/>
    <s v="Accenture_BPO"/>
    <n v="5"/>
    <x v="0"/>
    <x v="9"/>
  </r>
  <r>
    <s v="Bindushree R"/>
    <s v="Prathyusha Mangalampalli"/>
    <s v="Akshata Nayak Non IT"/>
    <s v="Savio Steven Menezes"/>
    <n v="2"/>
    <s v="C36240005"/>
    <x v="199"/>
    <n v="22420"/>
    <n v="3420"/>
    <s v="Accenture_BPO"/>
    <n v="5"/>
    <x v="0"/>
    <x v="9"/>
  </r>
  <r>
    <s v="Bindushree R"/>
    <s v="Prathyusha Mangalampalli"/>
    <s v="Akshata Nayak Non IT"/>
    <s v="Anil V"/>
    <n v="2"/>
    <s v="C36232324"/>
    <x v="203"/>
    <n v="24898"/>
    <n v="3798"/>
    <s v="Accenture_BPO"/>
    <n v="6"/>
    <x v="0"/>
    <x v="9"/>
  </r>
  <r>
    <s v="Sireesha K"/>
    <s v="Prathyusha Mangalampalli"/>
    <s v="Akshata Nayak Non IT"/>
    <s v=" Y Keerthi Reddy"/>
    <n v="2"/>
    <s v="C36232326"/>
    <x v="197"/>
    <n v="25960"/>
    <n v="3960"/>
    <s v="Accenture_BPO"/>
    <n v="5"/>
    <x v="0"/>
    <x v="9"/>
  </r>
  <r>
    <s v="Bhargavi T R"/>
    <s v="Monisha RR"/>
    <s v="Akshata Nayak Non IT"/>
    <s v="Hemavathi K"/>
    <n v="2"/>
    <s v="C36232340"/>
    <x v="197"/>
    <n v="32500"/>
    <n v="7500"/>
    <s v="Accenture-voice"/>
    <n v="5"/>
    <x v="0"/>
    <x v="9"/>
  </r>
  <r>
    <s v="Bindushree R"/>
    <s v="Prathyusha Mangalampalli"/>
    <s v="Akshata Nayak Non IT"/>
    <s v="Ashok Kumar N"/>
    <n v="2"/>
    <s v="C36232329"/>
    <x v="203"/>
    <n v="65000"/>
    <n v="15000"/>
    <s v="Accenture-voice"/>
    <n v="6"/>
    <x v="0"/>
    <x v="9"/>
  </r>
  <r>
    <s v="Priya Dharshini C"/>
    <s v="Sunitha V"/>
    <s v="Akshata Nayak"/>
    <s v="Gotipakala Praveen Anand"/>
    <n v="1"/>
    <s v="C36240034"/>
    <x v="206"/>
    <n v="183876"/>
    <n v="100543"/>
    <s v="Deloitte - Advisory"/>
    <n v="5"/>
    <x v="1"/>
    <x v="15"/>
  </r>
  <r>
    <s v="Madhuri Ps"/>
    <s v="Menaka Prasad"/>
    <s v="karan lalchandani"/>
    <s v="Yekkulur Manohar Reddy _x0009_ "/>
    <n v="2"/>
    <s v="C36240003"/>
    <x v="208"/>
    <n v="157500"/>
    <n v="61667"/>
    <s v="Socgen"/>
    <n v="5"/>
    <x v="6"/>
    <x v="2"/>
  </r>
  <r>
    <s v="Surabhi K"/>
    <s v="Mehr Hashim D"/>
    <s v="Mehr Hashim"/>
    <s v="Kattekola Srikanth"/>
    <n v="2"/>
    <s v="C36232323"/>
    <x v="203"/>
    <n v="165000"/>
    <n v="73334"/>
    <s v="DBS bank"/>
    <n v="5"/>
    <x v="5"/>
    <x v="10"/>
  </r>
  <r>
    <s v="Poorvi Kundur"/>
    <s v="Monisha RR"/>
    <s v="Akshata Nayak Non IT"/>
    <s v="Fouzan Zafar Sait"/>
    <n v="6"/>
    <s v="C36240014"/>
    <x v="204"/>
    <n v="34375"/>
    <n v="6875"/>
    <s v="HP"/>
    <n v="5"/>
    <x v="0"/>
    <x v="0"/>
  </r>
  <r>
    <s v="Sneha G"/>
    <s v="Manjunath R"/>
    <s v="Mehr Hashim"/>
    <s v="Shriram Maheshrao Shende"/>
    <n v="2"/>
    <s v="C36232337"/>
    <x v="209"/>
    <n v="38799.86"/>
    <n v="5466.86"/>
    <s v="Veritas"/>
    <n v="5"/>
    <x v="5"/>
    <x v="8"/>
  </r>
  <r>
    <s v="Sumanth K"/>
    <s v="Fazila K"/>
    <s v="Prathap Sagar"/>
    <s v="Mukka Rakesh"/>
    <n v="2"/>
    <s v="C36240000"/>
    <x v="210"/>
    <n v="170000"/>
    <n v="5416.67"/>
    <s v="Accenture_IDB"/>
    <n v="5"/>
    <x v="2"/>
    <x v="3"/>
  </r>
  <r>
    <s v="Lokesh Reddy"/>
    <s v="Mehr Hashim D"/>
    <s v="Mehr Hashim"/>
    <s v="Nikhil Sakharam Gaikwad"/>
    <n v="2"/>
    <s v="C36232336"/>
    <x v="204"/>
    <n v="71166.67"/>
    <n v="12833.67"/>
    <s v="Alliance Data"/>
    <n v="5"/>
    <x v="5"/>
    <x v="8"/>
  </r>
  <r>
    <s v="Anuvisht Singh"/>
    <s v="Sunitha V"/>
    <s v="Akshata Nayak"/>
    <s v="Jnaneshwar S"/>
    <n v="1"/>
    <s v="C36240045"/>
    <x v="211"/>
    <n v="210621.6"/>
    <n v="102288.6"/>
    <s v="Deloitte - Advisory"/>
    <n v="5"/>
    <x v="1"/>
    <x v="15"/>
  </r>
  <r>
    <s v="Manjunath R"/>
    <s v="Mehr Hashim D"/>
    <s v="Mehr Hashim"/>
    <s v="Chethana R N"/>
    <n v="4"/>
    <s v="O36230138"/>
    <x v="197"/>
    <n v="436800"/>
    <n v="61800"/>
    <s v="GE Healthcare Global Private Limited."/>
    <n v="6"/>
    <x v="5"/>
    <x v="10"/>
  </r>
  <r>
    <s v="Mehraj N"/>
    <s v="Prathyusha Mangalampalli"/>
    <s v="Akshata Nayak Non IT"/>
    <s v="Afzal Riyaz  Ali Shaikh"/>
    <n v="2"/>
    <s v="C36232344"/>
    <x v="192"/>
    <n v="22420"/>
    <n v="3420"/>
    <s v="Accenture_BPO"/>
    <n v="5"/>
    <x v="0"/>
    <x v="9"/>
  </r>
  <r>
    <s v="Bhargavi T R"/>
    <s v="Monisha RR"/>
    <s v="Akshata Nayak Non IT"/>
    <s v="Rakshith Raj"/>
    <n v="6"/>
    <s v="C36240064"/>
    <x v="204"/>
    <n v="34375"/>
    <n v="6875"/>
    <s v="HP"/>
    <n v="5"/>
    <x v="0"/>
    <x v="0"/>
  </r>
  <r>
    <s v="Lahari Likitha"/>
    <s v="Menaka Prasad"/>
    <s v="karan lalchandani"/>
    <s v="Satendra Singh "/>
    <n v="2"/>
    <s v="C36240039"/>
    <x v="207"/>
    <n v="124824"/>
    <n v="37324"/>
    <s v="IBM -Mercedes"/>
    <n v="5"/>
    <x v="1"/>
    <x v="7"/>
  </r>
  <r>
    <s v="Hemanth SM"/>
    <s v="Priyakantha K"/>
    <s v="Prathap Sagar"/>
    <s v="Maunika K S"/>
    <n v="2"/>
    <s v="C36240008"/>
    <x v="56"/>
    <n v="26000"/>
    <n v="4000"/>
    <s v="Accenture_IDB"/>
    <n v="6"/>
    <x v="2"/>
    <x v="3"/>
  </r>
  <r>
    <s v="Pushpa S"/>
    <s v="Suman S"/>
    <s v="Prathap Sagar"/>
    <s v="Aravind K"/>
    <n v="2"/>
    <s v="C36232331"/>
    <x v="209"/>
    <n v="35000"/>
    <n v="5000"/>
    <s v="Accenture_IDB"/>
    <n v="5"/>
    <x v="2"/>
    <x v="3"/>
  </r>
  <r>
    <s v="Shubha K"/>
    <s v="Manjunath R"/>
    <s v="Mehr Hashim"/>
    <s v="Prem M  Malladi"/>
    <n v="2"/>
    <s v="C36232345"/>
    <x v="204"/>
    <n v="48500.1"/>
    <n v="6834.1"/>
    <s v="Veritas"/>
    <n v="5"/>
    <x v="5"/>
    <x v="8"/>
  </r>
  <r>
    <s v="Mouli Roy"/>
    <s v="Prathyusha Mangalampalli"/>
    <s v="Akshata Nayak Non IT"/>
    <s v="Pritam  Dalvi"/>
    <n v="2"/>
    <s v="C36232332"/>
    <x v="209"/>
    <n v="25000.66"/>
    <n v="3813.66"/>
    <s v="Accenture_BPO"/>
    <n v="5"/>
    <x v="0"/>
    <x v="9"/>
  </r>
  <r>
    <s v="Mouli Roy"/>
    <s v="Prathyusha Mangalampalli"/>
    <s v="Akshata Nayak Non IT"/>
    <s v="Gopal Vinayak Kasbe"/>
    <n v="2"/>
    <s v="C36240015"/>
    <x v="204"/>
    <n v="22420"/>
    <n v="3420"/>
    <s v="Accenture_BPO"/>
    <n v="5"/>
    <x v="0"/>
    <x v="9"/>
  </r>
  <r>
    <s v="Pooja K"/>
    <s v="Prathyusha Mangalampalli"/>
    <s v="Akshata Nayak Non IT"/>
    <s v="Narmatha Nagarajan"/>
    <n v="2"/>
    <s v="C36232338"/>
    <x v="209"/>
    <n v="29500"/>
    <n v="4500"/>
    <s v="Accenture_BPO"/>
    <n v="5"/>
    <x v="0"/>
    <x v="9"/>
  </r>
  <r>
    <s v="Priya b"/>
    <s v="Prathyusha Mangalampalli"/>
    <s v="Akshata Nayak Non IT"/>
    <s v="A Chamundeswari "/>
    <n v="2"/>
    <s v="C36232351"/>
    <x v="209"/>
    <n v="24898"/>
    <n v="3798"/>
    <s v="Accenture_BPO"/>
    <n v="5"/>
    <x v="0"/>
    <x v="9"/>
  </r>
  <r>
    <s v="Mehraj N"/>
    <s v="Prathyusha Mangalampalli"/>
    <s v="Akshata Nayak Non IT"/>
    <s v="Rushikesh Popat Hingane"/>
    <n v="2"/>
    <s v="C36232339"/>
    <x v="209"/>
    <n v="22420"/>
    <n v="3420"/>
    <s v="Accenture_BPO"/>
    <n v="5"/>
    <x v="0"/>
    <x v="9"/>
  </r>
  <r>
    <s v="Bhargavi T R"/>
    <s v="Monisha RR"/>
    <s v="Akshata Nayak Non IT"/>
    <s v="Anjitha Ajay"/>
    <n v="6"/>
    <s v="C36240087"/>
    <x v="204"/>
    <n v="34375"/>
    <n v="6875"/>
    <s v="HP"/>
    <n v="6"/>
    <x v="0"/>
    <x v="0"/>
  </r>
  <r>
    <s v="Sai Vineeth"/>
    <s v="Pradeep P"/>
    <s v="Akshata Nayak Non IT"/>
    <s v="Vanneti Laxmi Swetha"/>
    <n v="1"/>
    <s v="C36240212"/>
    <x v="212"/>
    <n v="45517"/>
    <n v="8017"/>
    <s v="UHG"/>
    <n v="6"/>
    <x v="0"/>
    <x v="1"/>
  </r>
  <r>
    <s v="Javeed Khan"/>
    <s v="Prathyusha Mangalampalli"/>
    <s v="Akshata Nayak Non IT"/>
    <s v="Yash Rajesh Gupta"/>
    <n v="2"/>
    <s v="C36240006"/>
    <x v="56"/>
    <n v="22420"/>
    <n v="3420"/>
    <s v="Accenture_BPO"/>
    <n v="5"/>
    <x v="0"/>
    <x v="9"/>
  </r>
  <r>
    <s v="Shubha K"/>
    <s v="Manjunath R"/>
    <s v="Mehr Hashim"/>
    <s v="Priyanka  P"/>
    <n v="2"/>
    <s v="C36232342"/>
    <x v="208"/>
    <n v="225000"/>
    <n v="75000"/>
    <s v="Schneider Electric"/>
    <n v="5"/>
    <x v="5"/>
    <x v="10"/>
  </r>
  <r>
    <s v="Mehraj N"/>
    <s v="Prathyusha Mangalampalli"/>
    <s v="Akshata Nayak Non IT"/>
    <s v="Ajay Sanjay Tangadkar"/>
    <n v="2"/>
    <s v="C36232350"/>
    <x v="192"/>
    <n v="22420"/>
    <n v="3420"/>
    <s v="Accenture_BPO"/>
    <n v="5"/>
    <x v="0"/>
    <x v="9"/>
  </r>
  <r>
    <s v="Mehraj N"/>
    <s v="Prathyusha Mangalampalli"/>
    <s v="Akshata Nayak Non IT"/>
    <s v="Rohan Rajinder Thakur"/>
    <n v="2"/>
    <s v="C36240004"/>
    <x v="192"/>
    <n v="22420"/>
    <n v="3420"/>
    <s v="Accenture_BPO"/>
    <n v="6"/>
    <x v="0"/>
    <x v="9"/>
  </r>
  <r>
    <s v="Mouli Roy"/>
    <s v="Prathyusha Mangalampalli"/>
    <s v="Akshata Nayak Non IT"/>
    <s v="Gaurav Jitendra Nagpal"/>
    <n v="2"/>
    <s v="C36240024"/>
    <x v="208"/>
    <n v="22420"/>
    <n v="3420"/>
    <s v="Accenture_BPO"/>
    <n v="5"/>
    <x v="0"/>
    <x v="9"/>
  </r>
  <r>
    <s v="Pradeep S"/>
    <s v="Monisha RR"/>
    <s v="Akshata Nayak Non IT"/>
    <s v="Krithika R Das"/>
    <n v="2"/>
    <s v="C36240140"/>
    <x v="213"/>
    <n v="65000"/>
    <n v="15000"/>
    <s v="Accenture-voice"/>
    <n v="5"/>
    <x v="0"/>
    <x v="9"/>
  </r>
  <r>
    <s v="Deepthi C"/>
    <s v="Anitha C"/>
    <s v="Akshata Nayak Non IT"/>
    <s v="Santhoshkumar Perumal"/>
    <n v="2"/>
    <s v="C36240060"/>
    <x v="204"/>
    <n v="29500"/>
    <n v="4500"/>
    <s v="Accenture_BPO"/>
    <n v="5"/>
    <x v="0"/>
    <x v="9"/>
  </r>
  <r>
    <s v="Sai Vineeth"/>
    <s v="Pradeep P"/>
    <s v="Akshata Nayak Non IT"/>
    <s v="Sakriti Dhar"/>
    <n v="1"/>
    <s v="C36240029"/>
    <x v="214"/>
    <n v="45517"/>
    <n v="8017"/>
    <s v="UHG"/>
    <n v="5"/>
    <x v="0"/>
    <x v="1"/>
  </r>
  <r>
    <s v="Rajesh R"/>
    <s v="Kamlesh A"/>
    <s v="Menaka Prasad"/>
    <s v="Obireddy Gari Govardhan Reddy "/>
    <n v="2"/>
    <s v="C36240009"/>
    <x v="213"/>
    <n v="121464"/>
    <n v="36464"/>
    <s v="IBM -Mercedes"/>
    <n v="5"/>
    <x v="1"/>
    <x v="7"/>
  </r>
  <r>
    <s v="Laxmi M"/>
    <s v="Prathyusha Mangalampalli"/>
    <s v="Akshata Nayak Non IT"/>
    <s v="Namrata Rajkumar Bhagwat"/>
    <n v="2"/>
    <s v="C36240013"/>
    <x v="192"/>
    <n v="22420"/>
    <n v="3420"/>
    <s v="Accenture_BPO"/>
    <n v="6"/>
    <x v="0"/>
    <x v="9"/>
  </r>
  <r>
    <s v="Deepthi C"/>
    <s v="Anitha C"/>
    <s v="Akshata Nayak Non IT"/>
    <s v="Sanjay E "/>
    <n v="1"/>
    <s v="C36240010"/>
    <x v="215"/>
    <n v="70308"/>
    <n v="21014"/>
    <s v="Soc gen Ops "/>
    <n v="5"/>
    <x v="4"/>
    <x v="2"/>
  </r>
  <r>
    <s v="Arpita Biswal"/>
    <s v="Anitha C"/>
    <s v="Akshata Nayak Non IT"/>
    <s v="Sandeep S R"/>
    <n v="1"/>
    <s v="C36240023"/>
    <x v="215"/>
    <n v="70308"/>
    <n v="12003"/>
    <s v="Soc gen Ops "/>
    <n v="5"/>
    <x v="4"/>
    <x v="2"/>
  </r>
  <r>
    <s v="Deepthi C"/>
    <s v="Anitha C"/>
    <s v="Akshata Nayak Non IT"/>
    <s v="Prabadevi Thirupathi. "/>
    <n v="1"/>
    <s v="C36240173"/>
    <x v="206"/>
    <n v="39900"/>
    <n v="8234"/>
    <s v="Soc gen Ops "/>
    <n v="5"/>
    <x v="4"/>
    <x v="2"/>
  </r>
  <r>
    <s v="Pinky Kumari"/>
    <s v="Mehr Hashim D"/>
    <s v="Mehr Hashim"/>
    <s v="Kumari Alpana Prasad"/>
    <n v="4"/>
    <s v="O36230141"/>
    <x v="192"/>
    <n v="225000"/>
    <n v="50000"/>
    <s v="SONY Software Development Centre"/>
    <n v="6"/>
    <x v="5"/>
    <x v="10"/>
  </r>
  <r>
    <s v="Shubha K"/>
    <s v="Manjunath R"/>
    <s v="Mehr Hashim"/>
    <s v="Rashmi Suresh Babu"/>
    <n v="1"/>
    <s v="C36232348"/>
    <x v="208"/>
    <n v="340583.33"/>
    <n v="61417.33"/>
    <s v="Alliance Data"/>
    <n v="5"/>
    <x v="5"/>
    <x v="8"/>
  </r>
  <r>
    <s v="Pooja K"/>
    <s v="Prathyusha Mangalampalli"/>
    <s v="Akshata Nayak Non IT"/>
    <s v="Subhjit Vijay Haldar"/>
    <n v="2"/>
    <s v="C36240016"/>
    <x v="208"/>
    <n v="22420"/>
    <n v="3420"/>
    <s v="Accenture_BPO"/>
    <n v="5"/>
    <x v="0"/>
    <x v="9"/>
  </r>
  <r>
    <s v="Saravana BA"/>
    <s v="Mehr Hashim D"/>
    <s v="Mehr Hashim"/>
    <s v="Phani Krishna Sunkaranam "/>
    <n v="2"/>
    <s v="C36230889"/>
    <x v="75"/>
    <n v="483000"/>
    <n v="116334"/>
    <s v="Shell"/>
    <n v="6"/>
    <x v="5"/>
    <x v="8"/>
  </r>
  <r>
    <s v="Thrupthi S"/>
    <s v="Menaka Prasad"/>
    <s v="karan lalchandani"/>
    <s v="Saswat Parida"/>
    <n v="2"/>
    <s v="C36240086"/>
    <x v="216"/>
    <n v="92400"/>
    <n v="34067"/>
    <s v="IBM -Mercedes"/>
    <n v="5"/>
    <x v="1"/>
    <x v="7"/>
  </r>
  <r>
    <s v="Bhargavi T R"/>
    <s v="Monisha RR"/>
    <s v="Akshata Nayak Non IT"/>
    <s v="Kavya  N"/>
    <n v="6"/>
    <s v="C36240046"/>
    <x v="213"/>
    <n v="34375"/>
    <n v="6875"/>
    <s v="HP"/>
    <n v="5"/>
    <x v="0"/>
    <x v="0"/>
  </r>
  <r>
    <s v="Sindhu S R"/>
    <s v="Prathyusha Mangalampalli"/>
    <s v="Akshata Nayak Non IT"/>
    <s v="Mohamed Saquib"/>
    <n v="2"/>
    <s v="C36240042"/>
    <x v="214"/>
    <n v="65000"/>
    <n v="15000"/>
    <s v="Accenture-voice"/>
    <n v="5"/>
    <x v="0"/>
    <x v="9"/>
  </r>
  <r>
    <s v="Lakheswari Ranjan"/>
    <s v="Sheetal B"/>
    <s v="Tamil Chelvan"/>
    <s v=" UNDAVALLI MURALI KRISHNA "/>
    <n v="4"/>
    <s v="O36240000"/>
    <x v="207"/>
    <n v="251231.53"/>
    <n v="51231.53"/>
    <s v="DXC"/>
    <n v="5"/>
    <x v="1"/>
    <x v="6"/>
  </r>
  <r>
    <s v="Bhaumik U"/>
    <s v="Shoeb Ahmed"/>
    <s v="Shoeb  Ahmed"/>
    <s v="Nara Venkata Raghava Santhosh "/>
    <n v="2"/>
    <s v="C36240017"/>
    <x v="56"/>
    <n v="229910"/>
    <n v="67410"/>
    <s v="DataFlow Group"/>
    <n v="5"/>
    <x v="5"/>
    <x v="17"/>
  </r>
  <r>
    <s v="Surabhi K"/>
    <s v="Mehr Hashim D"/>
    <s v="Mehr Hashim"/>
    <s v="Vaishnavi Arunrao Kakad"/>
    <n v="2"/>
    <s v="C36232349"/>
    <x v="213"/>
    <n v="336000"/>
    <n v="177667"/>
    <s v="GE Healthcare Global Private Limited."/>
    <n v="6"/>
    <x v="5"/>
    <x v="10"/>
  </r>
  <r>
    <s v="Surabhi K"/>
    <s v="Mehr Hashim D"/>
    <s v="Mehr Hashim"/>
    <s v="N S Pradeep"/>
    <n v="4"/>
    <s v="O36230140"/>
    <x v="208"/>
    <n v="436000"/>
    <n v="102666.67"/>
    <s v="GE Healthcare Global Private Limited."/>
    <n v="5"/>
    <x v="5"/>
    <x v="10"/>
  </r>
  <r>
    <s v="Kavya c"/>
    <s v="Manjunath R"/>
    <s v="Mehr Hashim"/>
    <s v="Shikha Sood"/>
    <n v="2"/>
    <s v="C36232347"/>
    <x v="210"/>
    <n v="48800"/>
    <n v="8800"/>
    <s v="Alliance Data"/>
    <n v="5"/>
    <x v="5"/>
    <x v="8"/>
  </r>
  <r>
    <s v="Sachin K"/>
    <s v="Prathyusha Mangalampalli"/>
    <s v="Akshata Nayak Non IT"/>
    <s v="Ibaad Ur  Rehman"/>
    <n v="2"/>
    <s v="C36240001"/>
    <x v="210"/>
    <n v="45750"/>
    <n v="8250"/>
    <s v="Alliance Data"/>
    <n v="5"/>
    <x v="5"/>
    <x v="8"/>
  </r>
  <r>
    <s v="Sindhu S R"/>
    <s v="Prathyusha Mangalampalli"/>
    <s v="Akshata Nayak Non IT"/>
    <s v=" Mohammed Saleem Malik"/>
    <n v="2"/>
    <s v="C36240047"/>
    <x v="213"/>
    <n v="65000"/>
    <n v="15000"/>
    <s v="Accenture-voice"/>
    <n v="5"/>
    <x v="0"/>
    <x v="9"/>
  </r>
  <r>
    <s v="Sachin K"/>
    <s v="Prathyusha Mangalampalli"/>
    <s v="Akshata Nayak Non IT"/>
    <s v="Akash R  Nair"/>
    <n v="2"/>
    <s v="C36240011"/>
    <x v="210"/>
    <n v="65000"/>
    <n v="15000"/>
    <s v="Accenture-voice"/>
    <n v="5"/>
    <x v="0"/>
    <x v="9"/>
  </r>
  <r>
    <s v="Ashwini P"/>
    <s v="Tara VR"/>
    <s v="Prathap Sagar"/>
    <s v="Soma  Sravanthi"/>
    <n v="2"/>
    <s v="C36240056"/>
    <x v="207"/>
    <n v="168000"/>
    <n v="59666.67"/>
    <s v="Infosys"/>
    <n v="5"/>
    <x v="2"/>
    <x v="3"/>
  </r>
  <r>
    <s v="Sachin K"/>
    <s v="Prathyusha Mangalampalli"/>
    <s v="Akshata Nayak Non IT"/>
    <s v="kannadhasan Thirunavukarasu"/>
    <n v="2"/>
    <s v="C36240053"/>
    <x v="207"/>
    <n v="65000"/>
    <n v="15000"/>
    <s v="Accenture-voice"/>
    <n v="6"/>
    <x v="0"/>
    <x v="9"/>
  </r>
  <r>
    <s v="Spoorthy C"/>
    <s v="Mehr Hashim D"/>
    <s v="Mehr Hashim"/>
    <s v="Kolluri Somaiah Chowdary"/>
    <n v="2"/>
    <s v="C36240002"/>
    <x v="210"/>
    <n v="279617.52"/>
    <n v="104617.52"/>
    <s v="Pure Storage"/>
    <n v="6"/>
    <x v="5"/>
    <x v="10"/>
  </r>
  <r>
    <s v="Gouri Priya"/>
    <s v="Pradeep P"/>
    <s v="Akshata Nayak Non IT"/>
    <s v="Kandukuri Sai Sri Latha"/>
    <n v="1"/>
    <s v="C36240043"/>
    <x v="214"/>
    <n v="45517"/>
    <n v="6350.33"/>
    <s v="UHG"/>
    <n v="5"/>
    <x v="0"/>
    <x v="1"/>
  </r>
  <r>
    <s v="Punitha C"/>
    <s v="Suman S"/>
    <s v="Prathap Sagar"/>
    <s v="Kanthimathinathan M"/>
    <n v="2"/>
    <s v="C36240218"/>
    <x v="217"/>
    <n v="120000"/>
    <n v="40833.33"/>
    <s v="Accenture_IDB"/>
    <n v="5"/>
    <x v="2"/>
    <x v="3"/>
  </r>
  <r>
    <s v="Mouli Roy"/>
    <s v="Prathyusha Mangalampalli"/>
    <s v="Akshata Nayak Non IT"/>
    <s v="Sahil Sanjay Dongre"/>
    <n v="2"/>
    <s v="C36240035"/>
    <x v="206"/>
    <n v="22420"/>
    <n v="3420"/>
    <s v="Accenture_BPO"/>
    <n v="5"/>
    <x v="0"/>
    <x v="9"/>
  </r>
  <r>
    <s v="Bindushree R"/>
    <s v="Prathyusha Mangalampalli"/>
    <s v="Akshata Nayak Non IT"/>
    <s v="Afrous Hussain"/>
    <n v="2"/>
    <s v="C36240028"/>
    <x v="205"/>
    <n v="29500"/>
    <n v="4500"/>
    <s v="Accenture_BPO"/>
    <n v="5"/>
    <x v="0"/>
    <x v="9"/>
  </r>
  <r>
    <s v="Karnikasri P"/>
    <s v="Priyakantha K"/>
    <s v="Prathap Sagar"/>
    <s v="Mohammed Yousufuddin"/>
    <n v="2"/>
    <s v="C36240019"/>
    <x v="205"/>
    <n v="122917"/>
    <n v="18751"/>
    <s v="Bharat Forge"/>
    <n v="5"/>
    <x v="2"/>
    <x v="11"/>
  </r>
  <r>
    <s v="Sireesha K"/>
    <s v="Prathyusha Mangalampalli"/>
    <s v="Akshata Nayak Non IT"/>
    <s v="Priyanshu Sanjay Dwivedi"/>
    <n v="2"/>
    <s v="C36240071"/>
    <x v="206"/>
    <n v="41300"/>
    <n v="6300"/>
    <s v="Accenture_BPO"/>
    <n v="5"/>
    <x v="0"/>
    <x v="9"/>
  </r>
  <r>
    <s v="Madhuri Ps"/>
    <s v="Menaka Prasad"/>
    <s v="karan lalchandani"/>
    <s v="Megha "/>
    <n v="2"/>
    <s v="C36240020"/>
    <x v="205"/>
    <n v="105504"/>
    <n v="26338"/>
    <s v="IBM -Mercedes"/>
    <n v="5"/>
    <x v="1"/>
    <x v="7"/>
  </r>
  <r>
    <s v="Sachin K"/>
    <s v="Prathyusha Mangalampalli"/>
    <s v="Akshata Nayak Non IT"/>
    <s v="Harshad Ashok Sutar "/>
    <n v="2"/>
    <s v="C36240036"/>
    <x v="206"/>
    <n v="23600"/>
    <n v="3600"/>
    <s v="Accenture_BPO"/>
    <n v="5"/>
    <x v="0"/>
    <x v="9"/>
  </r>
  <r>
    <s v="Sandipta Panigrahi"/>
    <s v="Mehr Hashim D"/>
    <s v="Mehr Hashim"/>
    <s v="Nalinikanta Sahoo"/>
    <n v="2"/>
    <s v="C36240018"/>
    <x v="56"/>
    <n v="350000"/>
    <n v="50000"/>
    <s v="GE Healthcare Global Private Limited."/>
    <n v="5"/>
    <x v="5"/>
    <x v="10"/>
  </r>
  <r>
    <s v="Lavani Yasheer"/>
    <s v="Menaka Prasad"/>
    <s v="karan lalchandani"/>
    <s v="Priyadharshini  S"/>
    <n v="2"/>
    <s v="C36240186"/>
    <x v="65"/>
    <n v="178500"/>
    <n v="28500"/>
    <s v="Socgen"/>
    <n v="5"/>
    <x v="6"/>
    <x v="2"/>
  </r>
  <r>
    <s v="Mehraj N"/>
    <s v="Prathyusha Mangalampalli"/>
    <s v="Akshata Nayak Non IT"/>
    <s v="Tarun Sai M"/>
    <n v="1"/>
    <s v="C36240065"/>
    <x v="214"/>
    <n v="43953"/>
    <n v="12628"/>
    <s v="Soc gen Ops "/>
    <n v="5"/>
    <x v="4"/>
    <x v="2"/>
  </r>
  <r>
    <s v="Mehraj N"/>
    <s v="Prathyusha Mangalampalli"/>
    <s v="Akshata Nayak Non IT"/>
    <s v="Mansi Chandrakant  Shinde"/>
    <n v="2"/>
    <s v="C36240033"/>
    <x v="214"/>
    <n v="22420"/>
    <n v="3420"/>
    <s v="Accenture-voice"/>
    <n v="6"/>
    <x v="0"/>
    <x v="9"/>
  </r>
  <r>
    <s v="Priya b"/>
    <s v="Prathyusha Mangalampalli"/>
    <s v="Akshata Nayak Non IT"/>
    <s v="Ariba  Shaikh"/>
    <n v="2"/>
    <s v="C36240026"/>
    <x v="180"/>
    <n v="22847"/>
    <n v="3485"/>
    <s v="Accenture_BPO"/>
    <n v="5"/>
    <x v="0"/>
    <x v="9"/>
  </r>
  <r>
    <s v="Chandana K"/>
    <s v="Anitha C"/>
    <s v="Akshata Nayak Non IT"/>
    <s v="Channalli venkatesh Vaishnavi"/>
    <n v="1"/>
    <s v="C36240057"/>
    <x v="214"/>
    <n v="43953"/>
    <n v="11137"/>
    <s v="Soc gen Ops "/>
    <n v="5"/>
    <x v="4"/>
    <x v="2"/>
  </r>
  <r>
    <s v="Bindushree R"/>
    <s v="Prathyusha Mangalampalli"/>
    <s v="Akshata Nayak Non IT"/>
    <s v="Sushma Anil Dhamdhere"/>
    <n v="2"/>
    <s v="C36240062"/>
    <x v="180"/>
    <n v="22847"/>
    <n v="3485"/>
    <s v="Accenture_BPO"/>
    <n v="5"/>
    <x v="0"/>
    <x v="9"/>
  </r>
  <r>
    <s v="Pooja K"/>
    <s v="Prathyusha Mangalampalli"/>
    <s v="Akshata Nayak Non IT"/>
    <s v="Snehal Eknath Mhaske"/>
    <n v="2"/>
    <s v="C36240058"/>
    <x v="214"/>
    <n v="22847"/>
    <n v="3485"/>
    <s v="Accenture_BPO"/>
    <n v="5"/>
    <x v="0"/>
    <x v="9"/>
  </r>
  <r>
    <s v="Sachin K"/>
    <s v="Prathyusha Mangalampalli"/>
    <s v="Akshata Nayak Non IT"/>
    <s v="Nikita Shalgar"/>
    <n v="1"/>
    <s v="C36240044"/>
    <x v="214"/>
    <n v="43953"/>
    <n v="12628"/>
    <s v="Soc gen Ops "/>
    <n v="5"/>
    <x v="4"/>
    <x v="2"/>
  </r>
  <r>
    <s v="Deepthi C"/>
    <s v="Anitha C"/>
    <s v="Akshata Nayak Non IT"/>
    <s v="Sagar Dash"/>
    <n v="2"/>
    <s v="C36240021"/>
    <x v="205"/>
    <n v="29500"/>
    <n v="4500"/>
    <s v="Accenture_BPO"/>
    <n v="5"/>
    <x v="0"/>
    <x v="9"/>
  </r>
  <r>
    <s v="Mouli Roy"/>
    <s v="Prathyusha Mangalampalli"/>
    <s v="Akshata Nayak Non IT"/>
    <s v="Rittika Thakur "/>
    <n v="2"/>
    <s v="C36240049"/>
    <x v="218"/>
    <n v="65000"/>
    <n v="15000"/>
    <s v="Accenture-voice"/>
    <n v="5"/>
    <x v="0"/>
    <x v="9"/>
  </r>
  <r>
    <s v="Subha Bharathi"/>
    <s v="Tamil C"/>
    <s v="Akshata Nayak"/>
    <s v="CHANDAN KUMAR"/>
    <n v="1"/>
    <s v="C36240048"/>
    <x v="180"/>
    <n v="128078.82"/>
    <n v="19745.82"/>
    <s v="DXC"/>
    <n v="5"/>
    <x v="1"/>
    <x v="6"/>
  </r>
  <r>
    <s v="Mouli Roy"/>
    <s v="Prathyusha Mangalampalli"/>
    <s v="Akshata Nayak Non IT"/>
    <s v="Samantha Aden "/>
    <n v="2"/>
    <s v="C36240030"/>
    <x v="188"/>
    <n v="65000"/>
    <n v="15000"/>
    <s v="Accenture-voice"/>
    <n v="5"/>
    <x v="0"/>
    <x v="9"/>
  </r>
  <r>
    <s v="Sachin K"/>
    <s v="Prathyusha Mangalampalli"/>
    <s v="Akshata Nayak Non IT"/>
    <s v="Sameel Nazrudeen"/>
    <n v="2"/>
    <s v="C36240040"/>
    <x v="207"/>
    <n v="65000"/>
    <n v="15000"/>
    <s v="Accenture-voice"/>
    <n v="5"/>
    <x v="0"/>
    <x v="9"/>
  </r>
  <r>
    <s v="Deepthi C"/>
    <s v="Anitha C"/>
    <s v="Akshata Nayak Non IT"/>
    <s v="Shiny Christa Vandana "/>
    <n v="1"/>
    <s v="C36240229"/>
    <x v="95"/>
    <n v="70308"/>
    <n v="12442"/>
    <s v="Soc gen Ops "/>
    <n v="5"/>
    <x v="4"/>
    <x v="2"/>
  </r>
  <r>
    <s v="Arpita Biswal"/>
    <s v="Anitha C"/>
    <s v="Akshata Nayak Non IT"/>
    <s v="Arisha Jain"/>
    <n v="1"/>
    <s v="C36240059"/>
    <x v="214"/>
    <n v="67200"/>
    <n v="25534"/>
    <s v="Soc gen Ops "/>
    <n v="5"/>
    <x v="4"/>
    <x v="2"/>
  </r>
  <r>
    <s v="Poorvi Kundur"/>
    <s v="Monisha RR"/>
    <s v="Akshata Nayak Non IT"/>
    <s v="Archana M"/>
    <n v="6"/>
    <s v="C36240081"/>
    <x v="214"/>
    <n v="34375"/>
    <n v="6875"/>
    <s v="HP"/>
    <n v="5"/>
    <x v="0"/>
    <x v="0"/>
  </r>
  <r>
    <s v="Priya b"/>
    <s v="Prathyusha Mangalampalli"/>
    <s v="Akshata Nayak Non IT"/>
    <s v="Arjun Santosh Lothe"/>
    <n v="2"/>
    <s v="C36240069"/>
    <x v="218"/>
    <n v="22420"/>
    <n v="3420"/>
    <s v="Accenture_BPO"/>
    <n v="5"/>
    <x v="0"/>
    <x v="9"/>
  </r>
  <r>
    <s v="Hemanth SM"/>
    <s v="Priyakantha K"/>
    <s v="Prathap Sagar"/>
    <s v="Chandini V Reddy"/>
    <n v="2"/>
    <s v="C36240031"/>
    <x v="188"/>
    <n v="26000"/>
    <n v="4000"/>
    <s v="Accenture_IDB"/>
    <n v="5"/>
    <x v="2"/>
    <x v="3"/>
  </r>
  <r>
    <s v="Pooja K"/>
    <s v="Prathyusha Mangalampalli"/>
    <s v="Akshata Nayak Non IT"/>
    <s v="Adarsh Vinay Singh"/>
    <n v="2"/>
    <s v="C36240041"/>
    <x v="188"/>
    <n v="32500"/>
    <n v="7500"/>
    <s v="Accenture_BPO"/>
    <n v="6"/>
    <x v="0"/>
    <x v="9"/>
  </r>
  <r>
    <s v="Pooja K"/>
    <s v="Prathyusha Mangalampalli"/>
    <s v="Akshata Nayak Non IT"/>
    <s v="Pratik Jitendra Mahapadi"/>
    <n v="2"/>
    <s v="C36240032"/>
    <x v="188"/>
    <n v="32500"/>
    <n v="7500"/>
    <s v="Accenture_BPO"/>
    <n v="5"/>
    <x v="0"/>
    <x v="9"/>
  </r>
  <r>
    <s v="Pooja K"/>
    <s v="Prathyusha Mangalampalli"/>
    <s v="Akshata Nayak Non IT"/>
    <s v="Pooja Ramchandra Walkoli"/>
    <n v="2"/>
    <s v="C36240131"/>
    <x v="180"/>
    <n v="22847"/>
    <n v="3485"/>
    <s v="Accenture_BPO"/>
    <n v="5"/>
    <x v="0"/>
    <x v="9"/>
  </r>
  <r>
    <s v="Mehraj N"/>
    <s v="Prathyusha Mangalampalli"/>
    <s v="Akshata Nayak Non IT"/>
    <s v="Deepak  Avdeshkumar sharma"/>
    <n v="2"/>
    <s v="C36240050"/>
    <x v="218"/>
    <n v="22420"/>
    <n v="3420"/>
    <s v="Accenture_BPO"/>
    <n v="6"/>
    <x v="0"/>
    <x v="9"/>
  </r>
  <r>
    <s v="Mehraj N"/>
    <s v="Prathyusha Mangalampalli"/>
    <s v="Akshata Nayak Non IT"/>
    <s v="Akshay Suresh Surya "/>
    <n v="2"/>
    <s v="C36240051"/>
    <x v="218"/>
    <n v="22420"/>
    <n v="3420"/>
    <s v="Accenture_BPO"/>
    <n v="5"/>
    <x v="0"/>
    <x v="9"/>
  </r>
  <r>
    <s v="Sumanth K"/>
    <s v="Fazila K"/>
    <s v="Prathap Sagar"/>
    <s v="Rajan Sharma "/>
    <n v="7"/>
    <s v="C36240255"/>
    <x v="219"/>
    <n v="88292"/>
    <n v="3802"/>
    <s v="ZTE_payroll"/>
    <n v="5"/>
    <x v="2"/>
    <x v="3"/>
  </r>
  <r>
    <s v="Bindushree R"/>
    <s v="Prathyusha Mangalampalli"/>
    <s v="Akshata Nayak Non IT"/>
    <s v="Tanuja Vikas Mestry"/>
    <n v="2"/>
    <s v="C36240070"/>
    <x v="218"/>
    <n v="22420"/>
    <n v="3420"/>
    <s v="Accenture_BPO"/>
    <n v="6"/>
    <x v="0"/>
    <x v="9"/>
  </r>
  <r>
    <s v="Pooja K"/>
    <s v="Prathyusha Mangalampalli"/>
    <s v="Akshata Nayak Non IT"/>
    <s v="Shaikh Farhin Ishaque "/>
    <n v="2"/>
    <s v="C36240088"/>
    <x v="218"/>
    <n v="22420"/>
    <n v="3420"/>
    <s v="Accenture_BPO"/>
    <n v="5"/>
    <x v="0"/>
    <x v="9"/>
  </r>
  <r>
    <s v="Pooja K"/>
    <s v="Prathyusha Mangalampalli"/>
    <s v="Akshata Nayak Non IT"/>
    <s v="Prashant Chandrakant Bhatade"/>
    <n v="2"/>
    <s v="C36240079"/>
    <x v="218"/>
    <n v="22420"/>
    <n v="3420"/>
    <s v="Accenture_BPO"/>
    <n v="5"/>
    <x v="0"/>
    <x v="9"/>
  </r>
  <r>
    <s v="Hussain Saheb P"/>
    <s v="Shoeb Ahmed"/>
    <s v="Shoeb  Ahmed"/>
    <s v="Souradip Sen"/>
    <n v="2"/>
    <s v="C36240068"/>
    <x v="180"/>
    <n v="155000"/>
    <n v="46667"/>
    <s v="Sharp Software Development India "/>
    <n v="5"/>
    <x v="7"/>
    <x v="20"/>
  </r>
  <r>
    <s v="Lokesh Reddy"/>
    <s v="Mehr Hashim D"/>
    <s v="Mehr Hashim"/>
    <s v="Soumik V"/>
    <n v="2"/>
    <s v="C36240055"/>
    <x v="220"/>
    <n v="81333.33"/>
    <n v="14667.33"/>
    <s v="Alliance Data"/>
    <n v="5"/>
    <x v="5"/>
    <x v="8"/>
  </r>
  <r>
    <s v="Surabhi K"/>
    <s v="Mehr Hashim D"/>
    <s v="Mehr Hashim"/>
    <s v="G Harinath  Reddy"/>
    <n v="2"/>
    <s v="C36240052"/>
    <x v="220"/>
    <n v="360000"/>
    <n v="185000"/>
    <s v="SONY Software Development Centre"/>
    <n v="5"/>
    <x v="5"/>
    <x v="10"/>
  </r>
  <r>
    <s v="Pooja K"/>
    <s v="Prathyusha Mangalampalli"/>
    <s v="Akshata Nayak Non IT"/>
    <s v="Buddhesh Suresh Waghmare"/>
    <n v="2"/>
    <s v="C36240089"/>
    <x v="180"/>
    <n v="22420"/>
    <n v="3420"/>
    <s v="Accenture_BPO"/>
    <n v="6"/>
    <x v="0"/>
    <x v="9"/>
  </r>
  <r>
    <s v="Rohit M"/>
    <s v="Namitha Gowda"/>
    <s v="Prathap Sagar"/>
    <s v="Aparajita Das"/>
    <n v="2"/>
    <s v="C36240258"/>
    <x v="221"/>
    <n v="197064"/>
    <n v="54564"/>
    <s v="NetApp"/>
    <n v="5"/>
    <x v="5"/>
    <x v="17"/>
  </r>
  <r>
    <s v="Gopinath S N"/>
    <s v="Mehr Hashim D"/>
    <s v="Mehr Hashim"/>
    <s v="Sudarsan Ghosh"/>
    <n v="2"/>
    <s v="C36240061"/>
    <x v="220"/>
    <n v="230000"/>
    <n v="71667"/>
    <s v="SONY Software Development Centre"/>
    <n v="5"/>
    <x v="5"/>
    <x v="10"/>
  </r>
  <r>
    <s v="Gouri Priya"/>
    <s v="Pradeep P"/>
    <s v="Akshata Nayak Non IT"/>
    <s v="Ushameghana Tallam"/>
    <n v="1"/>
    <s v="C36240158"/>
    <x v="222"/>
    <n v="45517.5"/>
    <n v="8017.5"/>
    <s v="UHG"/>
    <n v="5"/>
    <x v="0"/>
    <x v="1"/>
  </r>
  <r>
    <s v="Saravana BA"/>
    <s v="Mehr Hashim D"/>
    <s v="Mehr Hashim"/>
    <s v="Surendra Tarai   "/>
    <n v="2"/>
    <s v="C36231851"/>
    <x v="103"/>
    <n v="504000"/>
    <n v="154000"/>
    <s v="Shell"/>
    <n v="5"/>
    <x v="5"/>
    <x v="8"/>
  </r>
  <r>
    <s v="Sindhu S R"/>
    <s v="Prathyusha Mangalampalli"/>
    <s v="Akshata Nayak Non IT"/>
    <s v="Vaishnavi Avinash Kelkar"/>
    <n v="2"/>
    <s v="C36240246"/>
    <x v="217"/>
    <n v="22847"/>
    <n v="3485"/>
    <s v="Accenture_BPO"/>
    <n v="6"/>
    <x v="0"/>
    <x v="9"/>
  </r>
  <r>
    <s v="Sindhu S R"/>
    <s v="Prathyusha Mangalampalli"/>
    <s v="Akshata Nayak Non IT"/>
    <s v="Ashlesha Suresh Sajgane"/>
    <n v="2"/>
    <s v="C36240078"/>
    <x v="180"/>
    <n v="22847"/>
    <n v="3485"/>
    <s v="Accenture_BPO"/>
    <n v="5"/>
    <x v="0"/>
    <x v="9"/>
  </r>
  <r>
    <s v="Laxmi M"/>
    <s v="Prathyusha Mangalampalli"/>
    <s v="Akshata Nayak Non IT"/>
    <s v="Karthik Krishna Nadar"/>
    <n v="2"/>
    <s v="C36240075"/>
    <x v="202"/>
    <n v="32500"/>
    <n v="7500"/>
    <s v="Accenture_BPO"/>
    <n v="5"/>
    <x v="0"/>
    <x v="9"/>
  </r>
  <r>
    <s v="Narendra Kumar Debariki"/>
    <s v="Pradeep P"/>
    <s v="Akshata Nayak Non IT"/>
    <s v="Shantanu  Pundir"/>
    <n v="1"/>
    <s v="C36240189"/>
    <x v="181"/>
    <n v="45517"/>
    <n v="6350.33"/>
    <s v="UHG"/>
    <n v="5"/>
    <x v="0"/>
    <x v="1"/>
  </r>
  <r>
    <s v="Sai Manish"/>
    <s v="Pradeep P"/>
    <s v="Akshata Nayak Non IT"/>
    <s v="Mohammed Wasif Amir"/>
    <n v="1"/>
    <s v="C36240353"/>
    <x v="212"/>
    <n v="45517"/>
    <n v="6350.33"/>
    <s v="UHG"/>
    <n v="5"/>
    <x v="0"/>
    <x v="1"/>
  </r>
  <r>
    <s v="Sachin K"/>
    <s v="Prathyusha Mangalampalli"/>
    <s v="Akshata Nayak Non IT"/>
    <s v="Varun Kumar Venugopal"/>
    <n v="2"/>
    <s v="C36240082"/>
    <x v="216"/>
    <n v="65000"/>
    <n v="15000"/>
    <s v="Accenture-voice"/>
    <n v="5"/>
    <x v="0"/>
    <x v="9"/>
  </r>
  <r>
    <s v="Priya b"/>
    <s v="Prathyusha Mangalampalli"/>
    <s v="Akshata Nayak Non IT"/>
    <s v="Vikas Manojkumar Nishad"/>
    <n v="2"/>
    <s v="C36240083"/>
    <x v="223"/>
    <n v="22420"/>
    <n v="3420"/>
    <s v="Accenture_BPO"/>
    <n v="6"/>
    <x v="0"/>
    <x v="9"/>
  </r>
  <r>
    <s v="Sanu S"/>
    <s v="Priyakantha K"/>
    <s v="Prathap Sagar"/>
    <s v=" Abhishek Shivdas Patil"/>
    <n v="2"/>
    <s v="C36240090"/>
    <x v="224"/>
    <n v="125000"/>
    <n v="25000"/>
    <s v="Accenture_IDB"/>
    <n v="5"/>
    <x v="2"/>
    <x v="3"/>
  </r>
  <r>
    <s v="Lahari Likitha"/>
    <s v="Menaka Prasad"/>
    <s v="karan lalchandani"/>
    <s v="Thanuja G"/>
    <n v="2"/>
    <s v="C36240219"/>
    <x v="217"/>
    <n v="105672"/>
    <n v="30672"/>
    <s v="IBM -Mercedes"/>
    <n v="5"/>
    <x v="1"/>
    <x v="7"/>
  </r>
  <r>
    <s v="Hemanth SM"/>
    <s v="Priyakantha K"/>
    <s v="Prathap Sagar"/>
    <s v="AMIT SHARMA"/>
    <n v="2"/>
    <s v="C36240073"/>
    <x v="216"/>
    <n v="30000"/>
    <n v="5000"/>
    <s v="Accenture_IDB"/>
    <n v="5"/>
    <x v="2"/>
    <x v="3"/>
  </r>
  <r>
    <s v="Punitha C"/>
    <s v="Suman S"/>
    <s v="Prathap Sagar"/>
    <s v=" Shubham Gorakshanath Pawase"/>
    <n v="2"/>
    <s v="C36240074"/>
    <x v="216"/>
    <n v="30000"/>
    <n v="5000"/>
    <s v="Accenture_IDB"/>
    <n v="5"/>
    <x v="2"/>
    <x v="3"/>
  </r>
  <r>
    <s v="Bindushree R"/>
    <s v="Prathyusha Mangalampalli"/>
    <s v="Akshata Nayak Non IT"/>
    <s v="Durgesh Chedilal Gupta"/>
    <n v="2"/>
    <s v="C36240084"/>
    <x v="223"/>
    <n v="22420"/>
    <n v="3420"/>
    <s v="Accenture_BPO"/>
    <n v="5"/>
    <x v="0"/>
    <x v="9"/>
  </r>
  <r>
    <s v="Sindhu S R"/>
    <s v="Prathyusha Mangalampalli"/>
    <s v="Akshata Nayak Non IT"/>
    <s v="Naresh Chaidini"/>
    <n v="2"/>
    <s v="C36240130"/>
    <x v="223"/>
    <n v="65000"/>
    <n v="15000"/>
    <s v="Accenture-voice"/>
    <n v="6"/>
    <x v="0"/>
    <x v="9"/>
  </r>
  <r>
    <s v="Sindhu S R"/>
    <s v="Prathyusha Mangalampalli"/>
    <s v="Akshata Nayak Non IT"/>
    <s v="Komal Jitesh Jadwani"/>
    <n v="2"/>
    <s v="C36240151"/>
    <x v="181"/>
    <n v="22847"/>
    <n v="3485"/>
    <s v="Accenture_BPO"/>
    <n v="5"/>
    <x v="0"/>
    <x v="9"/>
  </r>
  <r>
    <s v="Laxmi M"/>
    <s v="Prathyusha Mangalampalli"/>
    <s v="Akshata Nayak Non IT"/>
    <s v="Rahul Shivprasad Gupta"/>
    <n v="2"/>
    <s v="C36240128"/>
    <x v="181"/>
    <n v="22420"/>
    <n v="3420"/>
    <s v="Accenture_BPO"/>
    <n v="5"/>
    <x v="0"/>
    <x v="9"/>
  </r>
  <r>
    <s v="Mehraj N"/>
    <s v="Prathyusha Mangalampalli"/>
    <s v="Akshata Nayak Non IT"/>
    <s v="Rutuja Shamrao Gaikwad"/>
    <n v="2"/>
    <s v="C36240145"/>
    <x v="225"/>
    <n v="22420"/>
    <n v="3420"/>
    <s v="Accenture_BPO"/>
    <n v="5"/>
    <x v="0"/>
    <x v="9"/>
  </r>
  <r>
    <s v="Manjunath R"/>
    <s v="Mehr Hashim D"/>
    <s v="Mehr Hashim"/>
    <s v="Chethana R N"/>
    <n v="2"/>
    <s v="C36240076"/>
    <x v="202"/>
    <n v="436800"/>
    <n v="61800"/>
    <s v="GE Healthcare Global Private Limited."/>
    <n v="5"/>
    <x v="5"/>
    <x v="10"/>
  </r>
  <r>
    <s v="Surabhi K"/>
    <s v="Mehr Hashim D"/>
    <s v="Mehr Hashim"/>
    <s v="Saurav  Kumar"/>
    <n v="4"/>
    <s v="O36230130"/>
    <x v="179"/>
    <n v="441000"/>
    <n v="149334"/>
    <s v="Shell"/>
    <n v="5"/>
    <x v="5"/>
    <x v="8"/>
  </r>
  <r>
    <s v="Gouri Priya"/>
    <s v="Pradeep P"/>
    <s v="Akshata Nayak Non IT"/>
    <s v="Lade Jyothi Swarupa"/>
    <n v="1"/>
    <s v="C36240091"/>
    <x v="181"/>
    <n v="45517"/>
    <n v="6350.33"/>
    <s v="UHG"/>
    <n v="5"/>
    <x v="0"/>
    <x v="1"/>
  </r>
  <r>
    <s v="Chetna Jain"/>
    <s v="Fazila K"/>
    <s v="Prathap Sagar"/>
    <s v="Alok Maharatha"/>
    <n v="2"/>
    <s v="C36240127"/>
    <x v="224"/>
    <n v="147000"/>
    <n v="38666.67"/>
    <s v="Infosys"/>
    <n v="5"/>
    <x v="2"/>
    <x v="3"/>
  </r>
  <r>
    <s v="Gopinath S N"/>
    <s v="Mehr Hashim D"/>
    <s v="Mehr Hashim"/>
    <s v="Ramesh R"/>
    <n v="4"/>
    <s v="O36230137"/>
    <x v="193"/>
    <n v="483000"/>
    <n v="124667"/>
    <s v="Shell"/>
    <n v="5"/>
    <x v="5"/>
    <x v="8"/>
  </r>
  <r>
    <s v="Sandipta Panigrahi"/>
    <s v="Mehr Hashim D"/>
    <s v="Mehr Hashim"/>
    <s v="Vinit Kumar singh"/>
    <n v="4"/>
    <s v="O36230139"/>
    <x v="208"/>
    <n v="350000"/>
    <n v="58333.33"/>
    <s v="Shell"/>
    <n v="5"/>
    <x v="5"/>
    <x v="8"/>
  </r>
  <r>
    <s v="Spoorthy C"/>
    <s v="Mehr Hashim D"/>
    <s v="Mehr Hashim"/>
    <s v="Amritha S"/>
    <n v="2"/>
    <s v="C36240067"/>
    <x v="211"/>
    <n v="441000"/>
    <n v="332667"/>
    <s v="Shell"/>
    <n v="5"/>
    <x v="5"/>
    <x v="8"/>
  </r>
  <r>
    <s v="Sneha Mahaveer"/>
    <s v="Namitha Gowda"/>
    <s v="Prathap Sagar"/>
    <s v="Ratheesha A N"/>
    <n v="2"/>
    <s v="C36231194"/>
    <x v="30"/>
    <n v="88200"/>
    <n v="25700"/>
    <s v="Societe Generale"/>
    <n v="6"/>
    <x v="6"/>
    <x v="13"/>
  </r>
  <r>
    <s v="Lavani Yasheer"/>
    <s v="Menaka Prasad"/>
    <s v="karan lalchandani"/>
    <s v="Deeba  R"/>
    <n v="2"/>
    <s v="C36231363"/>
    <x v="87"/>
    <n v="157500"/>
    <n v="74167"/>
    <s v="Societe Generale"/>
    <n v="5"/>
    <x v="6"/>
    <x v="13"/>
  </r>
  <r>
    <s v="Madhuri Ps"/>
    <s v="Menaka Prasad"/>
    <s v="karan lalchandani"/>
    <s v="Suresh Babu"/>
    <n v="2"/>
    <s v="C36232019"/>
    <x v="163"/>
    <n v="88200"/>
    <n v="13200"/>
    <s v="Societe Generale"/>
    <n v="5"/>
    <x v="6"/>
    <x v="13"/>
  </r>
  <r>
    <s v="Shaik Sharukh"/>
    <s v="Poornachandra V"/>
    <s v="Akshata Nayak"/>
    <s v="B Gayathri"/>
    <n v="1"/>
    <s v="C36231229"/>
    <x v="20"/>
    <n v="96000"/>
    <n v="29334"/>
    <s v="Tata Elxsi"/>
    <n v="6"/>
    <x v="1"/>
    <x v="16"/>
  </r>
  <r>
    <s v="Shaik Sharukh"/>
    <s v="Poornachandra V"/>
    <s v="Akshata Nayak"/>
    <s v="Matin Bashir Desai"/>
    <n v="1"/>
    <s v="C36231230"/>
    <x v="20"/>
    <n v="95000"/>
    <n v="45000"/>
    <s v="Tata Elxsi"/>
    <n v="6"/>
    <x v="1"/>
    <x v="16"/>
  </r>
  <r>
    <s v="Prateek A"/>
    <s v="Mehr Hashim D"/>
    <s v="Mehr Hashim"/>
    <s v="Thimirishetty Dharani"/>
    <n v="2"/>
    <s v="C36240093"/>
    <x v="181"/>
    <n v="115000"/>
    <n v="69167"/>
    <s v="Thomson Reuters"/>
    <n v="6"/>
    <x v="5"/>
    <x v="19"/>
  </r>
  <r>
    <s v="Uma Sree"/>
    <s v="Mehr Hashim D"/>
    <s v="Mehr Hashim"/>
    <s v="Ilaparvuluri leela Datta Praneeth"/>
    <n v="2"/>
    <s v="C36240094"/>
    <x v="181"/>
    <n v="115000"/>
    <n v="70000"/>
    <s v="Thomson Reuters"/>
    <n v="5"/>
    <x v="5"/>
    <x v="19"/>
  </r>
  <r>
    <s v="Spoorthy C"/>
    <s v="Mehr Hashim D"/>
    <s v="Mehr Hashim"/>
    <s v="U Maheshwari "/>
    <n v="2"/>
    <s v="C36240095"/>
    <x v="181"/>
    <n v="70000"/>
    <n v="40834"/>
    <s v="Thomson Reuters"/>
    <n v="6"/>
    <x v="5"/>
    <x v="19"/>
  </r>
  <r>
    <s v="Keerthi Reddy"/>
    <s v="Mehr Hashim D"/>
    <s v="Mehr Hashim"/>
    <s v="Bandari Vinayraj"/>
    <n v="2"/>
    <s v="C36240096"/>
    <x v="181"/>
    <n v="125000"/>
    <n v="79167"/>
    <s v="Thomson Reuters"/>
    <n v="5"/>
    <x v="5"/>
    <x v="19"/>
  </r>
  <r>
    <s v="Gopinath S N"/>
    <s v="Mehr Hashim D"/>
    <s v="Mehr Hashim"/>
    <s v="Gangineni Bhargavi  "/>
    <n v="2"/>
    <s v="C36240097"/>
    <x v="181"/>
    <n v="115000"/>
    <n v="73334"/>
    <s v="Thomson Reuters"/>
    <n v="5"/>
    <x v="5"/>
    <x v="19"/>
  </r>
  <r>
    <s v="sumran Mattoo"/>
    <s v="Mehr Hashim D"/>
    <s v="Mehr Hashim"/>
    <s v=" Angel Makka"/>
    <n v="2"/>
    <s v="C36240098"/>
    <x v="181"/>
    <n v="105000"/>
    <n v="59167"/>
    <s v="Thomson Reuters"/>
    <n v="5"/>
    <x v="5"/>
    <x v="19"/>
  </r>
  <r>
    <s v="Surabhi K"/>
    <s v="Mehr Hashim D"/>
    <s v="Mehr Hashim"/>
    <s v="Akash Kumar"/>
    <n v="2"/>
    <s v="C36240099"/>
    <x v="181"/>
    <n v="105000"/>
    <n v="59167"/>
    <s v="Thomson Reuters"/>
    <n v="5"/>
    <x v="5"/>
    <x v="19"/>
  </r>
  <r>
    <s v="Aashis Kumar"/>
    <s v="Manjunath R"/>
    <s v="Mehr Hashim"/>
    <s v="Pachipenta Nayana Sai Sri"/>
    <n v="2"/>
    <s v="C36240100"/>
    <x v="181"/>
    <n v="105000"/>
    <n v="59167"/>
    <s v="Thomson Reuters"/>
    <n v="5"/>
    <x v="5"/>
    <x v="19"/>
  </r>
  <r>
    <s v="Prateek A"/>
    <s v="Mehr Hashim D"/>
    <s v="Mehr Hashim"/>
    <s v="Barla Sai Karthik  "/>
    <n v="2"/>
    <s v="C36240101"/>
    <x v="181"/>
    <n v="105000"/>
    <n v="67500"/>
    <s v="Thomson Reuters"/>
    <n v="5"/>
    <x v="5"/>
    <x v="19"/>
  </r>
  <r>
    <s v="Sharanabasava Saalunke"/>
    <s v="Mehr Hashim D"/>
    <s v="Mehr Hashim"/>
    <s v="Devalla Shiva Kalyan"/>
    <n v="2"/>
    <s v="C36240102"/>
    <x v="181"/>
    <n v="70000"/>
    <n v="40834"/>
    <s v="Thomson Reuters"/>
    <n v="5"/>
    <x v="5"/>
    <x v="19"/>
  </r>
  <r>
    <s v="Sireesha K"/>
    <s v="Prathyusha Mangalampalli"/>
    <s v="Akshata Nayak Non IT"/>
    <s v="Karan Dayal Dhameja"/>
    <n v="2"/>
    <s v="C36240235"/>
    <x v="223"/>
    <n v="22420"/>
    <n v="3420"/>
    <s v="Accenture_BPO"/>
    <n v="6"/>
    <x v="0"/>
    <x v="9"/>
  </r>
  <r>
    <s v="Sharanabasava Saalunke"/>
    <s v="Mehr Hashim D"/>
    <s v="Mehr Hashim"/>
    <s v="Madam Anil kumar reddy"/>
    <n v="2"/>
    <s v="C36240103"/>
    <x v="181"/>
    <n v="70000"/>
    <n v="28334"/>
    <s v="Thomson Reuters"/>
    <n v="5"/>
    <x v="5"/>
    <x v="19"/>
  </r>
  <r>
    <s v="Surabhi K"/>
    <s v="Mehr Hashim D"/>
    <s v="Mehr Hashim"/>
    <s v="Shubhamkumar Upadhayay"/>
    <n v="2"/>
    <s v="C36240104"/>
    <x v="181"/>
    <n v="105000"/>
    <n v="71667"/>
    <s v="Thomson Reuters"/>
    <n v="5"/>
    <x v="5"/>
    <x v="19"/>
  </r>
  <r>
    <s v="Aashis Kumar"/>
    <s v="Manjunath R"/>
    <s v="Mehr Hashim"/>
    <s v="Suryapally Shashank "/>
    <n v="2"/>
    <s v="C36240105"/>
    <x v="181"/>
    <n v="105000"/>
    <n v="69167"/>
    <s v="Thomson Reuters"/>
    <n v="5"/>
    <x v="5"/>
    <x v="19"/>
  </r>
  <r>
    <s v="Aashis Kumar"/>
    <s v="Manjunath R"/>
    <s v="Mehr Hashim"/>
    <s v=" Peddi Soumya Reddy"/>
    <n v="2"/>
    <s v="C36240106"/>
    <x v="181"/>
    <n v="105000"/>
    <n v="70000"/>
    <s v="Thomson Reuters"/>
    <n v="6"/>
    <x v="5"/>
    <x v="19"/>
  </r>
  <r>
    <s v="Sharanabasava Saalunke"/>
    <s v="Mehr Hashim D"/>
    <s v="Mehr Hashim"/>
    <s v="Kalal Prasanna"/>
    <n v="2"/>
    <s v="C36240107"/>
    <x v="181"/>
    <n v="70000"/>
    <n v="40000"/>
    <s v="Thomson Reuters"/>
    <n v="5"/>
    <x v="5"/>
    <x v="19"/>
  </r>
  <r>
    <s v="Tamilarasan S"/>
    <s v="Mehr Hashim D"/>
    <s v="Mehr Hashim"/>
    <s v="Sudhula Pavan Ganesh"/>
    <n v="2"/>
    <s v="C36240108"/>
    <x v="181"/>
    <n v="70000"/>
    <n v="36667"/>
    <s v="Thomson Reuters"/>
    <n v="5"/>
    <x v="5"/>
    <x v="19"/>
  </r>
  <r>
    <s v="Keerthi Reddy"/>
    <s v="Mehr Hashim D"/>
    <s v="Mehr Hashim"/>
    <s v="Raachala Harish Reddy"/>
    <n v="2"/>
    <s v="C36240109"/>
    <x v="181"/>
    <n v="105000"/>
    <n v="63334"/>
    <s v="Thomson Reuters"/>
    <n v="5"/>
    <x v="5"/>
    <x v="19"/>
  </r>
  <r>
    <s v="Surabhi K"/>
    <s v="Mehr Hashim D"/>
    <s v="Mehr Hashim"/>
    <s v="Madasu Bhagya Lakshmi Prasanna"/>
    <n v="2"/>
    <s v="C36240110"/>
    <x v="181"/>
    <n v="105000"/>
    <n v="75834"/>
    <s v="Thomson Reuters"/>
    <n v="6"/>
    <x v="5"/>
    <x v="19"/>
  </r>
  <r>
    <s v="Sachin K"/>
    <s v="Prathyusha Mangalampalli"/>
    <s v="Akshata Nayak Non IT"/>
    <s v="Videsh Rajesh Baikar"/>
    <n v="2"/>
    <s v="C36240092"/>
    <x v="181"/>
    <n v="21830"/>
    <n v="3330"/>
    <s v="Accenture_BPO"/>
    <n v="5"/>
    <x v="0"/>
    <x v="9"/>
  </r>
  <r>
    <s v="Naveen K"/>
    <s v="Mehr Hashim D"/>
    <s v="Mehr Hashim"/>
    <s v="Mohammed Abdul rakhib"/>
    <n v="2"/>
    <s v="C36240111"/>
    <x v="181"/>
    <n v="105000"/>
    <n v="63334"/>
    <s v="Thomson Reuters"/>
    <n v="5"/>
    <x v="5"/>
    <x v="19"/>
  </r>
  <r>
    <s v="Laxmi M"/>
    <s v="Prathyusha Mangalampalli"/>
    <s v="Akshata Nayak Non IT"/>
    <s v="Sahil Ashok More"/>
    <n v="2"/>
    <s v="C36240136"/>
    <x v="181"/>
    <n v="22420"/>
    <n v="3420"/>
    <s v="Accenture_BPO"/>
    <n v="5"/>
    <x v="0"/>
    <x v="9"/>
  </r>
  <r>
    <s v="Prateek A"/>
    <s v="Mehr Hashim D"/>
    <s v="Mehr Hashim"/>
    <s v="Parasa Neeraja"/>
    <n v="2"/>
    <s v="C36240112"/>
    <x v="181"/>
    <n v="115000"/>
    <n v="69167"/>
    <s v="Thomson Reuters"/>
    <n v="6"/>
    <x v="5"/>
    <x v="19"/>
  </r>
  <r>
    <s v="Pinky Kumari"/>
    <s v="Mehr Hashim D"/>
    <s v="Mehr Hashim"/>
    <s v="Ashif  Khan "/>
    <n v="2"/>
    <s v="C36240113"/>
    <x v="181"/>
    <n v="105000"/>
    <n v="61667"/>
    <s v="Thomson Reuters"/>
    <n v="5"/>
    <x v="5"/>
    <x v="19"/>
  </r>
  <r>
    <s v="Kamlesh A"/>
    <s v="Menaka Prasad"/>
    <s v="karan lalchandani"/>
    <s v="Arun Gnana Raj L"/>
    <n v="2"/>
    <s v="C36240187"/>
    <x v="65"/>
    <n v="50641.2"/>
    <n v="2041.2"/>
    <s v="CenturyLink Technologies India Pvt.Ltd"/>
    <n v="5"/>
    <x v="1"/>
    <x v="2"/>
  </r>
  <r>
    <s v="Pinky Kumari"/>
    <s v="Mehr Hashim D"/>
    <s v="Mehr Hashim"/>
    <s v="Mannu Mahotra"/>
    <n v="2"/>
    <s v="C36240126"/>
    <x v="223"/>
    <n v="80000"/>
    <n v="12334"/>
    <s v="Lowes"/>
    <n v="5"/>
    <x v="5"/>
    <x v="10"/>
  </r>
  <r>
    <s v="Naveen K"/>
    <s v="Mehr Hashim D"/>
    <s v="Mehr Hashim"/>
    <s v="Mohammed Osman  Khan"/>
    <n v="2"/>
    <s v="C36240114"/>
    <x v="181"/>
    <n v="115000"/>
    <n v="69167"/>
    <s v="Thomson Reuters"/>
    <n v="5"/>
    <x v="5"/>
    <x v="19"/>
  </r>
  <r>
    <s v="Karnikasri P"/>
    <s v="Priyakantha K"/>
    <s v="Prathap Sagar"/>
    <s v="Dharshini R"/>
    <n v="2"/>
    <s v="C36240085"/>
    <x v="223"/>
    <n v="26000"/>
    <n v="4000"/>
    <s v="Accenture_IDB"/>
    <n v="5"/>
    <x v="2"/>
    <x v="3"/>
  </r>
  <r>
    <s v="Kavya c"/>
    <s v="Manjunath R"/>
    <s v="Mehr Hashim"/>
    <s v="Thakur Paramraj Singh"/>
    <n v="2"/>
    <s v="C36240115"/>
    <x v="181"/>
    <n v="105000"/>
    <n v="56667"/>
    <s v="Thomson Reuters"/>
    <n v="5"/>
    <x v="5"/>
    <x v="19"/>
  </r>
  <r>
    <s v="Maheshwari K S"/>
    <s v="Monisha RR"/>
    <s v="Akshata Nayak Non IT"/>
    <s v="NAJMA TAJ"/>
    <n v="6"/>
    <s v="C36240142"/>
    <x v="181"/>
    <n v="34375"/>
    <n v="6875"/>
    <s v="HP"/>
    <n v="5"/>
    <x v="0"/>
    <x v="0"/>
  </r>
  <r>
    <s v="Maheshwari K S"/>
    <s v="Monisha RR"/>
    <s v="Akshata Nayak Non IT"/>
    <s v="Pavan c"/>
    <n v="6"/>
    <s v="C36240209"/>
    <x v="181"/>
    <n v="34375"/>
    <n v="6875"/>
    <s v="HP"/>
    <n v="5"/>
    <x v="0"/>
    <x v="0"/>
  </r>
  <r>
    <s v="Maheshwari K S"/>
    <s v="Monisha RR"/>
    <s v="Akshata Nayak Non IT"/>
    <s v="Rachita K A"/>
    <n v="6"/>
    <s v="C36240143"/>
    <x v="181"/>
    <n v="34375"/>
    <n v="6875"/>
    <s v="HP"/>
    <n v="5"/>
    <x v="0"/>
    <x v="0"/>
  </r>
  <r>
    <s v="Bhargavi T R"/>
    <s v="Monisha RR"/>
    <s v="Akshata Nayak Non IT"/>
    <s v="S Sachin Singh"/>
    <n v="6"/>
    <s v="C36240137"/>
    <x v="181"/>
    <n v="34375"/>
    <n v="6875"/>
    <s v="HP"/>
    <n v="5"/>
    <x v="0"/>
    <x v="0"/>
  </r>
  <r>
    <s v="Pradeep S"/>
    <s v="Monisha RR"/>
    <s v="Akshata Nayak Non IT"/>
    <s v="Sunaina Padhi"/>
    <n v="6"/>
    <s v="C36240161"/>
    <x v="181"/>
    <n v="34375"/>
    <n v="6875"/>
    <s v="HP"/>
    <n v="5"/>
    <x v="0"/>
    <x v="0"/>
  </r>
  <r>
    <s v="Tamilarasan S"/>
    <s v="Mehr Hashim D"/>
    <s v="Mehr Hashim"/>
    <s v="Namilikonda Vidya"/>
    <n v="2"/>
    <s v="C36240116"/>
    <x v="181"/>
    <n v="105000"/>
    <n v="59167"/>
    <s v="Thomson Reuters"/>
    <n v="5"/>
    <x v="5"/>
    <x v="19"/>
  </r>
  <r>
    <s v="Gouri Priya"/>
    <s v="Pradeep P"/>
    <s v="Akshata Nayak Non IT"/>
    <s v="Mitali Motiram Tulshikar"/>
    <n v="2"/>
    <s v="C36240138"/>
    <x v="181"/>
    <n v="22420"/>
    <n v="3420"/>
    <s v="Accenture_BPO"/>
    <n v="5"/>
    <x v="0"/>
    <x v="9"/>
  </r>
  <r>
    <s v="Fazila Khanum"/>
    <s v="Prathap Sagar BL"/>
    <s v="Fazila Khanum"/>
    <s v=" Nirupama Singh"/>
    <n v="2"/>
    <s v="C36240132"/>
    <x v="212"/>
    <n v="210000"/>
    <n v="38666.67"/>
    <s v="Infosys"/>
    <n v="6"/>
    <x v="2"/>
    <x v="3"/>
  </r>
  <r>
    <s v="Karthik V"/>
    <s v="Fazila K"/>
    <s v="Prathap Sagar"/>
    <s v="Chamantula Harish Kumar "/>
    <n v="2"/>
    <s v="C36240133"/>
    <x v="212"/>
    <n v="220500"/>
    <n v="70500"/>
    <s v="Infosys"/>
    <n v="6"/>
    <x v="2"/>
    <x v="3"/>
  </r>
  <r>
    <s v="Sharath CM"/>
    <s v="Santhosh G"/>
    <s v="karan lalchandani"/>
    <s v="Archana Gupta"/>
    <n v="2"/>
    <s v="C36240139"/>
    <x v="181"/>
    <n v="82291.600000000006"/>
    <n v="28125.599999999999"/>
    <s v="Datacomp Webtech Technologies "/>
    <n v="5"/>
    <x v="5"/>
    <x v="10"/>
  </r>
  <r>
    <s v="Pavitha R"/>
    <s v="Fazila K"/>
    <s v="Prathap Sagar"/>
    <s v="Jaddu Manasa"/>
    <n v="2"/>
    <s v="C36240134"/>
    <x v="212"/>
    <n v="199500"/>
    <n v="57833.33"/>
    <s v="Infosys"/>
    <n v="5"/>
    <x v="2"/>
    <x v="3"/>
  </r>
  <r>
    <s v="Ram Praveen B"/>
    <s v="Fazila K"/>
    <s v="Prathap Sagar"/>
    <s v="Udit Bhardwaj"/>
    <n v="2"/>
    <s v="C36240135"/>
    <x v="212"/>
    <n v="147000"/>
    <n v="76166.67"/>
    <s v="Infosys"/>
    <n v="5"/>
    <x v="2"/>
    <x v="3"/>
  </r>
  <r>
    <s v="Deepthi C"/>
    <s v="Anitha C"/>
    <s v="Akshata Nayak Non IT"/>
    <s v="Dabbara Sri Krupa "/>
    <n v="1"/>
    <s v="C36240180"/>
    <x v="226"/>
    <n v="39900"/>
    <n v="8234"/>
    <s v="Soc gen Ops "/>
    <n v="5"/>
    <x v="4"/>
    <x v="2"/>
  </r>
  <r>
    <s v="Sai Manish"/>
    <s v="Pradeep P"/>
    <s v="Akshata Nayak Non IT"/>
    <s v="Kothoju Radhika "/>
    <n v="1"/>
    <s v="C36240190"/>
    <x v="181"/>
    <n v="27667.5"/>
    <n v="7667.5"/>
    <s v="UHG UNET"/>
    <n v="6"/>
    <x v="1"/>
    <x v="1"/>
  </r>
  <r>
    <s v="Sai Manish"/>
    <s v="Pradeep P"/>
    <s v="Akshata Nayak Non IT"/>
    <s v="Nyala sandeep"/>
    <n v="1"/>
    <s v="C36240181"/>
    <x v="181"/>
    <n v="27667"/>
    <n v="7667"/>
    <s v="UHG UNET"/>
    <n v="6"/>
    <x v="1"/>
    <x v="1"/>
  </r>
  <r>
    <s v="Sai Manish"/>
    <s v="Pradeep P"/>
    <s v="Akshata Nayak Non IT"/>
    <s v="Goulikar Vijay Kumar  "/>
    <n v="1"/>
    <s v="C36240203"/>
    <x v="181"/>
    <n v="27667.5"/>
    <n v="7667.5"/>
    <s v="UHG UNET"/>
    <n v="6"/>
    <x v="1"/>
    <x v="1"/>
  </r>
  <r>
    <s v="Sai Manish"/>
    <s v="Pradeep P"/>
    <s v="Akshata Nayak Non IT"/>
    <s v="Gadidapati Priya  "/>
    <n v="1"/>
    <s v="NULL"/>
    <x v="181"/>
    <n v="27667.5"/>
    <n v="7667.5"/>
    <s v="UHG UNET"/>
    <n v="6"/>
    <x v="1"/>
    <x v="1"/>
  </r>
  <r>
    <s v="Sai Manish"/>
    <s v="Pradeep P"/>
    <s v="Akshata Nayak Non IT"/>
    <s v="Jogu Anitha "/>
    <n v="1"/>
    <s v="C36240202"/>
    <x v="181"/>
    <n v="27667.5"/>
    <n v="7667.5"/>
    <s v="UHG UNET"/>
    <n v="6"/>
    <x v="1"/>
    <x v="1"/>
  </r>
  <r>
    <s v="Sai Manish"/>
    <s v="Pradeep P"/>
    <s v="Akshata Nayak Non IT"/>
    <s v="MOHAMMED AAMIR KHAN"/>
    <n v="1"/>
    <s v="C36240162"/>
    <x v="181"/>
    <n v="27667.5"/>
    <n v="7667.5"/>
    <s v="UHG UNET"/>
    <n v="6"/>
    <x v="1"/>
    <x v="1"/>
  </r>
  <r>
    <s v="Sai Manish"/>
    <s v="Pradeep P"/>
    <s v="Akshata Nayak Non IT"/>
    <s v="Shama Anil Kumar"/>
    <n v="1"/>
    <s v="NULL"/>
    <x v="181"/>
    <n v="27667.5"/>
    <n v="7667.5"/>
    <s v="UHG UNET"/>
    <n v="5"/>
    <x v="1"/>
    <x v="1"/>
  </r>
  <r>
    <s v="Gouri Priya"/>
    <s v="Pradeep P"/>
    <s v="Akshata Nayak Non IT"/>
    <s v="Passi Gangothri"/>
    <n v="1"/>
    <s v="NULL"/>
    <x v="181"/>
    <n v="27667.5"/>
    <n v="7667.5"/>
    <s v="UHG UNET"/>
    <n v="5"/>
    <x v="1"/>
    <x v="1"/>
  </r>
  <r>
    <s v="Gouri Priya"/>
    <s v="Pradeep P"/>
    <s v="Akshata Nayak Non IT"/>
    <s v="Chindam Harshini"/>
    <n v="1"/>
    <s v="NULL"/>
    <x v="181"/>
    <n v="27667.5"/>
    <n v="7667.5"/>
    <s v="UHG UNET"/>
    <n v="5"/>
    <x v="1"/>
    <x v="1"/>
  </r>
  <r>
    <s v="Gouri Priya"/>
    <s v="Pradeep P"/>
    <s v="Akshata Nayak Non IT"/>
    <s v="Karamthot Sangeetha Bai"/>
    <n v="1"/>
    <s v="C36240191"/>
    <x v="181"/>
    <n v="27667.5"/>
    <n v="7667.5"/>
    <s v="UHG UNET"/>
    <n v="6"/>
    <x v="1"/>
    <x v="1"/>
  </r>
  <r>
    <s v="Sai Vineeth"/>
    <s v="Pradeep P"/>
    <s v="Akshata Nayak Non IT"/>
    <s v="Pallekadi Shashidhar "/>
    <n v="1"/>
    <s v="C36240163"/>
    <x v="181"/>
    <n v="27667.5"/>
    <n v="7667.5"/>
    <s v="UHG UNET"/>
    <n v="6"/>
    <x v="1"/>
    <x v="1"/>
  </r>
  <r>
    <s v="Sai Vineeth"/>
    <s v="Pradeep P"/>
    <s v="Akshata Nayak Non IT"/>
    <s v="Kethuri Sindhuja"/>
    <n v="1"/>
    <s v="C36240204"/>
    <x v="181"/>
    <n v="27667.5"/>
    <n v="7667.5"/>
    <s v="UHG UNET"/>
    <n v="6"/>
    <x v="1"/>
    <x v="1"/>
  </r>
  <r>
    <s v="Gouri Priya"/>
    <s v="Pradeep P"/>
    <s v="Akshata Nayak Non IT"/>
    <s v="Md Saif Ahmed"/>
    <n v="1"/>
    <s v="C36240152"/>
    <x v="181"/>
    <n v="27667.5"/>
    <n v="7667.5"/>
    <s v="UHG UNET"/>
    <n v="6"/>
    <x v="1"/>
    <x v="1"/>
  </r>
  <r>
    <s v="Gouri Priya"/>
    <s v="Pradeep P"/>
    <s v="Akshata Nayak Non IT"/>
    <s v="Mohammad Muneerah Anjum"/>
    <n v="1"/>
    <s v="C36240153"/>
    <x v="181"/>
    <n v="27667.5"/>
    <n v="7667.5"/>
    <s v="UHG UNET"/>
    <n v="6"/>
    <x v="1"/>
    <x v="1"/>
  </r>
  <r>
    <s v="Gouri Priya"/>
    <s v="Pradeep P"/>
    <s v="Akshata Nayak Non IT"/>
    <s v="Kommu Pavan Vikranth"/>
    <n v="1"/>
    <s v="C36240154"/>
    <x v="181"/>
    <n v="27667.5"/>
    <n v="7667.5"/>
    <s v="UHG UNET"/>
    <n v="6"/>
    <x v="1"/>
    <x v="1"/>
  </r>
  <r>
    <s v="Sai Vineeth"/>
    <s v="Pradeep P"/>
    <s v="Akshata Nayak Non IT"/>
    <s v="Kandukuri Vaishnavi "/>
    <n v="1"/>
    <s v="C36240205"/>
    <x v="181"/>
    <n v="27667.5"/>
    <n v="7667.5"/>
    <s v="UHG UNET"/>
    <n v="6"/>
    <x v="1"/>
    <x v="1"/>
  </r>
  <r>
    <s v="Sai Vineeth"/>
    <s v="Pradeep P"/>
    <s v="Akshata Nayak Non IT"/>
    <s v="Medam Meghana "/>
    <n v="1"/>
    <s v="C36240206"/>
    <x v="181"/>
    <n v="27667.5"/>
    <n v="7667.5"/>
    <s v="UHG UNET"/>
    <n v="6"/>
    <x v="1"/>
    <x v="1"/>
  </r>
  <r>
    <s v="Sai Vineeth"/>
    <s v="Pradeep P"/>
    <s v="Akshata Nayak Non IT"/>
    <s v="Dasi Swetha"/>
    <n v="1"/>
    <s v="C36240182"/>
    <x v="181"/>
    <n v="27667.5"/>
    <n v="7667.5"/>
    <s v="UHG UNET"/>
    <n v="6"/>
    <x v="1"/>
    <x v="1"/>
  </r>
  <r>
    <s v="Sai Vineeth"/>
    <s v="Pradeep P"/>
    <s v="Akshata Nayak Non IT"/>
    <s v="Vempati Pavan Kalyan "/>
    <n v="1"/>
    <s v="C36240208"/>
    <x v="181"/>
    <n v="27667.5"/>
    <n v="7667.5"/>
    <s v="UHG UNET"/>
    <n v="6"/>
    <x v="1"/>
    <x v="1"/>
  </r>
  <r>
    <s v="Gouri Priya"/>
    <s v="Pradeep P"/>
    <s v="Akshata Nayak Non IT"/>
    <s v="Rajesh Vippari "/>
    <n v="1"/>
    <s v="NULL"/>
    <x v="181"/>
    <n v="27667.5"/>
    <n v="7667.5"/>
    <s v="UHG UNET"/>
    <n v="5"/>
    <x v="1"/>
    <x v="1"/>
  </r>
  <r>
    <s v="Gouri Priya"/>
    <s v="Pradeep P"/>
    <s v="Akshata Nayak Non IT"/>
    <s v="Mohammed Younus"/>
    <n v="1"/>
    <s v="C36240155"/>
    <x v="181"/>
    <n v="27667.5"/>
    <n v="7667.5"/>
    <s v="UHG UNET"/>
    <n v="6"/>
    <x v="1"/>
    <x v="1"/>
  </r>
  <r>
    <s v="Laxmi M"/>
    <s v="Prathyusha Mangalampalli"/>
    <s v="Akshata Nayak Non IT"/>
    <s v="Valmik Deepak Devare"/>
    <n v="2"/>
    <s v="C36240141"/>
    <x v="226"/>
    <n v="22420"/>
    <n v="3420"/>
    <s v="Accenture_BPO"/>
    <n v="5"/>
    <x v="0"/>
    <x v="9"/>
  </r>
  <r>
    <s v="Sai Vineeth"/>
    <s v="Pradeep P"/>
    <s v="Akshata Nayak Non IT"/>
    <s v="Govardhan  Boddu"/>
    <n v="1"/>
    <s v="C36240183"/>
    <x v="181"/>
    <n v="27667.5"/>
    <n v="7667.5"/>
    <s v="UHG UNET"/>
    <n v="6"/>
    <x v="1"/>
    <x v="1"/>
  </r>
  <r>
    <s v="Mehraj N"/>
    <s v="Prathyusha Mangalampalli"/>
    <s v="Akshata Nayak Non IT"/>
    <s v="Rasuri Swathi "/>
    <n v="1"/>
    <s v="C36240157"/>
    <x v="181"/>
    <n v="27667.5"/>
    <n v="7667.5"/>
    <s v="UHG UNET"/>
    <n v="6"/>
    <x v="1"/>
    <x v="1"/>
  </r>
  <r>
    <s v="Sai Vineeth"/>
    <s v="Pradeep P"/>
    <s v="Akshata Nayak Non IT"/>
    <s v="Gangaraboina  Pravan Kumar"/>
    <n v="1"/>
    <s v="C36240166"/>
    <x v="181"/>
    <n v="27667.5"/>
    <n v="7667.5"/>
    <s v="UHG UNET"/>
    <n v="6"/>
    <x v="1"/>
    <x v="1"/>
  </r>
  <r>
    <s v="Deepthi C"/>
    <s v="Anitha C"/>
    <s v="Akshata Nayak Non IT"/>
    <s v="Tallapally Nandini"/>
    <n v="1"/>
    <s v="C36240215"/>
    <x v="181"/>
    <n v="27667.5"/>
    <n v="7667.5"/>
    <s v="UHG UNET"/>
    <n v="6"/>
    <x v="1"/>
    <x v="1"/>
  </r>
  <r>
    <s v="Pooja K"/>
    <s v="Prathyusha Mangalampalli"/>
    <s v="Akshata Nayak Non IT"/>
    <s v="Nakka Sravanthi "/>
    <n v="1"/>
    <s v="C36240192"/>
    <x v="181"/>
    <n v="27667.5"/>
    <n v="7667.5"/>
    <s v="UHG UNET"/>
    <n v="6"/>
    <x v="1"/>
    <x v="1"/>
  </r>
  <r>
    <s v="Sachin K"/>
    <s v="Prathyusha Mangalampalli"/>
    <s v="Akshata Nayak Non IT"/>
    <s v="Gajulavarthi Sunny"/>
    <n v="1"/>
    <s v="C36240167"/>
    <x v="181"/>
    <n v="27667.5"/>
    <n v="7667.5"/>
    <s v="UHG UNET"/>
    <n v="6"/>
    <x v="1"/>
    <x v="1"/>
  </r>
  <r>
    <s v="Laxmi M"/>
    <s v="Prathyusha Mangalampalli"/>
    <s v="Akshata Nayak Non IT"/>
    <s v="Pooja Jadhav"/>
    <n v="1"/>
    <s v="C36240168"/>
    <x v="181"/>
    <n v="27667.5"/>
    <n v="7667.5"/>
    <s v="UHG UNET"/>
    <n v="6"/>
    <x v="1"/>
    <x v="1"/>
  </r>
  <r>
    <s v="Pooja K"/>
    <s v="Prathyusha Mangalampalli"/>
    <s v="Akshata Nayak Non IT"/>
    <s v="Parsineni Venkata Bala Ranganayakulu "/>
    <n v="1"/>
    <s v="C36240214"/>
    <x v="181"/>
    <n v="27667.5"/>
    <n v="7667.5"/>
    <s v="UHG UNET"/>
    <n v="6"/>
    <x v="1"/>
    <x v="1"/>
  </r>
  <r>
    <s v="Lakheswari Ranjan"/>
    <s v="Sheetal B"/>
    <s v="Tamil Chelvan"/>
    <s v="Kota Nithesh Kumar Reddy "/>
    <n v="1"/>
    <s v="C36240146"/>
    <x v="225"/>
    <n v="119700"/>
    <n v="19700"/>
    <s v="Socgen"/>
    <n v="6"/>
    <x v="6"/>
    <x v="2"/>
  </r>
  <r>
    <s v="Sachin K"/>
    <s v="Prathyusha Mangalampalli"/>
    <s v="Akshata Nayak Non IT"/>
    <s v="Vanamoju Preethi"/>
    <n v="1"/>
    <s v="NULL"/>
    <x v="181"/>
    <n v="27667.5"/>
    <n v="7667.5"/>
    <s v="UHG UNET"/>
    <n v="5"/>
    <x v="1"/>
    <x v="1"/>
  </r>
  <r>
    <s v="Lakheswari Ranjan"/>
    <s v="Sheetal B"/>
    <s v="Tamil Chelvan"/>
    <s v="Aakash  Shandilya"/>
    <n v="4"/>
    <s v="O36240001"/>
    <x v="212"/>
    <n v="362068.97"/>
    <n v="37068.97"/>
    <s v="DXC"/>
    <n v="5"/>
    <x v="1"/>
    <x v="6"/>
  </r>
  <r>
    <s v="Javeed Khan"/>
    <s v="Prathyusha Mangalampalli"/>
    <s v="Akshata Nayak Non IT"/>
    <s v="Thota Manasa"/>
    <n v="1"/>
    <s v="C36240207"/>
    <x v="181"/>
    <n v="27667.5"/>
    <n v="7667.5"/>
    <s v="UHG UNET"/>
    <n v="6"/>
    <x v="1"/>
    <x v="1"/>
  </r>
  <r>
    <s v="Sachin K"/>
    <s v="Prathyusha Mangalampalli"/>
    <s v="Akshata Nayak Non IT"/>
    <s v="Rohan Tiwarekar"/>
    <n v="2"/>
    <s v="C36240129"/>
    <x v="224"/>
    <n v="64350"/>
    <n v="14850"/>
    <s v="Accenture-voice"/>
    <n v="5"/>
    <x v="0"/>
    <x v="9"/>
  </r>
  <r>
    <s v="Javeed Khan"/>
    <s v="Prathyusha Mangalampalli"/>
    <s v="Akshata Nayak Non IT"/>
    <s v="Tanvi Vikas Kamble"/>
    <n v="2"/>
    <s v="C36240194"/>
    <x v="222"/>
    <n v="22420"/>
    <n v="3420"/>
    <s v="Accenture_BPO"/>
    <n v="5"/>
    <x v="0"/>
    <x v="9"/>
  </r>
  <r>
    <s v="Narendra Kumar Debariki"/>
    <s v="Pradeep P"/>
    <s v="Akshata Nayak Non IT"/>
    <s v=" Shirisha Yara"/>
    <n v="1"/>
    <s v="NULL"/>
    <x v="181"/>
    <n v="27667.5"/>
    <n v="7667.5"/>
    <s v="UHG UNET"/>
    <n v="5"/>
    <x v="1"/>
    <x v="1"/>
  </r>
  <r>
    <s v="Narendra Kumar Debariki"/>
    <s v="Pradeep P"/>
    <s v="Akshata Nayak Non IT"/>
    <s v="Gulari  Uday Kiran Goud"/>
    <n v="1"/>
    <s v="C36240169"/>
    <x v="181"/>
    <n v="27667.5"/>
    <n v="7667.5"/>
    <s v="UHG UNET"/>
    <n v="6"/>
    <x v="1"/>
    <x v="1"/>
  </r>
  <r>
    <s v="Narendra Kumar Debariki"/>
    <s v="Pradeep P"/>
    <s v="Akshata Nayak Non IT"/>
    <s v="Tippanaboina  Unnathi"/>
    <n v="1"/>
    <s v="C36240170"/>
    <x v="181"/>
    <n v="27667.5"/>
    <n v="7667.5"/>
    <s v="UHG UNET"/>
    <n v="5"/>
    <x v="1"/>
    <x v="1"/>
  </r>
  <r>
    <s v="Narendra Kumar Debariki"/>
    <s v="Pradeep P"/>
    <s v="Akshata Nayak Non IT"/>
    <s v="Korichvrla Vaishnavi"/>
    <n v="1"/>
    <s v="NULL"/>
    <x v="181"/>
    <n v="27667.5"/>
    <n v="7667.5"/>
    <s v="UHG UNET"/>
    <n v="5"/>
    <x v="1"/>
    <x v="1"/>
  </r>
  <r>
    <s v="Narendra Kumar Debariki"/>
    <s v="Pradeep P"/>
    <s v="Akshata Nayak Non IT"/>
    <s v="VemiReddy Vinay Kumar Reddy "/>
    <n v="1"/>
    <s v="C36240171"/>
    <x v="181"/>
    <n v="27667.5"/>
    <n v="7667.5"/>
    <s v="UHG UNET"/>
    <n v="6"/>
    <x v="1"/>
    <x v="1"/>
  </r>
  <r>
    <s v="Narendra Kumar Debariki"/>
    <s v="Pradeep P"/>
    <s v="Akshata Nayak Non IT"/>
    <s v="Beleshanti Anchal  Prusty"/>
    <n v="1"/>
    <s v="C36240217"/>
    <x v="181"/>
    <n v="27667.5"/>
    <n v="7667.5"/>
    <s v="UHG UNET"/>
    <n v="5"/>
    <x v="1"/>
    <x v="1"/>
  </r>
  <r>
    <s v="Javeed Khan"/>
    <s v="Prathyusha Mangalampalli"/>
    <s v="Akshata Nayak Non IT"/>
    <s v="Valle Shobha Rani"/>
    <n v="1"/>
    <s v="C36240213"/>
    <x v="181"/>
    <n v="27667.5"/>
    <n v="7667.5"/>
    <s v="UHG UNET"/>
    <n v="6"/>
    <x v="1"/>
    <x v="1"/>
  </r>
  <r>
    <s v="Narendra Kumar Debariki"/>
    <s v="Pradeep P"/>
    <s v="Akshata Nayak Non IT"/>
    <s v="Gujarathi  Rishitha "/>
    <n v="1"/>
    <s v="C36240172"/>
    <x v="181"/>
    <n v="27667.5"/>
    <n v="7667.5"/>
    <s v="UHG UNET"/>
    <n v="6"/>
    <x v="1"/>
    <x v="1"/>
  </r>
  <r>
    <s v="Narendra Kumar Debariki"/>
    <s v="Pradeep P"/>
    <s v="Akshata Nayak Non IT"/>
    <s v="Jupally Kiran  Kumar"/>
    <n v="1"/>
    <s v="NULL"/>
    <x v="181"/>
    <n v="27667.5"/>
    <n v="7667.5"/>
    <s v="UHG UNET"/>
    <n v="6"/>
    <x v="1"/>
    <x v="1"/>
  </r>
  <r>
    <s v="Gouri Priya"/>
    <s v="Pradeep P"/>
    <s v="Akshata Nayak Non IT"/>
    <s v="A Prashanth Kumar"/>
    <n v="1"/>
    <s v="C36240299"/>
    <x v="69"/>
    <n v="45517"/>
    <n v="6350.33"/>
    <s v="UHG"/>
    <n v="6"/>
    <x v="0"/>
    <x v="1"/>
  </r>
  <r>
    <s v="Gouri Priya"/>
    <s v="Pradeep P"/>
    <s v="Akshata Nayak Non IT"/>
    <s v=" Nallamilli Divya"/>
    <n v="1"/>
    <s v="C36240156"/>
    <x v="222"/>
    <n v="45517"/>
    <n v="8017"/>
    <s v="UHG"/>
    <n v="5"/>
    <x v="0"/>
    <x v="1"/>
  </r>
  <r>
    <s v="Krishna Priya"/>
    <s v="Mehr Hashim D"/>
    <s v="Mehr Hashim"/>
    <s v="Balanagu S Krishna Chaitanya"/>
    <n v="4"/>
    <s v="O36240003"/>
    <x v="226"/>
    <n v="386400"/>
    <n v="53067"/>
    <s v="GE Healthcare Global Private Limited."/>
    <n v="6"/>
    <x v="5"/>
    <x v="10"/>
  </r>
  <r>
    <s v="Arpita Biswal"/>
    <s v="Anitha C"/>
    <s v="Akshata Nayak Non IT"/>
    <s v="P C Susheela  "/>
    <n v="1"/>
    <s v="C36240149"/>
    <x v="212"/>
    <n v="105000"/>
    <n v="17500"/>
    <s v="Amadeus Software"/>
    <n v="5"/>
    <x v="1"/>
    <x v="16"/>
  </r>
  <r>
    <s v="Krishna Priya"/>
    <s v="Mehr Hashim D"/>
    <s v="Mehr Hashim"/>
    <s v="Puttoju Vineeth"/>
    <n v="2"/>
    <s v="C36240117"/>
    <x v="181"/>
    <n v="105000"/>
    <n v="63334"/>
    <s v="Thomson Reuters"/>
    <n v="5"/>
    <x v="5"/>
    <x v="19"/>
  </r>
  <r>
    <s v="Vidya Bharthi"/>
    <s v="Fazila K"/>
    <s v="Prathap Sagar"/>
    <s v="Sridevi  "/>
    <n v="2"/>
    <s v="C36240193"/>
    <x v="227"/>
    <n v="157500"/>
    <n v="32500"/>
    <s v="Infosys"/>
    <n v="5"/>
    <x v="2"/>
    <x v="3"/>
  </r>
  <r>
    <s v="Javeed Khan"/>
    <s v="Prathyusha Mangalampalli"/>
    <s v="Akshata Nayak Non IT"/>
    <s v="Saurabh Premnarayan Pandey"/>
    <n v="2"/>
    <s v="C36240197"/>
    <x v="228"/>
    <n v="22420"/>
    <n v="3420"/>
    <s v="Accenture_BPO"/>
    <n v="5"/>
    <x v="0"/>
    <x v="9"/>
  </r>
  <r>
    <s v="Manjunath R"/>
    <s v="Mehr Hashim D"/>
    <s v="Mehr Hashim"/>
    <s v="KOTHAPALLI SURYANARAYANA "/>
    <n v="4"/>
    <s v="O36240004"/>
    <x v="226"/>
    <n v="164899.9"/>
    <n v="27399.9"/>
    <s v="Veritas"/>
    <n v="5"/>
    <x v="5"/>
    <x v="8"/>
  </r>
  <r>
    <s v="Bhargavi T R"/>
    <s v="Monisha RR"/>
    <s v="Akshata Nayak Non IT"/>
    <s v="Lokesh G"/>
    <n v="2"/>
    <s v="C36240179"/>
    <x v="229"/>
    <n v="65000"/>
    <n v="15000"/>
    <s v="Accenture-voice"/>
    <n v="5"/>
    <x v="0"/>
    <x v="9"/>
  </r>
  <r>
    <s v="Don Bosco"/>
    <s v="Suman S"/>
    <s v="Prathap Sagar"/>
    <s v="Sowmya S"/>
    <n v="2"/>
    <s v="C36240185"/>
    <x v="220"/>
    <n v="50400"/>
    <n v="12900"/>
    <s v="Koch Industries"/>
    <n v="5"/>
    <x v="2"/>
    <x v="2"/>
  </r>
  <r>
    <s v="Shivam Prasad"/>
    <s v="Sadhna Shukla"/>
    <s v="Shivam Prasad"/>
    <s v="Shubair Abbas"/>
    <n v="2"/>
    <s v="C36240148"/>
    <x v="225"/>
    <n v="132166.67000000001"/>
    <n v="23833.67"/>
    <s v="Alliance Data"/>
    <n v="5"/>
    <x v="5"/>
    <x v="8"/>
  </r>
  <r>
    <s v="Mehraj N"/>
    <s v="Prathyusha Mangalampalli"/>
    <s v="Akshata Nayak Non IT"/>
    <s v="Dinesh Rajesh Gandhi"/>
    <n v="2"/>
    <s v="C36240175"/>
    <x v="222"/>
    <n v="22420"/>
    <n v="3420"/>
    <s v="Accenture_BPO"/>
    <n v="5"/>
    <x v="0"/>
    <x v="9"/>
  </r>
  <r>
    <s v="Mehraj N"/>
    <s v="Prathyusha Mangalampalli"/>
    <s v="Akshata Nayak Non IT"/>
    <s v="Umesh Venkatesh Kulkarni "/>
    <n v="2"/>
    <s v="C36240176"/>
    <x v="222"/>
    <n v="22420"/>
    <n v="3420"/>
    <s v="Accenture_BPO"/>
    <n v="6"/>
    <x v="0"/>
    <x v="9"/>
  </r>
  <r>
    <s v="Mehraj N"/>
    <s v="Prathyusha Mangalampalli"/>
    <s v="Akshata Nayak Non IT"/>
    <s v="Manisha Angad Singh"/>
    <n v="2"/>
    <s v="C36240177"/>
    <x v="222"/>
    <n v="22420"/>
    <n v="3420"/>
    <s v="Accenture_BPO"/>
    <n v="5"/>
    <x v="0"/>
    <x v="9"/>
  </r>
  <r>
    <s v="Rohit M"/>
    <s v="Namitha Gowda"/>
    <s v="Prathap Sagar"/>
    <s v="Aparajita Das"/>
    <n v="4"/>
    <s v="O36240002"/>
    <x v="225"/>
    <n v="197064"/>
    <n v="54564"/>
    <s v="NetApp"/>
    <n v="6"/>
    <x v="5"/>
    <x v="17"/>
  </r>
  <r>
    <s v="Chetna Jain"/>
    <s v="Fazila K"/>
    <s v="Prathap Sagar"/>
    <s v="Sandu Ananda Kumar "/>
    <n v="2"/>
    <s v="C36240174"/>
    <x v="227"/>
    <n v="237300"/>
    <n v="28966.67"/>
    <s v="Infosys"/>
    <n v="5"/>
    <x v="2"/>
    <x v="3"/>
  </r>
  <r>
    <s v="Mamtha V"/>
    <s v="Fazila K"/>
    <s v="Prathap Sagar"/>
    <s v="Bhola Shanker Katariya"/>
    <n v="2"/>
    <s v="C36240236"/>
    <x v="219"/>
    <n v="256200"/>
    <n v="39533.33"/>
    <s v="Infosys"/>
    <n v="5"/>
    <x v="2"/>
    <x v="3"/>
  </r>
  <r>
    <s v="Lakheswari Ranjan"/>
    <s v="Sheetal B"/>
    <s v="Tamil Chelvan"/>
    <s v="Kirthi S"/>
    <n v="2"/>
    <s v="C36240308"/>
    <x v="69"/>
    <n v="140000"/>
    <n v="27500"/>
    <s v="Fluence Energy"/>
    <n v="5"/>
    <x v="1"/>
    <x v="12"/>
  </r>
  <r>
    <s v="Athriya Shet"/>
    <s v="Suman S"/>
    <s v="Prathap Sagar"/>
    <s v="Naveenakumar V "/>
    <n v="2"/>
    <s v="C36240230"/>
    <x v="230"/>
    <n v="115000"/>
    <n v="31666.67"/>
    <s v="Accenture_IDB"/>
    <n v="5"/>
    <x v="2"/>
    <x v="3"/>
  </r>
  <r>
    <s v="Arpita Biswal"/>
    <s v="Anitha C"/>
    <s v="Akshata Nayak Non IT"/>
    <s v="Manjunatha"/>
    <n v="1"/>
    <s v="C36240201"/>
    <x v="65"/>
    <n v="52500"/>
    <n v="5955"/>
    <s v="Soc gen Ops "/>
    <n v="5"/>
    <x v="4"/>
    <x v="2"/>
  </r>
  <r>
    <s v="Mouli Roy"/>
    <s v="Prathyusha Mangalampalli"/>
    <s v="Akshata Nayak Non IT"/>
    <s v="Arun Deepak  Ahuja"/>
    <n v="2"/>
    <s v="C36240198"/>
    <x v="228"/>
    <n v="22420"/>
    <n v="3420"/>
    <s v="Accenture_BPO"/>
    <n v="5"/>
    <x v="0"/>
    <x v="9"/>
  </r>
  <r>
    <s v="Lahari Likitha"/>
    <s v="Menaka Prasad"/>
    <s v="karan lalchandani"/>
    <s v="Patan Babajan "/>
    <n v="2"/>
    <s v="C36240265"/>
    <x v="120"/>
    <n v="124152"/>
    <n v="32486"/>
    <s v="IBM -Mercedes"/>
    <n v="5"/>
    <x v="1"/>
    <x v="7"/>
  </r>
  <r>
    <s v="Laxmi M"/>
    <s v="Prathyusha Mangalampalli"/>
    <s v="Akshata Nayak Non IT"/>
    <s v="Affan  Aslam Tahasildar"/>
    <n v="2"/>
    <s v="C36240178"/>
    <x v="222"/>
    <n v="22420"/>
    <n v="3420"/>
    <s v="Accenture_BPO"/>
    <n v="5"/>
    <x v="0"/>
    <x v="9"/>
  </r>
  <r>
    <s v="Gouri Priya"/>
    <s v="Pradeep P"/>
    <s v="Akshata Nayak Non IT"/>
    <s v="Durgam Nishanth Kumar "/>
    <n v="1"/>
    <s v="C36240300"/>
    <x v="69"/>
    <n v="45517"/>
    <n v="6350.33"/>
    <s v="UHG"/>
    <n v="6"/>
    <x v="0"/>
    <x v="1"/>
  </r>
  <r>
    <s v="Karthik C"/>
    <s v="Fazila K"/>
    <s v="Prathap Sagar"/>
    <s v="Vinayak Sripati Kharade"/>
    <n v="2"/>
    <s v="C36240266"/>
    <x v="120"/>
    <n v="157500"/>
    <n v="40833.33"/>
    <s v="Infosys"/>
    <n v="6"/>
    <x v="2"/>
    <x v="3"/>
  </r>
  <r>
    <s v="Prateek A"/>
    <s v="Mehr Hashim D"/>
    <s v="Mehr Hashim"/>
    <s v="Aditya Kumar"/>
    <n v="2"/>
    <s v="C36240164"/>
    <x v="222"/>
    <n v="386400"/>
    <n v="86400"/>
    <s v="GE Healthcare Global Private Limited."/>
    <n v="5"/>
    <x v="5"/>
    <x v="10"/>
  </r>
  <r>
    <s v="Debdutta  M"/>
    <s v="Mehr Hashim D"/>
    <s v="Mehr Hashim"/>
    <s v="Kanak Ranjan"/>
    <n v="2"/>
    <s v="C36240159"/>
    <x v="222"/>
    <n v="352800"/>
    <n v="102800"/>
    <s v="GE Healthcare Global Private Limited."/>
    <n v="6"/>
    <x v="5"/>
    <x v="10"/>
  </r>
  <r>
    <s v="Sandipta Panigrahi"/>
    <s v="Mehr Hashim D"/>
    <s v="Mehr Hashim"/>
    <s v="Pansara  Ankur Hitendrakumar"/>
    <n v="2"/>
    <s v="C36240165"/>
    <x v="222"/>
    <n v="294999.59999999998"/>
    <n v="44999.6"/>
    <s v="Pure Storage"/>
    <n v="5"/>
    <x v="5"/>
    <x v="10"/>
  </r>
  <r>
    <s v="Laxmi M"/>
    <s v="Prathyusha Mangalampalli"/>
    <s v="Akshata Nayak Non IT"/>
    <s v="Rohan Vijay Bharadkar"/>
    <n v="2"/>
    <s v="C36240307"/>
    <x v="231"/>
    <n v="22420"/>
    <n v="3420"/>
    <s v="Accenture_BPO"/>
    <n v="5"/>
    <x v="0"/>
    <x v="9"/>
  </r>
  <r>
    <s v="Mehraj N"/>
    <s v="Prathyusha Mangalampalli"/>
    <s v="Akshata Nayak Non IT"/>
    <s v="Gujjari Sidhartha"/>
    <n v="1"/>
    <s v="C36240184"/>
    <x v="181"/>
    <n v="27667.5"/>
    <n v="7667.5"/>
    <s v="UHG UNET"/>
    <n v="6"/>
    <x v="1"/>
    <x v="1"/>
  </r>
  <r>
    <s v="Sai Manish"/>
    <s v="Pradeep P"/>
    <s v="Akshata Nayak Non IT"/>
    <s v="Anem Mounika "/>
    <n v="1"/>
    <s v="C36240188"/>
    <x v="222"/>
    <n v="27667.5"/>
    <n v="7667.5"/>
    <s v="UHG UNET"/>
    <n v="6"/>
    <x v="1"/>
    <x v="1"/>
  </r>
  <r>
    <s v="Pinky Kumari"/>
    <s v="Mehr Hashim D"/>
    <s v="Mehr Hashim"/>
    <s v="Kumari  Alpana  Prasad"/>
    <n v="2"/>
    <s v="C36240160"/>
    <x v="222"/>
    <n v="225000"/>
    <n v="50000"/>
    <s v="SONY Software Development Centre"/>
    <n v="6"/>
    <x v="5"/>
    <x v="10"/>
  </r>
  <r>
    <s v="Gopinath S N"/>
    <s v="Mehr Hashim D"/>
    <s v="Mehr Hashim"/>
    <s v="Anand S L"/>
    <n v="4"/>
    <s v="O36240005"/>
    <x v="227"/>
    <n v="350000"/>
    <n v="100000"/>
    <s v="GE Healthcare Global Private Limited."/>
    <n v="5"/>
    <x v="5"/>
    <x v="10"/>
  </r>
  <r>
    <s v="Madhuri Ps"/>
    <s v="Menaka Prasad"/>
    <s v="karan lalchandani"/>
    <s v=" Pavan Kalyan Reddy Y "/>
    <n v="2"/>
    <s v="C36240225"/>
    <x v="95"/>
    <n v="67200"/>
    <n v="13034"/>
    <s v="Socgen"/>
    <n v="5"/>
    <x v="6"/>
    <x v="2"/>
  </r>
  <r>
    <s v="Gouri Priya"/>
    <s v="Pradeep P"/>
    <s v="Akshata Nayak Non IT"/>
    <s v="Maheshwaram Sushma"/>
    <n v="1"/>
    <s v="C36240301"/>
    <x v="69"/>
    <n v="45517"/>
    <n v="6350.33"/>
    <s v="UHG"/>
    <n v="6"/>
    <x v="0"/>
    <x v="1"/>
  </r>
  <r>
    <s v="Sandipta Panigrahi"/>
    <s v="Mehr Hashim D"/>
    <s v="Mehr Hashim"/>
    <s v="Chaitra Arjun"/>
    <n v="2"/>
    <s v="NULL"/>
    <x v="227"/>
    <n v="450000"/>
    <n v="116666.67"/>
    <s v="GE Healthcare Global Private Limited."/>
    <n v="6"/>
    <x v="5"/>
    <x v="10"/>
  </r>
  <r>
    <s v="Tamilarasan S"/>
    <s v="Mehr Hashim D"/>
    <s v="Mehr Hashim"/>
    <s v="Prakhar Makhija"/>
    <n v="2"/>
    <s v="NULL"/>
    <x v="227"/>
    <n v="378000"/>
    <n v="44666.67"/>
    <s v="GE Healthcare Global Private Limited."/>
    <n v="6"/>
    <x v="5"/>
    <x v="10"/>
  </r>
  <r>
    <s v="Niharika M K"/>
    <s v="Fazila K"/>
    <s v="Prathap Sagar"/>
    <s v="Paramjit  Singh"/>
    <n v="7"/>
    <s v="C36240211"/>
    <x v="65"/>
    <n v="140803.29999999999"/>
    <n v="6063.3"/>
    <s v="ZTE_payroll"/>
    <n v="5"/>
    <x v="2"/>
    <x v="3"/>
  </r>
  <r>
    <s v="Anuvisht Singh"/>
    <s v="Sunitha V"/>
    <s v="Akshata Nayak"/>
    <s v="Sandeep Kumar Singh "/>
    <n v="1"/>
    <s v="C36240263"/>
    <x v="219"/>
    <n v="67200"/>
    <n v="8867"/>
    <s v="Socgen"/>
    <n v="5"/>
    <x v="6"/>
    <x v="2"/>
  </r>
  <r>
    <s v="Krupa Rani"/>
    <s v="Manjunath R"/>
    <s v="Mehr Hashim"/>
    <s v="Syed  Aqib Rahaman"/>
    <n v="2"/>
    <s v="C36240195"/>
    <x v="231"/>
    <n v="48800"/>
    <n v="8800"/>
    <s v="Alliance Data"/>
    <n v="5"/>
    <x v="5"/>
    <x v="8"/>
  </r>
  <r>
    <s v="Sneha G"/>
    <s v="Manjunath R"/>
    <s v="Mehr Hashim"/>
    <s v="Asfiya  Farheen"/>
    <n v="2"/>
    <s v="C36240196"/>
    <x v="231"/>
    <n v="48800"/>
    <n v="8800"/>
    <s v="Alliance Data"/>
    <n v="5"/>
    <x v="5"/>
    <x v="8"/>
  </r>
  <r>
    <s v="Deepthi C"/>
    <s v="Anitha C"/>
    <s v="Akshata Nayak Non IT"/>
    <s v="Sane Divyasri"/>
    <n v="1"/>
    <s v="C36240220"/>
    <x v="231"/>
    <n v="39900"/>
    <n v="9900"/>
    <s v="Soc gen Ops "/>
    <n v="6"/>
    <x v="4"/>
    <x v="2"/>
  </r>
  <r>
    <s v="Mouli Roy"/>
    <s v="Prathyusha Mangalampalli"/>
    <s v="Akshata Nayak Non IT"/>
    <s v=" Vikas.G"/>
    <n v="2"/>
    <s v="C36240199"/>
    <x v="228"/>
    <n v="65000"/>
    <n v="15000"/>
    <s v="Accenture-voice"/>
    <n v="5"/>
    <x v="0"/>
    <x v="9"/>
  </r>
  <r>
    <s v="Sachin K"/>
    <s v="Prathyusha Mangalampalli"/>
    <s v="Akshata Nayak Non IT"/>
    <s v="Mohammed Irfan "/>
    <n v="2"/>
    <s v="C36240234"/>
    <x v="228"/>
    <n v="65000"/>
    <n v="15000"/>
    <s v="Accenture-voice"/>
    <n v="6"/>
    <x v="0"/>
    <x v="9"/>
  </r>
  <r>
    <s v="Pooja Abbigeri"/>
    <s v="Sushma Hegde"/>
    <s v="Pooja Abbigeri"/>
    <s v="Ravi Joglekar"/>
    <n v="1"/>
    <s v="C36240210"/>
    <x v="231"/>
    <n v="267456"/>
    <n v="117456"/>
    <s v="Deloitte_Support "/>
    <n v="6"/>
    <x v="1"/>
    <x v="15"/>
  </r>
  <r>
    <s v="Sindhu S R"/>
    <s v="Prathyusha Mangalampalli"/>
    <s v="Akshata Nayak Non IT"/>
    <s v="Jyothsna S"/>
    <n v="2"/>
    <s v="C36240250"/>
    <x v="95"/>
    <n v="65000"/>
    <n v="15000"/>
    <s v="Accenture-voice"/>
    <n v="5"/>
    <x v="0"/>
    <x v="9"/>
  </r>
  <r>
    <s v="Deepthi C"/>
    <s v="Anitha C"/>
    <s v="Akshata Nayak Non IT"/>
    <s v="Anushka Kumari"/>
    <n v="1"/>
    <s v="C36240228"/>
    <x v="95"/>
    <n v="39900"/>
    <n v="8234"/>
    <s v="Soc gen Ops "/>
    <n v="5"/>
    <x v="4"/>
    <x v="2"/>
  </r>
  <r>
    <s v="Sindhu S R"/>
    <s v="Prathyusha Mangalampalli"/>
    <s v="Akshata Nayak Non IT"/>
    <s v="Bushra Sayyum Ansari"/>
    <n v="2"/>
    <s v="C36240222"/>
    <x v="217"/>
    <n v="22420"/>
    <n v="3420"/>
    <s v="Accenture_BPO"/>
    <n v="6"/>
    <x v="0"/>
    <x v="9"/>
  </r>
  <r>
    <s v="Pooja K"/>
    <s v="Prathyusha Mangalampalli"/>
    <s v="Akshata Nayak Non IT"/>
    <s v="Ganesh Ramesh Autade"/>
    <n v="2"/>
    <s v="C36240224"/>
    <x v="231"/>
    <n v="22420"/>
    <n v="3420"/>
    <s v="Accenture_BPO"/>
    <n v="5"/>
    <x v="0"/>
    <x v="9"/>
  </r>
  <r>
    <s v="Pooja K"/>
    <s v="Prathyusha Mangalampalli"/>
    <s v="Akshata Nayak Non IT"/>
    <s v="Vedant Prakash Mali"/>
    <n v="2"/>
    <s v="C36240221"/>
    <x v="217"/>
    <n v="22420"/>
    <n v="3420"/>
    <s v="Accenture_BPO"/>
    <n v="5"/>
    <x v="0"/>
    <x v="9"/>
  </r>
  <r>
    <s v="Bhargavi T R"/>
    <s v="Monisha RR"/>
    <s v="Akshata Nayak Non IT"/>
    <s v="Deepthi V"/>
    <n v="6"/>
    <s v="C36240251"/>
    <x v="231"/>
    <n v="25500"/>
    <n v="4250"/>
    <s v="HP"/>
    <n v="5"/>
    <x v="0"/>
    <x v="0"/>
  </r>
  <r>
    <s v="Sindhu S R"/>
    <s v="Prathyusha Mangalampalli"/>
    <s v="Akshata Nayak Non IT"/>
    <s v="Kavita Shekar Naik"/>
    <n v="2"/>
    <s v="C36240223"/>
    <x v="217"/>
    <n v="22847"/>
    <n v="3485"/>
    <s v="Accenture_BPO"/>
    <n v="6"/>
    <x v="0"/>
    <x v="9"/>
  </r>
  <r>
    <s v="Sachin K"/>
    <s v="Prathyusha Mangalampalli"/>
    <s v="Akshata Nayak Non IT"/>
    <s v="Kimaya Vilas Hajare"/>
    <n v="2"/>
    <s v="C36240233"/>
    <x v="231"/>
    <n v="22847"/>
    <n v="3485"/>
    <s v="Accenture_BPO"/>
    <n v="5"/>
    <x v="0"/>
    <x v="9"/>
  </r>
  <r>
    <s v="Sindhu S R"/>
    <s v="Prathyusha Mangalampalli"/>
    <s v="Akshata Nayak Non IT"/>
    <s v="Shriti Prakash Kotian"/>
    <n v="2"/>
    <s v="C36240247"/>
    <x v="217"/>
    <n v="22847"/>
    <n v="3485"/>
    <s v="Accenture_BPO"/>
    <n v="5"/>
    <x v="0"/>
    <x v="9"/>
  </r>
  <r>
    <s v="Maheshwari K S"/>
    <s v="Monisha RR"/>
    <s v="Akshata Nayak Non IT"/>
    <s v="Gautam Prakash Jadhav"/>
    <n v="2"/>
    <s v="C36240344"/>
    <x v="217"/>
    <n v="65000"/>
    <n v="15000"/>
    <s v="Accenture-voice"/>
    <n v="5"/>
    <x v="0"/>
    <x v="9"/>
  </r>
  <r>
    <s v="Sindhu S R"/>
    <s v="Prathyusha Mangalampalli"/>
    <s v="Akshata Nayak Non IT"/>
    <s v="Bajaga Gitanjali Bajirao "/>
    <n v="2"/>
    <s v="C36240245"/>
    <x v="232"/>
    <n v="22847"/>
    <n v="3485"/>
    <s v="Accenture_BPO"/>
    <n v="5"/>
    <x v="0"/>
    <x v="9"/>
  </r>
  <r>
    <s v="Bindushree R"/>
    <s v="Prathyusha Mangalampalli"/>
    <s v="Akshata Nayak Non IT"/>
    <s v="T K Harshitha "/>
    <n v="2"/>
    <s v="C36240252"/>
    <x v="231"/>
    <n v="24898"/>
    <n v="3798"/>
    <s v="Accenture_BPO"/>
    <n v="5"/>
    <x v="0"/>
    <x v="9"/>
  </r>
  <r>
    <s v="Priya b"/>
    <s v="Prathyusha Mangalampalli"/>
    <s v="Akshata Nayak Non IT"/>
    <s v="A Alan Terence"/>
    <n v="2"/>
    <s v="C36240216"/>
    <x v="231"/>
    <n v="45750"/>
    <n v="8250"/>
    <s v="Alliance Data"/>
    <n v="5"/>
    <x v="5"/>
    <x v="8"/>
  </r>
  <r>
    <s v="Karthik V"/>
    <s v="Fazila K"/>
    <s v="Prathap Sagar"/>
    <s v=" Anand  Kumar"/>
    <n v="2"/>
    <s v="C36240267"/>
    <x v="120"/>
    <n v="220500"/>
    <n v="12166.67"/>
    <s v="Infosys"/>
    <n v="6"/>
    <x v="2"/>
    <x v="3"/>
  </r>
  <r>
    <s v="Deekshith MS"/>
    <s v="Poornachandra V"/>
    <s v="Akshata Nayak"/>
    <s v="Rangisetti Anitha"/>
    <n v="1"/>
    <s v="C36240226"/>
    <x v="217"/>
    <n v="250740"/>
    <n v="142407"/>
    <s v="Deloitte - Advisory"/>
    <n v="5"/>
    <x v="1"/>
    <x v="15"/>
  </r>
  <r>
    <s v="Tamilarasan S"/>
    <s v="Mehr Hashim D"/>
    <s v="Mehr Hashim"/>
    <s v="P Catherine "/>
    <n v="2"/>
    <s v="C36240118"/>
    <x v="181"/>
    <n v="105000"/>
    <n v="71667"/>
    <s v="Thomson Reuters"/>
    <n v="5"/>
    <x v="5"/>
    <x v="19"/>
  </r>
  <r>
    <s v="Sumanth K"/>
    <s v="Fazila K"/>
    <s v="Prathap Sagar"/>
    <s v=" Sevak Saurabhkumar Ketankumar"/>
    <n v="2"/>
    <s v="C36240237"/>
    <x v="219"/>
    <n v="220500"/>
    <n v="53833.33"/>
    <s v="Infosys"/>
    <n v="6"/>
    <x v="2"/>
    <x v="3"/>
  </r>
  <r>
    <s v="Madhumita Sinha"/>
    <s v="Santhosh G"/>
    <s v="karan lalchandani"/>
    <s v="Mohit Kumar"/>
    <n v="2"/>
    <s v="NULL"/>
    <x v="230"/>
    <n v="156492"/>
    <n v="89825.33"/>
    <s v="Mercedes benz"/>
    <n v="6"/>
    <x v="6"/>
    <x v="14"/>
  </r>
  <r>
    <s v="Anil Kumar M"/>
    <s v="Monisha RR"/>
    <s v="Akshata Nayak Non IT"/>
    <s v="Deena Johnson"/>
    <n v="2"/>
    <s v="C36240289"/>
    <x v="232"/>
    <n v="65000"/>
    <n v="15000"/>
    <s v="Accenture-voice"/>
    <n v="5"/>
    <x v="0"/>
    <x v="9"/>
  </r>
  <r>
    <s v="Sneha G"/>
    <s v="Manjunath R"/>
    <s v="Mehr Hashim"/>
    <s v="Nuthakki Upeksha  "/>
    <n v="2"/>
    <s v="C36240119"/>
    <x v="181"/>
    <n v="70000"/>
    <n v="36667"/>
    <s v="Thomson Reuters"/>
    <n v="5"/>
    <x v="5"/>
    <x v="19"/>
  </r>
  <r>
    <s v="Mouli Roy"/>
    <s v="Prathyusha Mangalampalli"/>
    <s v="Akshata Nayak Non IT"/>
    <s v="Lavanya Shekhar Kamble"/>
    <n v="2"/>
    <s v="C36240242"/>
    <x v="219"/>
    <n v="22420"/>
    <n v="3420"/>
    <s v="Accenture_BPO"/>
    <n v="5"/>
    <x v="0"/>
    <x v="9"/>
  </r>
  <r>
    <s v="Ram Praveen B"/>
    <s v="Fazila K"/>
    <s v="Prathap Sagar"/>
    <s v="B Naga Sai Sindhura"/>
    <n v="2"/>
    <s v="C36240371"/>
    <x v="233"/>
    <n v="220500"/>
    <n v="20500"/>
    <s v="Infosys"/>
    <n v="5"/>
    <x v="2"/>
    <x v="3"/>
  </r>
  <r>
    <s v="Gouri Priya"/>
    <s v="Pradeep P"/>
    <s v="Akshata Nayak Non IT"/>
    <s v="V Kousalya"/>
    <n v="1"/>
    <s v="C36240268"/>
    <x v="234"/>
    <n v="45517"/>
    <n v="6350.33"/>
    <s v="UHG"/>
    <n v="5"/>
    <x v="0"/>
    <x v="1"/>
  </r>
  <r>
    <s v="Mehraj N"/>
    <s v="Prathyusha Mangalampalli"/>
    <s v="Akshata Nayak Non IT"/>
    <s v="Vibinraj Stephen "/>
    <n v="2"/>
    <s v="C36240231"/>
    <x v="230"/>
    <n v="64900"/>
    <n v="9900"/>
    <s v="Accenture_BPO"/>
    <n v="5"/>
    <x v="0"/>
    <x v="9"/>
  </r>
  <r>
    <s v="Kavya c"/>
    <s v="Manjunath R"/>
    <s v="Mehr Hashim"/>
    <s v="Syed Nemath Ullah"/>
    <n v="2"/>
    <s v="C36240120"/>
    <x v="181"/>
    <n v="105000"/>
    <n v="70000"/>
    <s v="Thomson Reuters"/>
    <n v="5"/>
    <x v="5"/>
    <x v="19"/>
  </r>
  <r>
    <s v="Lalbee Kuppaganti"/>
    <s v="Manjunath R"/>
    <s v="Mehr Hashim"/>
    <s v="Sandeep. M. "/>
    <n v="2"/>
    <s v="C36240243"/>
    <x v="219"/>
    <n v="50833.33"/>
    <n v="8333.33"/>
    <s v="Alliance Data"/>
    <n v="6"/>
    <x v="5"/>
    <x v="8"/>
  </r>
  <r>
    <s v="Sharath CM"/>
    <s v="Santhosh G"/>
    <s v="karan lalchandani"/>
    <s v="Vannala Veena"/>
    <n v="2"/>
    <s v="C36240279"/>
    <x v="120"/>
    <n v="156492"/>
    <n v="31492"/>
    <s v="Mercedes benz"/>
    <n v="6"/>
    <x v="6"/>
    <x v="14"/>
  </r>
  <r>
    <s v="Sharath CM"/>
    <s v="Santhosh G"/>
    <s v="karan lalchandani"/>
    <s v="Bhandari Archana"/>
    <n v="2"/>
    <s v="C36240280"/>
    <x v="120"/>
    <n v="156492"/>
    <n v="73159"/>
    <s v="Mercedes benz"/>
    <n v="5"/>
    <x v="6"/>
    <x v="14"/>
  </r>
  <r>
    <s v="Vinith M"/>
    <s v="Tamil C"/>
    <s v="Akshata Nayak"/>
    <s v="Makineni Krishna Murthy"/>
    <n v="4"/>
    <s v="O36240008"/>
    <x v="120"/>
    <n v="342364.53"/>
    <n v="175698.53"/>
    <s v="DXC"/>
    <n v="5"/>
    <x v="1"/>
    <x v="6"/>
  </r>
  <r>
    <s v="Bindushree R"/>
    <s v="Prathyusha Mangalampalli"/>
    <s v="Akshata Nayak Non IT"/>
    <s v="Gujarathi Pavani"/>
    <n v="2"/>
    <s v="C36240227"/>
    <x v="95"/>
    <n v="143960"/>
    <n v="21960"/>
    <s v="Accenture_BPO"/>
    <n v="5"/>
    <x v="0"/>
    <x v="9"/>
  </r>
  <r>
    <s v="Gopal V"/>
    <s v="Tamil C"/>
    <s v="Akshata Nayak"/>
    <s v="Anish Kumar Jha "/>
    <n v="2"/>
    <s v="C36240257"/>
    <x v="219"/>
    <n v="138542"/>
    <n v="71876"/>
    <s v="Fluence Energy"/>
    <n v="5"/>
    <x v="1"/>
    <x v="12"/>
  </r>
  <r>
    <s v="Sindhu S R"/>
    <s v="Prathyusha Mangalampalli"/>
    <s v="Akshata Nayak Non IT"/>
    <s v="Akshata Deepak Bhesal"/>
    <n v="2"/>
    <s v="C36240274"/>
    <x v="219"/>
    <n v="22420"/>
    <n v="3420"/>
    <s v="Accenture_BPO"/>
    <n v="5"/>
    <x v="0"/>
    <x v="9"/>
  </r>
  <r>
    <s v="Javeed Khan"/>
    <s v="Prathyusha Mangalampalli"/>
    <s v="Akshata Nayak Non IT"/>
    <s v="Kunal Machhindra Gaikwad"/>
    <n v="2"/>
    <s v="C36240259"/>
    <x v="221"/>
    <n v="22420"/>
    <n v="3420"/>
    <s v="Accenture_BPO"/>
    <n v="5"/>
    <x v="0"/>
    <x v="9"/>
  </r>
  <r>
    <s v="Bindushree R"/>
    <s v="Prathyusha Mangalampalli"/>
    <s v="Akshata Nayak Non IT"/>
    <s v="Pooja Nandlal Bhardwaj"/>
    <n v="2"/>
    <s v="C36240249"/>
    <x v="219"/>
    <n v="22420"/>
    <n v="3420"/>
    <s v="Accenture_BPO"/>
    <n v="5"/>
    <x v="0"/>
    <x v="9"/>
  </r>
  <r>
    <s v="Mehraj N"/>
    <s v="Prathyusha Mangalampalli"/>
    <s v="Akshata Nayak Non IT"/>
    <s v="Roshini R Jain I"/>
    <n v="2"/>
    <s v="C36240244"/>
    <x v="219"/>
    <n v="22420"/>
    <n v="3420"/>
    <s v="Accenture_BPO"/>
    <n v="5"/>
    <x v="0"/>
    <x v="9"/>
  </r>
  <r>
    <s v="Shubha K"/>
    <s v="Manjunath R"/>
    <s v="Mehr Hashim"/>
    <s v="Kavya Shri H M"/>
    <n v="2"/>
    <s v="C36240238"/>
    <x v="219"/>
    <n v="50833.33"/>
    <n v="9167.33"/>
    <s v="Alliance Data"/>
    <n v="5"/>
    <x v="5"/>
    <x v="8"/>
  </r>
  <r>
    <s v="Divya Prabhakar"/>
    <s v="Santhosh G"/>
    <s v="karan lalchandani"/>
    <s v="Srikanta  Gope "/>
    <n v="1"/>
    <s v="C36240248"/>
    <x v="219"/>
    <n v="384468"/>
    <n v="67802"/>
    <s v="Deloitte_Support "/>
    <n v="6"/>
    <x v="1"/>
    <x v="15"/>
  </r>
  <r>
    <s v="Priya b"/>
    <s v="Prathyusha Mangalampalli"/>
    <s v="Akshata Nayak Non IT"/>
    <s v="Sarvesh  Rajendra Kamble"/>
    <n v="2"/>
    <s v="C36240312"/>
    <x v="118"/>
    <n v="29500"/>
    <n v="4500"/>
    <s v="Accenture_BPO"/>
    <n v="5"/>
    <x v="0"/>
    <x v="9"/>
  </r>
  <r>
    <s v="Lokesh Reddy"/>
    <s v="Mehr Hashim D"/>
    <s v="Mehr Hashim"/>
    <s v="Pooja Rani"/>
    <n v="2"/>
    <s v="C36240254"/>
    <x v="189"/>
    <n v="242781"/>
    <n v="84448"/>
    <s v="NetApp"/>
    <n v="5"/>
    <x v="5"/>
    <x v="17"/>
  </r>
  <r>
    <s v="Krupa Rani"/>
    <s v="Manjunath R"/>
    <s v="Mehr Hashim"/>
    <s v="Jeffin Thambi Raj"/>
    <n v="2"/>
    <s v="C36240239"/>
    <x v="219"/>
    <n v="48800"/>
    <n v="8800"/>
    <s v="Alliance Data"/>
    <n v="5"/>
    <x v="5"/>
    <x v="8"/>
  </r>
  <r>
    <s v="Krupa Rani"/>
    <s v="Manjunath R"/>
    <s v="Mehr Hashim"/>
    <s v="Mario  Chow "/>
    <n v="2"/>
    <s v="C36240240"/>
    <x v="219"/>
    <n v="48800"/>
    <n v="8800"/>
    <s v="Alliance Data"/>
    <n v="5"/>
    <x v="5"/>
    <x v="8"/>
  </r>
  <r>
    <s v="Krupa Rani"/>
    <s v="Manjunath R"/>
    <s v="Mehr Hashim"/>
    <s v="Prashanth  Peter"/>
    <n v="2"/>
    <s v="C36240241"/>
    <x v="219"/>
    <n v="50833.33"/>
    <n v="9167.33"/>
    <s v="Alliance Data"/>
    <n v="5"/>
    <x v="5"/>
    <x v="8"/>
  </r>
  <r>
    <s v="Mouli Roy"/>
    <s v="Prathyusha Mangalampalli"/>
    <s v="Akshata Nayak Non IT"/>
    <s v="C S Subin "/>
    <n v="2"/>
    <s v="C36240260"/>
    <x v="235"/>
    <n v="65000"/>
    <n v="15000"/>
    <s v="Accenture-voice"/>
    <n v="5"/>
    <x v="0"/>
    <x v="9"/>
  </r>
  <r>
    <s v="Gouri Priya"/>
    <s v="Pradeep P"/>
    <s v="Akshata Nayak Non IT"/>
    <s v="G Sai Chaitanya"/>
    <n v="1"/>
    <s v="C36240374"/>
    <x v="236"/>
    <n v="45517"/>
    <n v="6350.33"/>
    <s v="UHG"/>
    <n v="5"/>
    <x v="0"/>
    <x v="1"/>
  </r>
  <r>
    <s v="Pooja Abbigeri"/>
    <s v="Sushma Hegde"/>
    <s v="Tamil Chelvan"/>
    <s v="Sameer Ranjan Dash "/>
    <n v="1"/>
    <s v="C36240382"/>
    <x v="237"/>
    <n v="376110"/>
    <n v="59443.33"/>
    <s v="Deloitte_Support "/>
    <n v="5"/>
    <x v="1"/>
    <x v="15"/>
  </r>
  <r>
    <s v="Chetna Jain"/>
    <s v="Fazila K"/>
    <s v="Prathap Sagar"/>
    <s v="Syed Zafar Hasan Rizvi "/>
    <n v="7"/>
    <s v="C36240281"/>
    <x v="189"/>
    <n v="71363"/>
    <n v="3073"/>
    <s v="ZTE_payroll"/>
    <n v="5"/>
    <x v="2"/>
    <x v="3"/>
  </r>
  <r>
    <s v="Mehraj N"/>
    <s v="Prathyusha Mangalampalli"/>
    <s v="Akshata Nayak Non IT"/>
    <s v="Manoj Babu Oddar"/>
    <n v="2"/>
    <s v="C36240256"/>
    <x v="189"/>
    <n v="22420"/>
    <n v="3420"/>
    <s v="Accenture_BPO"/>
    <n v="5"/>
    <x v="0"/>
    <x v="9"/>
  </r>
  <r>
    <s v="Sneha G"/>
    <s v="Manjunath R"/>
    <s v="Mehr Hashim"/>
    <s v="Gajjala Gopi"/>
    <n v="1"/>
    <s v="C36240121"/>
    <x v="181"/>
    <n v="105000"/>
    <n v="63334"/>
    <s v="Thomson Reuters"/>
    <n v="5"/>
    <x v="5"/>
    <x v="19"/>
  </r>
  <r>
    <s v="Bhargavi T R"/>
    <s v="Monisha RR"/>
    <s v="Akshata Nayak Non IT"/>
    <s v="Surapaneni Saibharath  "/>
    <n v="2"/>
    <s v="C36240297"/>
    <x v="120"/>
    <n v="45517"/>
    <n v="6350.33"/>
    <s v="UHG"/>
    <n v="5"/>
    <x v="0"/>
    <x v="1"/>
  </r>
  <r>
    <s v="Pooja K"/>
    <s v="Prathyusha Mangalampalli"/>
    <s v="Akshata Nayak Non IT"/>
    <s v="Asma Abdulla Sakharkar"/>
    <n v="2"/>
    <s v="C36240261"/>
    <x v="221"/>
    <n v="32500"/>
    <n v="7500"/>
    <s v="Accenture_BPO"/>
    <n v="6"/>
    <x v="0"/>
    <x v="9"/>
  </r>
  <r>
    <s v="Sindhu S R"/>
    <s v="Prathyusha Mangalampalli"/>
    <s v="Akshata Nayak Non IT"/>
    <s v="Anjali khandelwal"/>
    <n v="2"/>
    <s v="C36240270"/>
    <x v="238"/>
    <n v="143960"/>
    <n v="21960"/>
    <s v="Accenture_BPO"/>
    <n v="5"/>
    <x v="0"/>
    <x v="9"/>
  </r>
  <r>
    <s v="Pavana M"/>
    <s v="Prathyusha Mangalampalli"/>
    <s v="Akshata Nayak Non IT"/>
    <s v="Stalin S"/>
    <n v="2"/>
    <s v="C36240288"/>
    <x v="238"/>
    <n v="65000"/>
    <n v="15000"/>
    <s v="Accenture-voice"/>
    <n v="5"/>
    <x v="0"/>
    <x v="9"/>
  </r>
  <r>
    <s v="Prateek A"/>
    <s v="Mehr Hashim D"/>
    <s v="Mehr Hashim"/>
    <s v="Abhishek Pattanashetti"/>
    <n v="2"/>
    <s v="C36240262"/>
    <x v="221"/>
    <n v="200000"/>
    <n v="75000"/>
    <s v="SONY Software Development Centre"/>
    <n v="5"/>
    <x v="5"/>
    <x v="10"/>
  </r>
  <r>
    <s v="Prateek A"/>
    <s v="Mehr Hashim D"/>
    <s v="Mehr Hashim"/>
    <s v="Mamta Kailas Dahiwal"/>
    <n v="4"/>
    <s v="O36240007"/>
    <x v="120"/>
    <n v="285600"/>
    <n v="102267"/>
    <s v="GE Healthcare Global Private Limited."/>
    <n v="6"/>
    <x v="5"/>
    <x v="10"/>
  </r>
  <r>
    <s v="Vinay Kumar"/>
    <s v="Shashank Gowda"/>
    <s v="Prathap Sagar"/>
    <s v="Thirukkovalluru  Ajith "/>
    <n v="2"/>
    <s v="C36240276"/>
    <x v="120"/>
    <n v="157500"/>
    <n v="28333.33"/>
    <s v="Infosys 3"/>
    <n v="5"/>
    <x v="2"/>
    <x v="23"/>
  </r>
  <r>
    <s v="Sandipta Panigrahi"/>
    <s v="Mehr Hashim D"/>
    <s v="Mehr Hashim"/>
    <s v="Palchuri Vamsee Krishna "/>
    <n v="4"/>
    <s v="O36240010"/>
    <x v="189"/>
    <n v="373500"/>
    <n v="90166.67"/>
    <s v="Google"/>
    <n v="5"/>
    <x v="5"/>
    <x v="10"/>
  </r>
  <r>
    <s v="Uma Sree"/>
    <s v="Mehr Hashim D"/>
    <s v="Mehr Hashim"/>
    <s v="Patel Kamlesh Ramesh Bhai"/>
    <n v="2"/>
    <s v="C36240271"/>
    <x v="238"/>
    <n v="436000"/>
    <n v="102667"/>
    <s v="GE Healthcare Global Private Limited."/>
    <n v="6"/>
    <x v="5"/>
    <x v="10"/>
  </r>
  <r>
    <s v="Sneha G"/>
    <s v="Manjunath R"/>
    <s v="Mehr Hashim"/>
    <s v="Aakash Gopal Sawant"/>
    <n v="2"/>
    <s v="C36240272"/>
    <x v="238"/>
    <n v="124159.86"/>
    <n v="7493.86"/>
    <s v="Veritas"/>
    <n v="5"/>
    <x v="5"/>
    <x v="8"/>
  </r>
  <r>
    <s v="Chaitra Hu"/>
    <s v="Vamsi S"/>
    <s v="Mohanish Pillai"/>
    <s v="Thivagar T"/>
    <n v="2"/>
    <s v="C36240337"/>
    <x v="239"/>
    <n v="124950"/>
    <n v="33283.33"/>
    <s v="Infosys"/>
    <n v="5"/>
    <x v="2"/>
    <x v="3"/>
  </r>
  <r>
    <s v="Gopinath S N"/>
    <s v="Mehr Hashim D"/>
    <s v="Mehr Hashim"/>
    <s v="Swagata Chowdhury"/>
    <n v="2"/>
    <s v="C36240273"/>
    <x v="238"/>
    <n v="386400"/>
    <n v="136400"/>
    <s v="GE Healthcare Global Private Limited."/>
    <n v="5"/>
    <x v="5"/>
    <x v="10"/>
  </r>
  <r>
    <s v="Lokesh Reddy"/>
    <s v="Mehr Hashim D"/>
    <s v="Mehr Hashim"/>
    <s v="Shatabdi Mohanty_x0009_"/>
    <n v="2"/>
    <s v="C36240305"/>
    <x v="120"/>
    <n v="147416.67000000001"/>
    <n v="26583.67"/>
    <s v="Alliance Data"/>
    <n v="5"/>
    <x v="5"/>
    <x v="8"/>
  </r>
  <r>
    <s v="Tharakaram Seetharaman"/>
    <s v="Santhosh G"/>
    <s v="karan lalchandani"/>
    <s v="Lomada Vishnu Priya"/>
    <n v="2"/>
    <s v="C36240407"/>
    <x v="240"/>
    <n v="150099.6"/>
    <n v="79266.27"/>
    <s v="Mercedes benz"/>
    <n v="5"/>
    <x v="6"/>
    <x v="14"/>
  </r>
  <r>
    <s v="Priya b"/>
    <s v="Prathyusha Mangalampalli"/>
    <s v="Akshata Nayak Non IT"/>
    <s v="Vidhya V"/>
    <n v="2"/>
    <s v="C36240277"/>
    <x v="118"/>
    <n v="17700"/>
    <n v="2700"/>
    <s v="Accenture_BPO"/>
    <n v="5"/>
    <x v="0"/>
    <x v="9"/>
  </r>
  <r>
    <s v="Nagarjuna Punati"/>
    <s v="Tamil C"/>
    <s v="Akshata Nayak"/>
    <s v="Chintalapalli  Madhusudhan Reddy"/>
    <n v="1"/>
    <s v="C36240345"/>
    <x v="173"/>
    <n v="302400"/>
    <n v="144066.67000000001"/>
    <s v="Deloitte_Consulting"/>
    <n v="6"/>
    <x v="1"/>
    <x v="16"/>
  </r>
  <r>
    <s v="Priya b"/>
    <s v="Prathyusha Mangalampalli"/>
    <s v="Akshata Nayak Non IT"/>
    <s v="Gudupu Vyshnavi "/>
    <n v="2"/>
    <s v="C36240293"/>
    <x v="96"/>
    <n v="132750"/>
    <n v="20250"/>
    <s v="Accenture_BPO"/>
    <n v="5"/>
    <x v="0"/>
    <x v="9"/>
  </r>
  <r>
    <s v="Barkha Gidwani"/>
    <s v="Sunitha V"/>
    <s v="Akshata Nayak"/>
    <s v="NELATURI RANJEETH KUMAR"/>
    <n v="1"/>
    <s v="C36240365"/>
    <x v="173"/>
    <n v="227337.60000000001"/>
    <n v="102337.60000000001"/>
    <s v="Deloitte_Consulting"/>
    <n v="5"/>
    <x v="1"/>
    <x v="16"/>
  </r>
  <r>
    <s v="Uma Sree"/>
    <s v="Mehr Hashim D"/>
    <s v="Mehr Hashim"/>
    <s v="Amir Kumar Modak"/>
    <n v="2"/>
    <s v="C36240278"/>
    <x v="234"/>
    <n v="336000"/>
    <n v="102667"/>
    <s v="GE Healthcare Global Private Limited."/>
    <n v="6"/>
    <x v="5"/>
    <x v="10"/>
  </r>
  <r>
    <s v="Mehraj N"/>
    <s v="Prathyusha Mangalampalli"/>
    <s v="Akshata Nayak Non IT"/>
    <s v=" Kumkar Gauri Namdev"/>
    <n v="2"/>
    <s v="C36240309"/>
    <x v="69"/>
    <n v="23600"/>
    <n v="3600"/>
    <s v="Accenture_BPO"/>
    <n v="5"/>
    <x v="0"/>
    <x v="9"/>
  </r>
  <r>
    <s v="Mehraj N"/>
    <s v="Prathyusha Mangalampalli"/>
    <s v="Akshata Nayak Non IT"/>
    <s v="Megha Jitendar Bhoir"/>
    <n v="2"/>
    <s v="C36240356"/>
    <x v="121"/>
    <n v="22420"/>
    <n v="3420"/>
    <s v="Accenture_BPO"/>
    <n v="5"/>
    <x v="0"/>
    <x v="9"/>
  </r>
  <r>
    <s v="Mehraj N"/>
    <s v="Prathyusha Mangalampalli"/>
    <s v="Akshata Nayak Non IT"/>
    <s v="Gracy Johnson "/>
    <n v="2"/>
    <s v="C36240275"/>
    <x v="234"/>
    <n v="17700"/>
    <n v="2700"/>
    <s v="Accenture_BPO"/>
    <n v="5"/>
    <x v="0"/>
    <x v="9"/>
  </r>
  <r>
    <s v="Anil Kumar M"/>
    <s v="Monisha RR"/>
    <s v="Akshata Nayak Non IT"/>
    <s v="Syed Adnanuddin"/>
    <n v="6"/>
    <s v="C36240319"/>
    <x v="69"/>
    <n v="34375"/>
    <n v="6875"/>
    <s v="HP"/>
    <n v="5"/>
    <x v="0"/>
    <x v="0"/>
  </r>
  <r>
    <s v="Anusha RK"/>
    <s v="Suman S"/>
    <s v="Prathap Sagar"/>
    <s v="Chauhan Mayurbhai Narendrabhai"/>
    <n v="2"/>
    <s v="C36240282"/>
    <x v="241"/>
    <n v="205000"/>
    <n v="13333.33"/>
    <s v="Accenture_IDB"/>
    <n v="5"/>
    <x v="2"/>
    <x v="3"/>
  </r>
  <r>
    <s v="Javeed Khan"/>
    <s v="Prathyusha Mangalampalli"/>
    <s v="Akshata Nayak Non IT"/>
    <s v="Amarjeet Singh Surender Singh Jabal "/>
    <n v="2"/>
    <s v="C36240269"/>
    <x v="234"/>
    <n v="22420"/>
    <n v="3420"/>
    <s v="Accenture_BPO"/>
    <n v="5"/>
    <x v="0"/>
    <x v="9"/>
  </r>
  <r>
    <s v="Mouli Roy"/>
    <s v="Prathyusha Mangalampalli"/>
    <s v="Akshata Nayak Non IT"/>
    <s v="Tripti  Vishwakarma"/>
    <n v="2"/>
    <s v="C36240303"/>
    <x v="69"/>
    <n v="23600"/>
    <n v="3600"/>
    <s v="Accenture_BPO"/>
    <n v="6"/>
    <x v="0"/>
    <x v="9"/>
  </r>
  <r>
    <s v="Maheshwari K S"/>
    <s v="Monisha RR"/>
    <s v="Akshata Nayak Non IT"/>
    <s v="Dhishna B K"/>
    <n v="6"/>
    <s v="C36240329"/>
    <x v="69"/>
    <n v="34375"/>
    <n v="6875"/>
    <s v="HP"/>
    <n v="5"/>
    <x v="0"/>
    <x v="0"/>
  </r>
  <r>
    <s v="Pavana M"/>
    <s v="Prathyusha Mangalampalli"/>
    <s v="Akshata Nayak Non IT"/>
    <s v="Subham Kumar Swain"/>
    <n v="2"/>
    <s v="C36240352"/>
    <x v="239"/>
    <n v="65000"/>
    <n v="15000"/>
    <s v="Accenture-voice"/>
    <n v="5"/>
    <x v="0"/>
    <x v="9"/>
  </r>
  <r>
    <s v="Hema Varamurthi"/>
    <s v="Beryl B"/>
    <s v="Praveen Kumar"/>
    <s v="Mohammed Ismail"/>
    <n v="1"/>
    <s v="C36240311"/>
    <x v="96"/>
    <n v="367752"/>
    <n v="117752"/>
    <s v="Deloitte_Support "/>
    <n v="5"/>
    <x v="1"/>
    <x v="15"/>
  </r>
  <r>
    <s v="Bhargavi T R"/>
    <s v="Monisha RR"/>
    <s v="Akshata Nayak Non IT"/>
    <s v="J Stella Mary "/>
    <n v="2"/>
    <s v="C36240338"/>
    <x v="96"/>
    <n v="109998"/>
    <n v="18332"/>
    <s v="Amadeus Software"/>
    <n v="5"/>
    <x v="1"/>
    <x v="16"/>
  </r>
  <r>
    <s v="Spoorthy C"/>
    <s v="Mehr Hashim D"/>
    <s v="Mehr Hashim"/>
    <s v="Kolluri Somaiah Chowdary"/>
    <n v="2"/>
    <s v="C36240290"/>
    <x v="120"/>
    <n v="279617.52"/>
    <n v="104617.52"/>
    <s v="Pure Storage"/>
    <n v="5"/>
    <x v="5"/>
    <x v="10"/>
  </r>
  <r>
    <s v="Mehraj N"/>
    <s v="Prathyusha Mangalampalli"/>
    <s v="Akshata Nayak Non IT"/>
    <s v="Sheela "/>
    <n v="2"/>
    <s v="C36240283"/>
    <x v="241"/>
    <n v="65000"/>
    <n v="15000"/>
    <s v="Accenture-voice"/>
    <n v="5"/>
    <x v="0"/>
    <x v="9"/>
  </r>
  <r>
    <s v="Madhuri Ps"/>
    <s v="Menaka Prasad"/>
    <s v="karan lalchandani"/>
    <s v=" Kavitha E "/>
    <n v="2"/>
    <s v="C36240359"/>
    <x v="173"/>
    <n v="88200"/>
    <n v="21533.33"/>
    <s v="Socgen"/>
    <n v="5"/>
    <x v="6"/>
    <x v="2"/>
  </r>
  <r>
    <s v="Priya b"/>
    <s v="Prathyusha Mangalampalli"/>
    <s v="Akshata Nayak Non IT"/>
    <s v="Urshita Parikh Mehul"/>
    <n v="2"/>
    <s v="C36240328"/>
    <x v="69"/>
    <n v="23600"/>
    <n v="3600"/>
    <s v="Accenture_BPO"/>
    <n v="5"/>
    <x v="0"/>
    <x v="9"/>
  </r>
  <r>
    <s v="Sheetal B"/>
    <s v="Tamil C"/>
    <s v="Akshata Nayak"/>
    <s v="Gaurav "/>
    <n v="4"/>
    <s v="O36240009"/>
    <x v="96"/>
    <n v="187192.12"/>
    <n v="27192.12"/>
    <s v="DXC"/>
    <n v="5"/>
    <x v="1"/>
    <x v="6"/>
  </r>
  <r>
    <s v="Bindushree R"/>
    <s v="Prathyusha Mangalampalli"/>
    <s v="Akshata Nayak Non IT"/>
    <s v="Twinkal Bharat Jain "/>
    <n v="2"/>
    <s v="C36240320"/>
    <x v="69"/>
    <n v="23600"/>
    <n v="3600"/>
    <s v="Accenture_BPO"/>
    <n v="5"/>
    <x v="0"/>
    <x v="9"/>
  </r>
  <r>
    <s v="Shivam Prasad"/>
    <s v="Sadhna Shukla"/>
    <s v="Shivam Prasad"/>
    <s v="Amol Sarjerao Pawar"/>
    <n v="2"/>
    <s v="C36240304"/>
    <x v="242"/>
    <n v="130950"/>
    <n v="14283.33"/>
    <s v="Veritas"/>
    <n v="5"/>
    <x v="5"/>
    <x v="8"/>
  </r>
  <r>
    <s v="Nagarjuna Punati"/>
    <s v="Tamil C"/>
    <s v="Akshata Nayak"/>
    <s v="Tamatam Ediga Devi Prasad Goud "/>
    <n v="1"/>
    <s v="C36240323"/>
    <x v="239"/>
    <n v="367752"/>
    <n v="367750"/>
    <s v="Deloitte_Consulting"/>
    <n v="5"/>
    <x v="1"/>
    <x v="16"/>
  </r>
  <r>
    <s v="Madhumita Sinha"/>
    <s v="Santhosh G"/>
    <s v="karan lalchandani"/>
    <s v="Chejarla Balakotaiah"/>
    <n v="2"/>
    <s v="C36240316"/>
    <x v="243"/>
    <n v="184160"/>
    <n v="42494"/>
    <s v="CME"/>
    <n v="5"/>
    <x v="1"/>
    <x v="2"/>
  </r>
  <r>
    <s v="Deepika D"/>
    <s v="Monisha RR"/>
    <s v="Akshata Nayak Non IT"/>
    <s v="Sneha Rajan"/>
    <n v="6"/>
    <s v="C36240342"/>
    <x v="69"/>
    <n v="34375"/>
    <n v="6875"/>
    <s v="HP"/>
    <n v="5"/>
    <x v="0"/>
    <x v="0"/>
  </r>
  <r>
    <s v="Anuvisht Singh"/>
    <s v="Sunitha V"/>
    <s v="Akshata Nayak"/>
    <s v=" S Lokesh Gowda "/>
    <n v="2"/>
    <s v="C36240383"/>
    <x v="244"/>
    <n v="124824"/>
    <n v="39824"/>
    <s v="IBM -Mercedes"/>
    <n v="5"/>
    <x v="1"/>
    <x v="7"/>
  </r>
  <r>
    <s v="Tejaswini N"/>
    <s v="Beryl B"/>
    <s v="Praveen Kumar"/>
    <s v="Amit Kumar Behera"/>
    <n v="2"/>
    <s v="C36240294"/>
    <x v="241"/>
    <n v="380000"/>
    <n v="109166.67"/>
    <s v="Adobe"/>
    <n v="5"/>
    <x v="5"/>
    <x v="10"/>
  </r>
  <r>
    <s v="Bhargavi T R"/>
    <s v="Monisha RR"/>
    <s v="Akshata Nayak Non IT"/>
    <s v="B P Nisha "/>
    <n v="2"/>
    <s v="C36240295"/>
    <x v="241"/>
    <n v="65000"/>
    <n v="15000"/>
    <s v="Accenture-voice"/>
    <n v="5"/>
    <x v="0"/>
    <x v="9"/>
  </r>
  <r>
    <s v="Uma Sree"/>
    <s v="Mehr Hashim D"/>
    <s v="Mehr Hashim"/>
    <s v="Tupakula Mohan Krishna  Reddy"/>
    <n v="2"/>
    <s v="C36240122"/>
    <x v="181"/>
    <n v="115000"/>
    <n v="69167"/>
    <s v="Thomson Reuters"/>
    <n v="5"/>
    <x v="5"/>
    <x v="19"/>
  </r>
  <r>
    <s v="Hemanth SM"/>
    <s v="Priyakantha K"/>
    <s v="Prathap Sagar"/>
    <s v=" Shivangi Sinha "/>
    <n v="2"/>
    <s v="C36240284"/>
    <x v="241"/>
    <n v="35000"/>
    <n v="9000"/>
    <s v="Accenture_IDB"/>
    <n v="5"/>
    <x v="2"/>
    <x v="3"/>
  </r>
  <r>
    <s v="Medha nag"/>
    <s v="Suman S"/>
    <s v="Prathap Sagar"/>
    <s v="Irigala Srinivasulu  Reddy"/>
    <n v="2"/>
    <s v="C36240317"/>
    <x v="243"/>
    <n v="146900"/>
    <n v="55233.33"/>
    <s v="Accenture_IDB"/>
    <n v="5"/>
    <x v="2"/>
    <x v="3"/>
  </r>
  <r>
    <s v="Priyakanta Choudhary"/>
    <s v="Prathap Sagar BL"/>
    <s v="Priyakanta Choudhary"/>
    <s v=" Ankit Jain"/>
    <n v="2"/>
    <s v="C36240315"/>
    <x v="243"/>
    <n v="30000"/>
    <n v="5000"/>
    <s v="Accenture_IDB"/>
    <n v="5"/>
    <x v="2"/>
    <x v="3"/>
  </r>
  <r>
    <s v="Karthik V"/>
    <s v="Fazila K"/>
    <s v="Prathap Sagar"/>
    <s v="Devendra Saini "/>
    <n v="7"/>
    <s v="C36240392"/>
    <x v="245"/>
    <n v="60860.800000000003"/>
    <n v="2620.8000000000002"/>
    <s v="ZTE_payroll"/>
    <n v="5"/>
    <x v="2"/>
    <x v="3"/>
  </r>
  <r>
    <s v="Keerthi Reddy"/>
    <s v="Mehr Hashim D"/>
    <s v="Mehr Hashim"/>
    <s v="Chaithanya Reddy N K"/>
    <n v="2"/>
    <s v="C36240325"/>
    <x v="97"/>
    <n v="336000"/>
    <n v="94333.33"/>
    <s v="GE Healthcare Global Private Limited."/>
    <n v="5"/>
    <x v="5"/>
    <x v="10"/>
  </r>
  <r>
    <s v="Prateek A"/>
    <s v="Mehr Hashim D"/>
    <s v="Mehr Hashim"/>
    <s v="Yasmin Dhal"/>
    <n v="2"/>
    <s v="C36240286"/>
    <x v="241"/>
    <n v="386400"/>
    <n v="61400"/>
    <s v="GE Healthcare Global Private Limited."/>
    <n v="5"/>
    <x v="5"/>
    <x v="10"/>
  </r>
  <r>
    <s v="Tamilarasan S"/>
    <s v="Mehr Hashim D"/>
    <s v="Mehr Hashim"/>
    <s v="Panguluri Sai Ram "/>
    <n v="2"/>
    <s v="C36240287"/>
    <x v="234"/>
    <n v="302400"/>
    <n v="102400"/>
    <s v="GE Healthcare Global Private Limited."/>
    <n v="5"/>
    <x v="5"/>
    <x v="10"/>
  </r>
  <r>
    <s v="Uma Sree"/>
    <s v="Mehr Hashim D"/>
    <s v="Mehr Hashim"/>
    <s v="Mamatha G R"/>
    <n v="2"/>
    <s v="C36240285"/>
    <x v="234"/>
    <n v="336000"/>
    <n v="169333.33"/>
    <s v="GE Healthcare Global Private Limited."/>
    <n v="5"/>
    <x v="5"/>
    <x v="10"/>
  </r>
  <r>
    <s v="Pooja K"/>
    <s v="Prathyusha Mangalampalli"/>
    <s v="Akshata Nayak Non IT"/>
    <s v="Aditi Indrakamal Mishra"/>
    <n v="2"/>
    <s v="C36240327"/>
    <x v="69"/>
    <n v="23600"/>
    <n v="3600"/>
    <s v="Accenture_BPO"/>
    <n v="5"/>
    <x v="0"/>
    <x v="9"/>
  </r>
  <r>
    <s v="Pavana M"/>
    <s v="Prathyusha Mangalampalli"/>
    <s v="Akshata Nayak Non IT"/>
    <s v="Mudassir Reheman"/>
    <n v="1"/>
    <s v="C36240313"/>
    <x v="96"/>
    <n v="65000"/>
    <n v="15000"/>
    <s v="Accenture-voice"/>
    <n v="5"/>
    <x v="0"/>
    <x v="9"/>
  </r>
  <r>
    <s v="Nagarjuna Punati"/>
    <s v="Tamil C"/>
    <s v="Akshata Nayak"/>
    <s v="Balasubramanian "/>
    <n v="1"/>
    <s v="C36240322"/>
    <x v="121"/>
    <n v="352800"/>
    <n v="144466.67000000001"/>
    <s v="Deloitte_Consulting"/>
    <n v="6"/>
    <x v="1"/>
    <x v="16"/>
  </r>
  <r>
    <s v="Anusha BJ"/>
    <s v="Tara VR"/>
    <s v="Prathap Sagar"/>
    <s v="Madhumiha "/>
    <n v="2"/>
    <s v="C36240306"/>
    <x v="230"/>
    <n v="50400"/>
    <n v="4567"/>
    <s v="Koch Industries"/>
    <n v="6"/>
    <x v="2"/>
    <x v="2"/>
  </r>
  <r>
    <s v="Krishna Priya"/>
    <s v="Mehr Hashim D"/>
    <s v="Mehr Hashim"/>
    <s v="Syed Sufiyan  Ahmed"/>
    <n v="2"/>
    <s v="C36240123"/>
    <x v="181"/>
    <n v="105000"/>
    <n v="67500"/>
    <s v="Thomson Reuters"/>
    <n v="5"/>
    <x v="5"/>
    <x v="19"/>
  </r>
  <r>
    <s v="Krishna Priya"/>
    <s v="Mehr Hashim D"/>
    <s v="Mehr Hashim"/>
    <s v="Palakitee Venkat Dinesh"/>
    <n v="2"/>
    <s v="C36240124"/>
    <x v="181"/>
    <n v="105000"/>
    <n v="63334"/>
    <s v="Thomson Reuters"/>
    <n v="5"/>
    <x v="5"/>
    <x v="19"/>
  </r>
  <r>
    <s v="Shivam Prasad"/>
    <s v="Sadhna Shukla"/>
    <s v="Shivam Prasad"/>
    <s v="Jasmeet Kaur Kohli"/>
    <n v="2"/>
    <s v="C36240298"/>
    <x v="242"/>
    <n v="67415"/>
    <n v="4915"/>
    <s v="Veritas"/>
    <n v="5"/>
    <x v="5"/>
    <x v="8"/>
  </r>
  <r>
    <s v="Prateek A"/>
    <s v="Mehr Hashim D"/>
    <s v="Mehr Hashim"/>
    <s v="Aamer  Ghouri"/>
    <n v="2"/>
    <s v="C36240125"/>
    <x v="181"/>
    <n v="105000"/>
    <n v="59167"/>
    <s v="Thomson Reuters"/>
    <n v="5"/>
    <x v="5"/>
    <x v="19"/>
  </r>
  <r>
    <s v="Pooja K"/>
    <s v="Prathyusha Mangalampalli"/>
    <s v="Akshata Nayak Non IT"/>
    <s v="Ashika P. P"/>
    <n v="2"/>
    <s v="C36240409"/>
    <x v="246"/>
    <n v="46610"/>
    <n v="7110"/>
    <s v="Accenture_BPO"/>
    <n v="5"/>
    <x v="0"/>
    <x v="9"/>
  </r>
  <r>
    <s v="Gopal V"/>
    <s v="Tamil C"/>
    <s v="Akshata Nayak"/>
    <s v="Shainee Mangal "/>
    <n v="4"/>
    <s v="O36240012"/>
    <x v="97"/>
    <n v="362068.97"/>
    <n v="128735.97"/>
    <s v="DXC"/>
    <n v="5"/>
    <x v="1"/>
    <x v="6"/>
  </r>
  <r>
    <s v="Monisha R"/>
    <s v="Akshata Nayak"/>
    <s v="Monisha R"/>
    <s v="Yogesh Basagonda Kadam"/>
    <n v="1"/>
    <s v="C36230974"/>
    <x v="77"/>
    <n v="60000"/>
    <n v="10000"/>
    <s v="Toyota"/>
    <n v="5"/>
    <x v="1"/>
    <x v="16"/>
  </r>
  <r>
    <s v="Anil Kumar M"/>
    <s v="Monisha RR"/>
    <s v="Akshata Nayak Non IT"/>
    <s v="Deepak Raj Thinis Xavier Raj"/>
    <n v="6"/>
    <s v="C36240343"/>
    <x v="69"/>
    <n v="34375"/>
    <n v="6875"/>
    <s v="HP"/>
    <n v="5"/>
    <x v="0"/>
    <x v="0"/>
  </r>
  <r>
    <s v="Hemanth T"/>
    <s v="Mehr Hashim D"/>
    <s v="Mehr Hashim"/>
    <s v="Kalyan Singha Roy"/>
    <n v="2"/>
    <s v="C36230736"/>
    <x v="48"/>
    <n v="183825"/>
    <n v="4659"/>
    <s v="VMware"/>
    <n v="6"/>
    <x v="5"/>
    <x v="8"/>
  </r>
  <r>
    <s v="Priya b"/>
    <s v="Prathyusha Mangalampalli"/>
    <s v="Akshata Nayak Non IT"/>
    <s v="Shreya Arvind Sasane "/>
    <n v="2"/>
    <s v="C36240331"/>
    <x v="243"/>
    <n v="22420"/>
    <n v="3420"/>
    <s v="Accenture_BPO"/>
    <n v="5"/>
    <x v="0"/>
    <x v="9"/>
  </r>
  <r>
    <s v="Spoorthy C"/>
    <s v="Mehr Hashim D"/>
    <s v="Mehr Hashim"/>
    <s v="Mohammad Sadique Raza "/>
    <n v="2"/>
    <s v="C36231788"/>
    <x v="101"/>
    <n v="124735.69"/>
    <n v="16402.689999999999"/>
    <s v="VMware"/>
    <n v="5"/>
    <x v="5"/>
    <x v="8"/>
  </r>
  <r>
    <s v="Javeed Khan"/>
    <s v="Prathyusha Mangalampalli"/>
    <s v="Akshata Nayak Non IT"/>
    <s v="Praveen Omprakash Upadhyay"/>
    <n v="2"/>
    <s v="C36240336"/>
    <x v="239"/>
    <n v="22420"/>
    <n v="3420"/>
    <s v="Accenture_BPO"/>
    <n v="5"/>
    <x v="0"/>
    <x v="9"/>
  </r>
  <r>
    <s v="Javeed Khan"/>
    <s v="Prathyusha Mangalampalli"/>
    <s v="Akshata Nayak Non IT"/>
    <s v="Tejal kisan Dhobale  "/>
    <n v="2"/>
    <s v="C36240330"/>
    <x v="243"/>
    <n v="22420"/>
    <n v="3420"/>
    <s v="Accenture_BPO"/>
    <n v="5"/>
    <x v="0"/>
    <x v="9"/>
  </r>
  <r>
    <s v="Ram Praveen B"/>
    <s v="Fazila K"/>
    <s v="Prathap Sagar"/>
    <s v="Boopathi Ravichandran"/>
    <n v="2"/>
    <s v="C36240368"/>
    <x v="233"/>
    <n v="105000"/>
    <n v="30000"/>
    <s v="Infosys"/>
    <n v="5"/>
    <x v="2"/>
    <x v="3"/>
  </r>
  <r>
    <s v="Karnikasri P"/>
    <s v="Priyakantha K"/>
    <s v="Prathap Sagar"/>
    <s v="Sreeram Ramamohan Reddy"/>
    <n v="2"/>
    <s v="C36240318"/>
    <x v="243"/>
    <n v="130000"/>
    <n v="10000"/>
    <s v="Accenture_IDB"/>
    <n v="5"/>
    <x v="2"/>
    <x v="3"/>
  </r>
  <r>
    <s v="Chandana K"/>
    <s v="Anitha C"/>
    <s v="Akshata Nayak Non IT"/>
    <s v="Savitha Moorthi"/>
    <n v="1"/>
    <s v="C36240370"/>
    <x v="173"/>
    <n v="43953"/>
    <n v="4786.33"/>
    <s v="Soc gen Ops "/>
    <n v="5"/>
    <x v="4"/>
    <x v="2"/>
  </r>
  <r>
    <s v="Mehraj N"/>
    <s v="Prathyusha Mangalampalli"/>
    <s v="Akshata Nayak Non IT"/>
    <s v="Pratik Govind Bhanushali"/>
    <n v="2"/>
    <s v="C36240339"/>
    <x v="239"/>
    <n v="22420"/>
    <n v="3420"/>
    <s v="Accenture_BPO"/>
    <n v="5"/>
    <x v="0"/>
    <x v="9"/>
  </r>
  <r>
    <s v="Mehraj N"/>
    <s v="Prathyusha Mangalampalli"/>
    <s v="Akshata Nayak Non IT"/>
    <s v="Yash Yuvaraj Badgujar"/>
    <n v="2"/>
    <s v="C36240340"/>
    <x v="239"/>
    <n v="22420"/>
    <n v="3420"/>
    <s v="Accenture_BPO"/>
    <n v="5"/>
    <x v="0"/>
    <x v="9"/>
  </r>
  <r>
    <s v="Surabhi K"/>
    <s v="Mehr Hashim D"/>
    <s v="Mehr Hashim"/>
    <s v="Kizley Benedict"/>
    <n v="4"/>
    <s v="O36240013"/>
    <x v="97"/>
    <n v="344064"/>
    <n v="52398"/>
    <s v="Pure Storage"/>
    <n v="6"/>
    <x v="5"/>
    <x v="10"/>
  </r>
  <r>
    <s v="Sandipta Panigrahi"/>
    <s v="Mehr Hashim D"/>
    <s v="Mehr Hashim"/>
    <s v="Mudda Dinesh Kumar"/>
    <n v="4"/>
    <s v="O36240014"/>
    <x v="97"/>
    <n v="480000"/>
    <n v="188333.33"/>
    <s v="SONY Software Development Centre"/>
    <n v="5"/>
    <x v="5"/>
    <x v="10"/>
  </r>
  <r>
    <s v="Mouli Roy"/>
    <s v="Prathyusha Mangalampalli"/>
    <s v="Akshata Nayak Non IT"/>
    <s v="Simran Rohidas Shedge"/>
    <n v="2"/>
    <s v="C36240346"/>
    <x v="121"/>
    <n v="22420"/>
    <n v="3420"/>
    <s v="Accenture_BPO"/>
    <n v="5"/>
    <x v="0"/>
    <x v="9"/>
  </r>
  <r>
    <s v="Uma Sree"/>
    <s v="Mehr Hashim D"/>
    <s v="Mehr Hashim"/>
    <s v="Abhishek Kumar"/>
    <n v="2"/>
    <s v="C36240332"/>
    <x v="97"/>
    <n v="336000"/>
    <n v="127667"/>
    <s v="GE Healthcare Global Private Limited."/>
    <n v="5"/>
    <x v="5"/>
    <x v="10"/>
  </r>
  <r>
    <s v="Sachin K"/>
    <s v="Prathyusha Mangalampalli"/>
    <s v="Akshata Nayak Non IT"/>
    <s v="Samarth Diwakar"/>
    <n v="2"/>
    <s v="C36240350"/>
    <x v="121"/>
    <n v="65000"/>
    <n v="15000"/>
    <s v="Accenture-voice"/>
    <n v="6"/>
    <x v="0"/>
    <x v="9"/>
  </r>
  <r>
    <s v="Pavana M"/>
    <s v="Prathyusha Mangalampalli"/>
    <s v="Akshata Nayak Non IT"/>
    <s v="Keshab  Chetry"/>
    <n v="1"/>
    <s v="C36240349"/>
    <x v="239"/>
    <n v="65000"/>
    <n v="15000"/>
    <s v="Accenture-voice"/>
    <n v="5"/>
    <x v="0"/>
    <x v="9"/>
  </r>
  <r>
    <s v="Krishna Priya"/>
    <s v="Mehr Hashim D"/>
    <s v="Mehr Hashim"/>
    <s v="Babu  Gopal"/>
    <n v="2"/>
    <s v="C36240324"/>
    <x v="239"/>
    <n v="285000"/>
    <n v="60000"/>
    <s v="Pure Storage"/>
    <n v="5"/>
    <x v="5"/>
    <x v="10"/>
  </r>
  <r>
    <s v="Pavana M"/>
    <s v="Prathyusha Mangalampalli"/>
    <s v="Akshata Nayak Non IT"/>
    <s v="Nithin A"/>
    <n v="1"/>
    <s v="C36240335"/>
    <x v="239"/>
    <n v="65000"/>
    <n v="15000"/>
    <s v="Accenture-voice"/>
    <n v="5"/>
    <x v="0"/>
    <x v="9"/>
  </r>
  <r>
    <s v="Bindushree R"/>
    <s v="Prathyusha Mangalampalli"/>
    <s v="Akshata Nayak Non IT"/>
    <s v="Dalen Lobo"/>
    <n v="2"/>
    <s v="C36240395"/>
    <x v="240"/>
    <n v="24898"/>
    <n v="3798"/>
    <s v="Accenture_BPO"/>
    <n v="5"/>
    <x v="0"/>
    <x v="9"/>
  </r>
  <r>
    <s v="Sindhu S R"/>
    <s v="Prathyusha Mangalampalli"/>
    <s v="Akshata Nayak Non IT"/>
    <s v="Soni  Hanumant Ghadge"/>
    <n v="2"/>
    <s v="C36240358"/>
    <x v="121"/>
    <n v="22420"/>
    <n v="3420"/>
    <s v="Accenture_BPO"/>
    <n v="5"/>
    <x v="0"/>
    <x v="9"/>
  </r>
  <r>
    <s v="Priya b"/>
    <s v="Prathyusha Mangalampalli"/>
    <s v="Akshata Nayak Non IT"/>
    <s v="Eede Leela Venkat Sai "/>
    <n v="2"/>
    <s v="C36240375"/>
    <x v="236"/>
    <n v="65000"/>
    <n v="15000"/>
    <s v="Accenture-voice"/>
    <n v="5"/>
    <x v="0"/>
    <x v="9"/>
  </r>
  <r>
    <s v="Prateek A"/>
    <s v="Mehr Hashim D"/>
    <s v="Mehr Hashim"/>
    <s v="Vannala Veena "/>
    <n v="2"/>
    <s v="C36240361"/>
    <x v="239"/>
    <n v="285600"/>
    <n v="152266.67000000001"/>
    <s v="GE Healthcare Global Private Limited."/>
    <n v="5"/>
    <x v="5"/>
    <x v="10"/>
  </r>
  <r>
    <s v="Vaishnavi N J"/>
    <s v="Prathyusha Mangalampalli"/>
    <s v="Akshata Nayak Non IT"/>
    <s v="Raziq Ahmed"/>
    <n v="2"/>
    <s v="C36240413"/>
    <x v="247"/>
    <n v="65000"/>
    <n v="15000"/>
    <s v="Accenture-voice"/>
    <n v="5"/>
    <x v="0"/>
    <x v="9"/>
  </r>
  <r>
    <s v="Hemanth SM"/>
    <s v="Priyakantha K"/>
    <s v="Prathap Sagar"/>
    <s v=" Vishal Dogra"/>
    <n v="2"/>
    <s v="C36240347"/>
    <x v="121"/>
    <n v="30000"/>
    <n v="5000"/>
    <s v="Accenture_IDB"/>
    <n v="5"/>
    <x v="2"/>
    <x v="3"/>
  </r>
  <r>
    <s v="Saravana BA"/>
    <s v="Mehr Hashim D"/>
    <s v="Mehr Hashim"/>
    <s v="Nishant Kumar "/>
    <n v="4"/>
    <s v="O36230075"/>
    <x v="92"/>
    <n v="305450"/>
    <n v="55450"/>
    <s v="Xylem INC"/>
    <n v="5"/>
    <x v="5"/>
    <x v="19"/>
  </r>
  <r>
    <s v="Sheetal B"/>
    <s v="Tamil C"/>
    <s v="Akshata Nayak"/>
    <s v="P Ramanjaneyulu"/>
    <n v="2"/>
    <s v="C36240341"/>
    <x v="248"/>
    <n v="29932"/>
    <n v="3600"/>
    <s v="Harman"/>
    <n v="5"/>
    <x v="1"/>
    <x v="12"/>
  </r>
  <r>
    <s v="Chandana K"/>
    <s v="Anitha C"/>
    <s v="Akshata Nayak Non IT"/>
    <s v="Abhishek S Kulkarni"/>
    <n v="1"/>
    <s v="C36240379"/>
    <x v="237"/>
    <n v="33432"/>
    <n v="8432"/>
    <s v="Delloite consulting -Non Tech"/>
    <n v="5"/>
    <x v="0"/>
    <x v="9"/>
  </r>
  <r>
    <s v="Vinay Kumar"/>
    <s v="Shashank Gowda"/>
    <s v="Prathap Sagar"/>
    <s v="Anusha G R. "/>
    <n v="2"/>
    <s v="C36240348"/>
    <x v="121"/>
    <n v="67488"/>
    <n v="11238"/>
    <s v="Wipro"/>
    <n v="5"/>
    <x v="2"/>
    <x v="14"/>
  </r>
  <r>
    <s v="Javeed Khan"/>
    <s v="Prathyusha Mangalampalli"/>
    <s v="Akshata Nayak Non IT"/>
    <s v="Deepa Munna Gupta"/>
    <n v="2"/>
    <s v="C36240362"/>
    <x v="249"/>
    <n v="22420"/>
    <n v="3420"/>
    <s v="Accenture_BPO"/>
    <n v="5"/>
    <x v="0"/>
    <x v="9"/>
  </r>
  <r>
    <s v="Javeed Khan"/>
    <s v="Prathyusha Mangalampalli"/>
    <s v="Akshata Nayak Non IT"/>
    <s v="Maskar Akshada Ashok"/>
    <n v="2"/>
    <s v="C36240354"/>
    <x v="249"/>
    <n v="22420"/>
    <n v="3420"/>
    <s v="Accenture_BPO"/>
    <n v="5"/>
    <x v="0"/>
    <x v="9"/>
  </r>
  <r>
    <s v="Surabhi K"/>
    <s v="Mehr Hashim D"/>
    <s v="Mehr Hashim"/>
    <s v="Nikhil Pundalik Angolkar"/>
    <n v="2"/>
    <s v="C36240367"/>
    <x v="98"/>
    <n v="45000"/>
    <n v="9166.67"/>
    <s v="Lowes"/>
    <n v="5"/>
    <x v="5"/>
    <x v="10"/>
  </r>
  <r>
    <s v="Shaik Sharukh"/>
    <s v="Poornachandra V"/>
    <s v="Akshata Nayak"/>
    <s v="Anurag Goswami"/>
    <n v="1"/>
    <s v="C36231817"/>
    <x v="148"/>
    <n v="200000"/>
    <n v="108334"/>
    <s v="Yokogawa"/>
    <n v="5"/>
    <x v="1"/>
    <x v="16"/>
  </r>
  <r>
    <s v="Uma Sree"/>
    <s v="Mehr Hashim D"/>
    <s v="Mehr Hashim"/>
    <s v="Amir Kumar Modak"/>
    <n v="4"/>
    <s v="O36240015"/>
    <x v="121"/>
    <n v="336000"/>
    <n v="69333.33"/>
    <s v="GE Healthcare Global Private Limited."/>
    <n v="6"/>
    <x v="5"/>
    <x v="10"/>
  </r>
  <r>
    <s v="Don Bosco"/>
    <s v="Suman S"/>
    <s v="Prathap Sagar"/>
    <s v=" Suryaprakash Yadav"/>
    <n v="2"/>
    <s v="C36240355"/>
    <x v="249"/>
    <n v="99750"/>
    <n v="12250"/>
    <s v="Accenture_IDB"/>
    <n v="5"/>
    <x v="2"/>
    <x v="3"/>
  </r>
  <r>
    <s v="Karthik V"/>
    <s v="Fazila K"/>
    <s v="Prathap Sagar"/>
    <s v="Reginson Francis "/>
    <n v="2"/>
    <s v="C36240402"/>
    <x v="250"/>
    <n v="231000"/>
    <n v="22666.67"/>
    <s v="Infosys"/>
    <n v="5"/>
    <x v="2"/>
    <x v="3"/>
  </r>
  <r>
    <s v="Shiva Prasad"/>
    <s v="Fazila K"/>
    <s v="Prathap Sagar"/>
    <s v="Ranjeet Mohan Kumar"/>
    <n v="4"/>
    <s v="O36240018"/>
    <x v="250"/>
    <n v="252000"/>
    <n v="18666.669999999998"/>
    <s v="Infosys"/>
    <n v="5"/>
    <x v="2"/>
    <x v="3"/>
  </r>
  <r>
    <s v="Mehraj N"/>
    <s v="Prathyusha Mangalampalli"/>
    <s v="Akshata Nayak Non IT"/>
    <s v="Prasad Praful Donde"/>
    <n v="2"/>
    <s v="C36240372"/>
    <x v="233"/>
    <n v="22420"/>
    <n v="3420"/>
    <s v="Accenture_BPO"/>
    <n v="5"/>
    <x v="0"/>
    <x v="9"/>
  </r>
  <r>
    <s v="Sindhu S R"/>
    <s v="Prathyusha Mangalampalli"/>
    <s v="Akshata Nayak Non IT"/>
    <s v="Anuradha Sanjay Sontakke"/>
    <n v="2"/>
    <s v="C36240378"/>
    <x v="251"/>
    <n v="23600"/>
    <n v="3600"/>
    <s v="Accenture_BPO"/>
    <n v="6"/>
    <x v="0"/>
    <x v="9"/>
  </r>
  <r>
    <s v="Hussain Saheb P"/>
    <s v="Shoeb Ahmed"/>
    <s v="Vinay Murthy"/>
    <s v="Datla Subbaraju "/>
    <n v="1"/>
    <s v="C36231514"/>
    <x v="88"/>
    <n v="250000"/>
    <n v="16667"/>
    <s v="Zensar Technologies "/>
    <n v="5"/>
    <x v="8"/>
    <x v="21"/>
  </r>
  <r>
    <s v="Rashmi Kulkarni"/>
    <s v="Santhosh G"/>
    <s v="karan lalchandani"/>
    <s v="Pavankumar Hullannavar"/>
    <n v="2"/>
    <s v="C36240381"/>
    <x v="237"/>
    <n v="156492"/>
    <n v="104825.33"/>
    <s v="Mercedes benz"/>
    <n v="5"/>
    <x v="6"/>
    <x v="14"/>
  </r>
  <r>
    <s v="Bindushree R"/>
    <s v="Prathyusha Mangalampalli"/>
    <s v="Akshata Nayak Non IT"/>
    <s v="Steffi Venora Dsouza"/>
    <n v="2"/>
    <s v="C36240396"/>
    <x v="251"/>
    <n v="23600"/>
    <n v="3600"/>
    <s v="Accenture_BPO"/>
    <n v="5"/>
    <x v="0"/>
    <x v="9"/>
  </r>
  <r>
    <s v="Mouli Roy"/>
    <s v="Prathyusha Mangalampalli"/>
    <s v="Akshata Nayak Non IT"/>
    <s v="Manju Ganesh  Prajapati"/>
    <n v="2"/>
    <s v="C36240397"/>
    <x v="251"/>
    <n v="23600"/>
    <n v="3600"/>
    <s v="Accenture_BPO"/>
    <n v="6"/>
    <x v="0"/>
    <x v="9"/>
  </r>
  <r>
    <s v="Hemanth SM"/>
    <s v="Priyakantha K"/>
    <s v="Prathap Sagar"/>
    <s v="Samarth N C"/>
    <n v="2"/>
    <s v="C36240369"/>
    <x v="233"/>
    <n v="30000"/>
    <n v="5000"/>
    <s v="Accenture_IDB"/>
    <n v="5"/>
    <x v="2"/>
    <x v="3"/>
  </r>
  <r>
    <s v="rajeev krishna"/>
    <s v="Poornachandra V"/>
    <s v="Akshata Nayak"/>
    <s v="Prudhvi Raj G "/>
    <n v="4"/>
    <s v="O36240016"/>
    <x v="233"/>
    <n v="284172"/>
    <n v="109172"/>
    <s v="Deloitte Contract"/>
    <n v="5"/>
    <x v="1"/>
    <x v="15"/>
  </r>
  <r>
    <s v="Sneha G"/>
    <s v="Manjunath R"/>
    <s v="Mehr Hashim"/>
    <s v="Tejashree  Ramesh Hole"/>
    <n v="2"/>
    <s v="C36240386"/>
    <x v="237"/>
    <n v="45590"/>
    <n v="8090"/>
    <s v="Veritas"/>
    <n v="5"/>
    <x v="5"/>
    <x v="8"/>
  </r>
  <r>
    <s v="Sheetal B"/>
    <s v="Tamil C"/>
    <s v="Akshata Nayak"/>
    <s v="Anuragh H"/>
    <n v="1"/>
    <s v="C36240387"/>
    <x v="240"/>
    <n v="137800"/>
    <n v="37800"/>
    <s v="DXC"/>
    <n v="5"/>
    <x v="1"/>
    <x v="6"/>
  </r>
  <r>
    <s v="Sandipta Panigrahi"/>
    <s v="Mehr Hashim D"/>
    <s v="Mehr Hashim"/>
    <s v="Saurabh Jain"/>
    <n v="2"/>
    <s v="C36240377"/>
    <x v="233"/>
    <n v="304833.33"/>
    <n v="46500"/>
    <s v="Pure Storage"/>
    <n v="5"/>
    <x v="5"/>
    <x v="10"/>
  </r>
  <r>
    <s v="Sanu S"/>
    <s v="Priyakantha K"/>
    <s v="Prathap Sagar"/>
    <s v="Aishwarya Babasab Patil"/>
    <n v="2"/>
    <s v="C36240373"/>
    <x v="240"/>
    <n v="30000"/>
    <n v="5000"/>
    <s v="Accenture_IDB"/>
    <n v="5"/>
    <x v="2"/>
    <x v="3"/>
  </r>
  <r>
    <s v="Sumanth VM"/>
    <s v="Suman S"/>
    <s v="Prathap Sagar"/>
    <s v="Varshitha Bai D"/>
    <n v="2"/>
    <s v="C36240376"/>
    <x v="236"/>
    <n v="30000"/>
    <n v="5000"/>
    <s v="Accenture_IDB"/>
    <n v="5"/>
    <x v="2"/>
    <x v="3"/>
  </r>
  <r>
    <s v="Maheshwari K S"/>
    <s v="Monisha RR"/>
    <s v="Akshata Nayak Non IT"/>
    <s v="Vijay S Chavan"/>
    <n v="6"/>
    <s v="C36240429"/>
    <x v="237"/>
    <n v="27500"/>
    <n v="4583.33"/>
    <s v="HP"/>
    <n v="5"/>
    <x v="0"/>
    <x v="0"/>
  </r>
  <r>
    <s v="Priya Dharshini C"/>
    <s v="Sunitha V"/>
    <s v="Akshata Nayak"/>
    <s v="G Sabarish Kumar  "/>
    <n v="2"/>
    <s v="C36240424"/>
    <x v="252"/>
    <n v="150528"/>
    <n v="25528"/>
    <s v="IBM -Mercedes"/>
    <n v="5"/>
    <x v="1"/>
    <x v="7"/>
  </r>
  <r>
    <s v="Poorvi Kundur"/>
    <s v="Monisha RR"/>
    <s v="Akshata Nayak Non IT"/>
    <s v="Praharsh Pramod Chaugula"/>
    <n v="6"/>
    <s v="C36240399"/>
    <x v="237"/>
    <n v="25500"/>
    <n v="4250"/>
    <s v="HP"/>
    <n v="5"/>
    <x v="0"/>
    <x v="0"/>
  </r>
  <r>
    <s v="Uma Sree"/>
    <s v="Mehr Hashim D"/>
    <s v="Mehr Hashim"/>
    <s v="shubhanshu tibrewal"/>
    <n v="4"/>
    <s v="O36240017"/>
    <x v="240"/>
    <n v="315000"/>
    <n v="106666.67"/>
    <s v="SONY Software Development Centre"/>
    <n v="5"/>
    <x v="5"/>
    <x v="10"/>
  </r>
  <r>
    <s v="Hemanth SM"/>
    <s v="Priyakantha K"/>
    <s v="Prathap Sagar"/>
    <s v="Subash A R"/>
    <n v="2"/>
    <s v="C36240380"/>
    <x v="237"/>
    <n v="30000"/>
    <n v="5000"/>
    <s v="Accenture_IDB"/>
    <n v="5"/>
    <x v="2"/>
    <x v="3"/>
  </r>
  <r>
    <s v="Aniskeh Manick S N"/>
    <s v="Menaka Prasad"/>
    <s v="karan lalchandani"/>
    <s v="Medini. M. V"/>
    <n v="2"/>
    <s v="C36240408"/>
    <x v="237"/>
    <n v="25200"/>
    <n v="5200"/>
    <s v="Soc gen Ops "/>
    <n v="5"/>
    <x v="4"/>
    <x v="2"/>
  </r>
  <r>
    <s v="Sindhu S R"/>
    <s v="Prathyusha Mangalampalli"/>
    <s v="Akshata Nayak Non IT"/>
    <s v="Abhishek Sukla"/>
    <n v="2"/>
    <s v="C36240388"/>
    <x v="244"/>
    <n v="22420"/>
    <n v="3420"/>
    <s v="Accenture_BPO"/>
    <n v="5"/>
    <x v="0"/>
    <x v="9"/>
  </r>
  <r>
    <s v="Sandipta Panigrahi"/>
    <s v="Mehr Hashim D"/>
    <s v="Mehr Hashim"/>
    <s v="Kumari Alpana Prasad"/>
    <n v="2"/>
    <s v="NULL"/>
    <x v="65"/>
    <n v="225000"/>
    <n v="50000"/>
    <s v="SONY Software Development Centre"/>
    <n v="5"/>
    <x v="5"/>
    <x v="10"/>
  </r>
  <r>
    <s v="Mehraj N"/>
    <s v="Prathyusha Mangalampalli"/>
    <s v="Akshata Nayak Non IT"/>
    <s v="Sakshi Sandesh Khaire"/>
    <n v="2"/>
    <s v="C36240389"/>
    <x v="244"/>
    <n v="22847.16"/>
    <n v="3485.16"/>
    <s v="Accenture_BPO"/>
    <n v="5"/>
    <x v="0"/>
    <x v="9"/>
  </r>
  <r>
    <s v="Spoorthy C"/>
    <s v="Mehr Hashim D"/>
    <s v="Mehr Hashim"/>
    <s v="Lingampet Prabhalika "/>
    <n v="2"/>
    <s v="C36240464"/>
    <x v="237"/>
    <n v="256660.04"/>
    <n v="60826.71"/>
    <s v="Google"/>
    <n v="5"/>
    <x v="5"/>
    <x v="10"/>
  </r>
  <r>
    <s v="Manjunath R"/>
    <s v="Mehr Hashim D"/>
    <s v="Mehr Hashim"/>
    <s v="Kavitanjali Kumari"/>
    <n v="2"/>
    <s v="C36240384"/>
    <x v="244"/>
    <n v="39042"/>
    <n v="4042"/>
    <s v="Veritas"/>
    <n v="5"/>
    <x v="5"/>
    <x v="8"/>
  </r>
  <r>
    <s v="Priya b"/>
    <s v="Prathyusha Mangalampalli"/>
    <s v="Akshata Nayak Non IT"/>
    <s v="Sona Samuel"/>
    <n v="2"/>
    <s v="C36240390"/>
    <x v="244"/>
    <n v="22847.16"/>
    <n v="3485.16"/>
    <s v="Accenture_BPO"/>
    <n v="5"/>
    <x v="0"/>
    <x v="9"/>
  </r>
  <r>
    <s v="Shubha K"/>
    <s v="Manjunath R"/>
    <s v="Mehr Hashim"/>
    <s v="Chiranjeevi Poluboena"/>
    <n v="2"/>
    <s v="C36240400"/>
    <x v="245"/>
    <n v="406666"/>
    <n v="73332.67"/>
    <s v="Alliance Data"/>
    <n v="5"/>
    <x v="5"/>
    <x v="8"/>
  </r>
  <r>
    <s v="Prateek A"/>
    <s v="Mehr Hashim D"/>
    <s v="Mehr Hashim"/>
    <s v="Vijaya Ananda Pattara"/>
    <n v="2"/>
    <s v="C36240385"/>
    <x v="244"/>
    <n v="125000"/>
    <n v="50000"/>
    <s v="Analog Devices"/>
    <n v="5"/>
    <x v="5"/>
    <x v="10"/>
  </r>
  <r>
    <s v="Poorvi Kundur"/>
    <s v="Monisha RR"/>
    <s v="Akshata Nayak Non IT"/>
    <s v="Pranav Raj "/>
    <n v="2"/>
    <s v="C36240473"/>
    <x v="244"/>
    <n v="32500"/>
    <n v="7500"/>
    <s v="Accenture-voice"/>
    <n v="5"/>
    <x v="0"/>
    <x v="9"/>
  </r>
  <r>
    <s v="Chandana K"/>
    <s v="Anitha C"/>
    <s v="Akshata Nayak Non IT"/>
    <s v="Mandla Sagar"/>
    <n v="2"/>
    <s v="C36240391"/>
    <x v="244"/>
    <n v="85550"/>
    <n v="13050"/>
    <s v="Accenture_BPO"/>
    <n v="5"/>
    <x v="0"/>
    <x v="9"/>
  </r>
  <r>
    <s v="Priya b"/>
    <s v="Prathyusha Mangalampalli"/>
    <s v="Akshata Nayak Non IT"/>
    <s v="Suruchi Ravindra Chavan"/>
    <n v="2"/>
    <s v="C36240393"/>
    <x v="245"/>
    <n v="22847.16"/>
    <n v="3485.16"/>
    <s v="Accenture_BPO"/>
    <n v="5"/>
    <x v="0"/>
    <x v="9"/>
  </r>
  <r>
    <s v="Deepika D"/>
    <s v="Monisha RR"/>
    <s v="Akshata Nayak Non IT"/>
    <s v="Sunaina B_x0009_ "/>
    <n v="2"/>
    <s v="C36240505"/>
    <x v="245"/>
    <n v="65000"/>
    <n v="15000"/>
    <s v="Accenture-voice"/>
    <n v="5"/>
    <x v="0"/>
    <x v="9"/>
  </r>
  <r>
    <s v="Pavana M"/>
    <s v="Prathyusha Mangalampalli"/>
    <s v="Akshata Nayak Non IT"/>
    <s v="Divya Shree H.U"/>
    <n v="2"/>
    <s v="C36240414"/>
    <x v="253"/>
    <n v="65000"/>
    <n v="15000"/>
    <s v="Accenture-voice"/>
    <n v="5"/>
    <x v="0"/>
    <x v="9"/>
  </r>
  <r>
    <s v="Bhargavi T R"/>
    <s v="Monisha RR"/>
    <s v="Akshata Nayak Non IT"/>
    <s v="Javeria Sultana M"/>
    <n v="2"/>
    <s v="C36240394"/>
    <x v="245"/>
    <n v="32500"/>
    <n v="7500"/>
    <s v="Accenture-voice"/>
    <n v="5"/>
    <x v="0"/>
    <x v="9"/>
  </r>
  <r>
    <s v="Pooja K"/>
    <s v="Prathyusha Mangalampalli"/>
    <s v="Akshata Nayak Non IT"/>
    <s v="Renuka Soman  Tamatta"/>
    <n v="2"/>
    <s v="C36240416"/>
    <x v="246"/>
    <n v="22847.16"/>
    <n v="3485.16"/>
    <s v="Accenture_BPO"/>
    <n v="5"/>
    <x v="0"/>
    <x v="9"/>
  </r>
  <r>
    <s v="Manjunath R"/>
    <s v="Mehr Hashim D"/>
    <s v="Mehr Hashim"/>
    <s v="Ankush Malik"/>
    <n v="2"/>
    <s v="C36240425"/>
    <x v="254"/>
    <n v="349000"/>
    <n v="57333.33"/>
    <s v="Adobe"/>
    <n v="5"/>
    <x v="5"/>
    <x v="10"/>
  </r>
  <r>
    <s v="Sneha G"/>
    <s v="Manjunath R"/>
    <s v="Mehr Hashim"/>
    <s v="Ashok Kumar  Singh"/>
    <n v="2"/>
    <s v="C36240426"/>
    <x v="254"/>
    <n v="310000"/>
    <n v="60000"/>
    <s v="Adobe"/>
    <n v="5"/>
    <x v="5"/>
    <x v="10"/>
  </r>
  <r>
    <s v="Shivangi Gupta"/>
    <s v="Mehr Hashim D"/>
    <s v="Mehr Hashim"/>
    <s v="Sami Jaya Tulasi Ram"/>
    <n v="2"/>
    <s v="C36240401"/>
    <x v="250"/>
    <n v="336000"/>
    <n v="152666.67000000001"/>
    <s v="GE Healthcare Global Private Limited."/>
    <n v="6"/>
    <x v="5"/>
    <x v="10"/>
  </r>
  <r>
    <s v="Surabhi K"/>
    <s v="Mehr Hashim D"/>
    <s v="Mehr Hashim"/>
    <s v="Shobha Manival Raju"/>
    <n v="2"/>
    <s v="C36240450"/>
    <x v="242"/>
    <n v="135000"/>
    <n v="26666.67"/>
    <s v="Amazon"/>
    <n v="5"/>
    <x v="5"/>
    <x v="10"/>
  </r>
  <r>
    <s v="Gopinath S N"/>
    <s v="Mehr Hashim D"/>
    <s v="Mehr Hashim"/>
    <s v="Bikash Ranjan Sahoo"/>
    <n v="2"/>
    <s v="C36240423"/>
    <x v="253"/>
    <n v="285600"/>
    <n v="143933.32999999999"/>
    <s v="GE Healthcare Global Private Limited."/>
    <n v="5"/>
    <x v="5"/>
    <x v="10"/>
  </r>
  <r>
    <s v="Shruthi R"/>
    <s v="Mehr Hashim D"/>
    <s v="Mehr Hashim"/>
    <s v="Savatkar  Ashish "/>
    <n v="2"/>
    <s v="C36240415"/>
    <x v="246"/>
    <n v="110000"/>
    <n v="60000"/>
    <s v="SONY Software Development Centre"/>
    <n v="5"/>
    <x v="5"/>
    <x v="10"/>
  </r>
  <r>
    <s v="Gagan Kumar"/>
    <s v="Shashank Gowda"/>
    <s v="Prathap Sagar"/>
    <s v="Vilas Revansiddha  Harihar"/>
    <n v="2"/>
    <s v="C36240398"/>
    <x v="245"/>
    <n v="100000"/>
    <n v="16666.669999999998"/>
    <s v="Wipro"/>
    <n v="5"/>
    <x v="2"/>
    <x v="14"/>
  </r>
  <r>
    <s v="Sachin K"/>
    <s v="Prathyusha Mangalampalli"/>
    <s v="Akshata Nayak Non IT"/>
    <s v="Pooja Kailash Gupta"/>
    <n v="2"/>
    <s v="C36240428"/>
    <x v="247"/>
    <n v="22847.16"/>
    <n v="3485.16"/>
    <s v="Accenture_BPO"/>
    <n v="5"/>
    <x v="0"/>
    <x v="9"/>
  </r>
  <r>
    <s v="Hemanth SM"/>
    <s v="Priyakantha K"/>
    <s v="Prathap Sagar"/>
    <s v="Diptendu Sarkar"/>
    <n v="2"/>
    <s v="C36240403"/>
    <x v="246"/>
    <n v="35000"/>
    <n v="5000"/>
    <s v="Accenture_IDB"/>
    <n v="5"/>
    <x v="2"/>
    <x v="3"/>
  </r>
  <r>
    <s v="Mehraj N"/>
    <s v="Prathyusha Mangalampalli"/>
    <s v="Akshata Nayak Non IT"/>
    <s v="Surya Magesh"/>
    <n v="2"/>
    <s v="C36240419"/>
    <x v="253"/>
    <n v="17700"/>
    <n v="2700"/>
    <s v="Accenture_BPO"/>
    <n v="5"/>
    <x v="0"/>
    <x v="9"/>
  </r>
  <r>
    <s v="Sharath CM"/>
    <s v="Santhosh G"/>
    <s v="karan lalchandani"/>
    <s v="Preeti Pradeep Mandole"/>
    <n v="2"/>
    <s v="NULL"/>
    <x v="247"/>
    <n v="346500"/>
    <n v="54833.33"/>
    <s v="ANZ"/>
    <n v="5"/>
    <x v="2"/>
    <x v="14"/>
  </r>
  <r>
    <s v="Mouli Roy"/>
    <s v="Prathyusha Mangalampalli"/>
    <s v="Akshata Nayak Non IT"/>
    <s v="Yamei  Ningshen"/>
    <n v="2"/>
    <s v="C36240404"/>
    <x v="246"/>
    <n v="65000"/>
    <n v="15000"/>
    <s v="Accenture-voice"/>
    <n v="5"/>
    <x v="0"/>
    <x v="9"/>
  </r>
  <r>
    <s v="Poorvi Kundur"/>
    <s v="Monisha RR"/>
    <s v="Akshata Nayak Non IT"/>
    <s v="Chaitanya C"/>
    <n v="2"/>
    <s v="C36240448"/>
    <x v="255"/>
    <n v="65000"/>
    <n v="15000"/>
    <s v="Accenture-voice"/>
    <n v="5"/>
    <x v="0"/>
    <x v="9"/>
  </r>
  <r>
    <s v="Pradeep S"/>
    <s v="Monisha RR"/>
    <s v="Akshata Nayak Non IT"/>
    <s v="Narendra Singh Bohara  "/>
    <n v="2"/>
    <s v="C36240421"/>
    <x v="247"/>
    <n v="65000"/>
    <n v="15000"/>
    <s v="Accenture-voice"/>
    <n v="5"/>
    <x v="0"/>
    <x v="9"/>
  </r>
  <r>
    <s v="Deepika D"/>
    <s v="Monisha RR"/>
    <s v="Akshata Nayak Non IT"/>
    <s v="Deekshith G P "/>
    <n v="2"/>
    <s v="C36240501"/>
    <x v="256"/>
    <n v="65000"/>
    <n v="15000"/>
    <s v="Accenture-voice"/>
    <n v="5"/>
    <x v="0"/>
    <x v="9"/>
  </r>
  <r>
    <s v="Javeed Khan"/>
    <s v="Prathyusha Mangalampalli"/>
    <s v="Akshata Nayak Non IT"/>
    <s v="Samta Hanuman Singh Saun "/>
    <n v="2"/>
    <s v="C36240405"/>
    <x v="246"/>
    <n v="22847.16"/>
    <n v="3485.16"/>
    <s v="Accenture_BPO"/>
    <n v="5"/>
    <x v="0"/>
    <x v="9"/>
  </r>
  <r>
    <s v="Naveen K"/>
    <s v="Mehr Hashim D"/>
    <s v="Mehr Hashim"/>
    <s v="Prabhu Manivel"/>
    <n v="2"/>
    <s v="C36240420"/>
    <x v="253"/>
    <n v="336000"/>
    <n v="144333.32999999999"/>
    <s v="GE Healthcare Global Private Limited."/>
    <n v="5"/>
    <x v="5"/>
    <x v="10"/>
  </r>
  <r>
    <s v="Mouli Roy"/>
    <s v="Prathyusha Mangalampalli"/>
    <s v="Akshata Nayak Non IT"/>
    <s v="Jennifer R"/>
    <n v="2"/>
    <s v="C36240412"/>
    <x v="247"/>
    <n v="65000"/>
    <n v="15000"/>
    <s v="Accenture-voice"/>
    <n v="5"/>
    <x v="0"/>
    <x v="9"/>
  </r>
  <r>
    <s v="Pavana M"/>
    <s v="Prathyusha Mangalampalli"/>
    <s v="Akshata Nayak Non IT"/>
    <s v="Tanay  Tandon"/>
    <n v="2"/>
    <s v="C36240406"/>
    <x v="246"/>
    <n v="65000"/>
    <n v="15000"/>
    <s v="Accenture-voice"/>
    <n v="5"/>
    <x v="0"/>
    <x v="9"/>
  </r>
  <r>
    <s v="Sheetal B"/>
    <s v="Tamil C"/>
    <s v="Akshata Nayak"/>
    <s v="Rambabu Irigineni"/>
    <n v="4"/>
    <s v="O36240019"/>
    <x v="247"/>
    <n v="206896.55"/>
    <n v="26896.55"/>
    <s v="DXC"/>
    <n v="5"/>
    <x v="1"/>
    <x v="6"/>
  </r>
  <r>
    <s v="Mouli Roy"/>
    <s v="Prathyusha Mangalampalli"/>
    <s v="Akshata Nayak Non IT"/>
    <s v="Aayushi Shivaji Haldankar "/>
    <n v="2"/>
    <s v="C36240431"/>
    <x v="256"/>
    <n v="22847.16"/>
    <n v="3485.16"/>
    <s v="Accenture_BPO"/>
    <n v="6"/>
    <x v="0"/>
    <x v="9"/>
  </r>
  <r>
    <s v="Shruthi R"/>
    <s v="Mehr Hashim D"/>
    <s v="Mehr Hashim"/>
    <s v="P Sravan Kumar"/>
    <n v="2"/>
    <s v="C36240418"/>
    <x v="247"/>
    <n v="369600"/>
    <n v="136266.67000000001"/>
    <s v="GE Healthcare Global Private Limited."/>
    <n v="5"/>
    <x v="5"/>
    <x v="10"/>
  </r>
  <r>
    <s v="Mehraj N"/>
    <s v="Prathyusha Mangalampalli"/>
    <s v="Akshata Nayak Non IT"/>
    <s v="Nidhi Deepak Vira"/>
    <n v="2"/>
    <s v="C36240447"/>
    <x v="255"/>
    <n v="22847.16"/>
    <n v="3485.16"/>
    <s v="Accenture_BPO"/>
    <n v="5"/>
    <x v="0"/>
    <x v="9"/>
  </r>
  <r>
    <s v="Pooja K"/>
    <s v="Prathyusha Mangalampalli"/>
    <s v="Akshata Nayak Non IT"/>
    <s v="Asher Shailendra Patil"/>
    <n v="2"/>
    <s v="C36240411"/>
    <x v="247"/>
    <n v="32500"/>
    <n v="7500"/>
    <s v="Accenture_BPO"/>
    <n v="5"/>
    <x v="0"/>
    <x v="9"/>
  </r>
  <r>
    <s v="Pooja K"/>
    <s v="Prathyusha Mangalampalli"/>
    <s v="Akshata Nayak Non IT"/>
    <s v="Swetha"/>
    <n v="2"/>
    <s v="C36240410"/>
    <x v="247"/>
    <n v="17700"/>
    <n v="2700"/>
    <s v="Accenture_BPO"/>
    <n v="5"/>
    <x v="0"/>
    <x v="9"/>
  </r>
  <r>
    <s v="Deepthi C"/>
    <s v="Anitha C"/>
    <s v="Akshata Nayak Non IT"/>
    <s v="Chandra Mohan Jha "/>
    <n v="2"/>
    <s v="C36240446"/>
    <x v="255"/>
    <n v="48000"/>
    <n v="8000"/>
    <s v="Accenture-voice"/>
    <n v="5"/>
    <x v="0"/>
    <x v="9"/>
  </r>
  <r>
    <s v="Javeed Khan"/>
    <s v="Prathyusha Mangalampalli"/>
    <s v="Akshata Nayak Non IT"/>
    <s v="Shubham Arun Lad"/>
    <n v="2"/>
    <s v="C36240417"/>
    <x v="247"/>
    <n v="22847.16"/>
    <n v="3485.16"/>
    <s v="Accenture_BPO"/>
    <n v="5"/>
    <x v="0"/>
    <x v="9"/>
  </r>
  <r>
    <s v="Poorvi Kundur"/>
    <s v="Monisha RR"/>
    <s v="Akshata Nayak Non IT"/>
    <s v="Bhavani Vijayendhran "/>
    <n v="2"/>
    <s v="C36240437"/>
    <x v="247"/>
    <n v="32500"/>
    <n v="7500"/>
    <s v="Accenture-voice"/>
    <n v="5"/>
    <x v="0"/>
    <x v="9"/>
  </r>
  <r>
    <s v="Bhargavi T R"/>
    <s v="Monisha RR"/>
    <s v="Akshata Nayak Non IT"/>
    <s v="Dhanush  K"/>
    <n v="2"/>
    <s v="C36240436"/>
    <x v="247"/>
    <n v="65000"/>
    <n v="15000"/>
    <s v="Accenture-voice"/>
    <n v="5"/>
    <x v="0"/>
    <x v="9"/>
  </r>
  <r>
    <s v="Javeed Khan"/>
    <s v="Prathyusha Mangalampalli"/>
    <s v="Akshata Nayak Non IT"/>
    <s v="Pooja Shamrao wable"/>
    <n v="2"/>
    <s v="C36240432"/>
    <x v="256"/>
    <n v="22847.16"/>
    <n v="3485.16"/>
    <s v="Accenture_BPO"/>
    <n v="5"/>
    <x v="0"/>
    <x v="9"/>
  </r>
  <r>
    <s v="Anil Kumar M"/>
    <s v="Monisha RR"/>
    <s v="Akshata Nayak Non IT"/>
    <s v="S Pavani"/>
    <n v="2"/>
    <s v="C36240557"/>
    <x v="247"/>
    <n v="32500"/>
    <n v="7500"/>
    <s v="Accenture-voice"/>
    <n v="5"/>
    <x v="0"/>
    <x v="9"/>
  </r>
  <r>
    <s v="Pavana M"/>
    <s v="Prathyusha Mangalampalli"/>
    <s v="Akshata Nayak Non IT"/>
    <s v="Yash  Agarwal"/>
    <n v="2"/>
    <s v="C36240435"/>
    <x v="253"/>
    <n v="65000"/>
    <n v="15000"/>
    <s v="Accenture-voice"/>
    <n v="5"/>
    <x v="0"/>
    <x v="9"/>
  </r>
  <r>
    <s v="Rashmi Kulkarni"/>
    <s v="Santhosh G"/>
    <s v="karan lalchandani"/>
    <s v="Challa Hima Bindhu "/>
    <n v="2"/>
    <s v="C36240445"/>
    <x v="255"/>
    <n v="169167"/>
    <n v="60833.67"/>
    <s v="CME"/>
    <n v="5"/>
    <x v="1"/>
    <x v="2"/>
  </r>
  <r>
    <s v="Sindhu S R"/>
    <s v="Prathyusha Mangalampalli"/>
    <s v="Akshata Nayak Non IT"/>
    <s v="Naveen Kumar A"/>
    <n v="2"/>
    <s v="C36240433"/>
    <x v="256"/>
    <n v="65000"/>
    <n v="15000"/>
    <s v="Accenture-voice"/>
    <n v="5"/>
    <x v="0"/>
    <x v="9"/>
  </r>
  <r>
    <s v="Sachin K"/>
    <s v="Prathyusha Mangalampalli"/>
    <s v="Akshata Nayak Non IT"/>
    <s v="Mohammad Waaries"/>
    <n v="2"/>
    <s v="C36240440"/>
    <x v="256"/>
    <n v="65000"/>
    <n v="15000"/>
    <s v="Accenture-voice"/>
    <n v="5"/>
    <x v="0"/>
    <x v="9"/>
  </r>
  <r>
    <s v="Pradeep S"/>
    <s v="Monisha RR"/>
    <s v="Akshata Nayak Non IT"/>
    <s v="Sabreen Taj"/>
    <n v="6"/>
    <s v="C36240490"/>
    <x v="252"/>
    <n v="27500"/>
    <n v="4583.33"/>
    <s v="HP"/>
    <n v="5"/>
    <x v="0"/>
    <x v="0"/>
  </r>
  <r>
    <s v="Sindhu S R"/>
    <s v="Prathyusha Mangalampalli"/>
    <s v="Akshata Nayak Non IT"/>
    <s v="Abhay Keerthan Katta"/>
    <n v="2"/>
    <s v="C36240452"/>
    <x v="242"/>
    <n v="58500"/>
    <n v="13500"/>
    <s v="Accenture-voice"/>
    <n v="5"/>
    <x v="0"/>
    <x v="9"/>
  </r>
  <r>
    <s v="Anil Kumar M"/>
    <s v="Monisha RR"/>
    <s v="Akshata Nayak Non IT"/>
    <s v="Moulika S"/>
    <n v="2"/>
    <s v="C36240558"/>
    <x v="256"/>
    <n v="65000"/>
    <n v="15000"/>
    <s v="Accenture-voice"/>
    <n v="5"/>
    <x v="0"/>
    <x v="9"/>
  </r>
  <r>
    <s v="Sindhu S R"/>
    <s v="Prathyusha Mangalampalli"/>
    <s v="Akshata Nayak Non IT"/>
    <s v="Chavala Rajkumar"/>
    <n v="2"/>
    <s v="C36240427"/>
    <x v="252"/>
    <n v="150000.42000000001"/>
    <n v="22881.42"/>
    <s v="Accenture_BPO"/>
    <n v="5"/>
    <x v="0"/>
    <x v="9"/>
  </r>
  <r>
    <s v="Poorvi Kundur"/>
    <s v="Monisha RR"/>
    <s v="Akshata Nayak Non IT"/>
    <s v="Asfiya Sultana "/>
    <n v="6"/>
    <s v="C36240472"/>
    <x v="252"/>
    <n v="27500"/>
    <n v="4583.33"/>
    <s v="HP"/>
    <n v="5"/>
    <x v="0"/>
    <x v="0"/>
  </r>
  <r>
    <s v="Javeed Khan"/>
    <s v="Prathyusha Mangalampalli"/>
    <s v="Akshata Nayak Non IT"/>
    <s v="Ashwaq Khan S"/>
    <n v="2"/>
    <s v="C36240434"/>
    <x v="256"/>
    <n v="65000"/>
    <n v="15000"/>
    <s v="Accenture-voice"/>
    <n v="5"/>
    <x v="0"/>
    <x v="9"/>
  </r>
  <r>
    <s v="Shubha K"/>
    <s v="Manjunath R"/>
    <s v="Mehr Hashim"/>
    <s v="Damayanti Nayak"/>
    <n v="2"/>
    <s v="C36240463"/>
    <x v="254"/>
    <n v="54166"/>
    <n v="10832.67"/>
    <s v="Airbus"/>
    <n v="5"/>
    <x v="5"/>
    <x v="10"/>
  </r>
  <r>
    <s v="Lalbee Kuppaganti"/>
    <s v="Manjunath R"/>
    <s v="Mehr Hashim"/>
    <s v="Pravin Mohan Deshmukh  "/>
    <n v="2"/>
    <s v="C36240430"/>
    <x v="255"/>
    <n v="295000"/>
    <n v="61666.67"/>
    <s v="Boston Scientific"/>
    <n v="5"/>
    <x v="5"/>
    <x v="10"/>
  </r>
  <r>
    <s v="Pooja K"/>
    <s v="Prathyusha Mangalampalli"/>
    <s v="Akshata Nayak Non IT"/>
    <s v="Rohan Shravan Kamble"/>
    <n v="2"/>
    <s v="C36240465"/>
    <x v="255"/>
    <n v="22847.16"/>
    <n v="3485.16"/>
    <s v="Accenture_BPO"/>
    <n v="5"/>
    <x v="0"/>
    <x v="9"/>
  </r>
  <r>
    <s v="Pooja K"/>
    <s v="Prathyusha Mangalampalli"/>
    <s v="Akshata Nayak Non IT"/>
    <s v="Kalpesh Vijay Kumar Gaikwad"/>
    <n v="2"/>
    <s v="C36240470"/>
    <x v="242"/>
    <n v="22847.16"/>
    <n v="3485.16"/>
    <s v="Accenture_BPO"/>
    <n v="6"/>
    <x v="0"/>
    <x v="9"/>
  </r>
  <r>
    <s v="Bindushree R"/>
    <s v="Prathyusha Mangalampalli"/>
    <s v="Akshata Nayak Non IT"/>
    <s v="Vishal Gupta"/>
    <n v="2"/>
    <s v="C36240471"/>
    <x v="242"/>
    <n v="22847.16"/>
    <n v="3485.16"/>
    <s v="Accenture_BPO"/>
    <n v="6"/>
    <x v="0"/>
    <x v="9"/>
  </r>
  <r>
    <s v="Sneha G"/>
    <s v="Manjunath R"/>
    <s v="Mehr Hashim"/>
    <s v="B Vijayakumar "/>
    <n v="2"/>
    <s v="C36240449"/>
    <x v="242"/>
    <n v="330000"/>
    <n v="63333.33"/>
    <s v="Adobe"/>
    <n v="5"/>
    <x v="5"/>
    <x v="10"/>
  </r>
  <r>
    <s v="Pradeep S"/>
    <s v="Monisha RR"/>
    <s v="Akshata Nayak Non IT"/>
    <s v="Nikitha M S"/>
    <n v="2"/>
    <s v="C36240486"/>
    <x v="242"/>
    <n v="32500"/>
    <n v="7500"/>
    <s v="Accenture-voice"/>
    <n v="5"/>
    <x v="0"/>
    <x v="9"/>
  </r>
  <r>
    <s v="Tamilarasan S"/>
    <s v="Mehr Hashim D"/>
    <s v="Mehr Hashim"/>
    <s v="Adhiyamaan Sekar"/>
    <n v="2"/>
    <s v="C36240444"/>
    <x v="255"/>
    <n v="302400"/>
    <n v="135733.32999999999"/>
    <s v="GE Healthcare Global Private Limited."/>
    <n v="5"/>
    <x v="5"/>
    <x v="10"/>
  </r>
  <r>
    <s v="Tamilarasan S"/>
    <s v="Mehr Hashim D"/>
    <s v="Mehr Hashim"/>
    <s v="Shruthi  N"/>
    <n v="2"/>
    <s v="C36240443"/>
    <x v="255"/>
    <n v="30000"/>
    <n v="10000"/>
    <s v="Lowes"/>
    <n v="5"/>
    <x v="5"/>
    <x v="10"/>
  </r>
  <r>
    <s v="Maheshwari K S"/>
    <s v="Monisha RR"/>
    <s v="Akshata Nayak Non IT"/>
    <s v="Ekta Sharma"/>
    <n v="6"/>
    <s v="C36240482"/>
    <x v="256"/>
    <n v="27500"/>
    <n v="4583.33"/>
    <s v="HP"/>
    <n v="5"/>
    <x v="0"/>
    <x v="0"/>
  </r>
  <r>
    <s v="Poorvi Kundur"/>
    <s v="Monisha RR"/>
    <s v="Akshata Nayak Non IT"/>
    <s v="Mansoor Ali Khan "/>
    <n v="6"/>
    <s v="C36240462"/>
    <x v="256"/>
    <n v="27500"/>
    <n v="4583.33"/>
    <s v="HP"/>
    <n v="5"/>
    <x v="0"/>
    <x v="0"/>
  </r>
  <r>
    <s v="Prateek A"/>
    <s v="Mehr Hashim D"/>
    <s v="Mehr Hashim"/>
    <s v="Mahesh kumar.R"/>
    <n v="2"/>
    <s v="C36240439"/>
    <x v="256"/>
    <n v="153995.5"/>
    <n v="36495.5"/>
    <s v="Google"/>
    <n v="5"/>
    <x v="5"/>
    <x v="10"/>
  </r>
  <r>
    <s v="Tamilarasan S"/>
    <s v="Mehr Hashim D"/>
    <s v="Mehr Hashim"/>
    <s v="Nagesh Kumar T K"/>
    <n v="4"/>
    <s v="O36240021"/>
    <x v="255"/>
    <n v="386800"/>
    <n v="136800"/>
    <s v="GE Healthcare Global Private Limited."/>
    <n v="5"/>
    <x v="5"/>
    <x v="10"/>
  </r>
  <r>
    <s v="Mehraj N"/>
    <s v="Prathyusha Mangalampalli"/>
    <s v="Akshata Nayak Non IT"/>
    <s v="Vaishnavi Prabhakar Manjarekar"/>
    <n v="2"/>
    <s v="C36240453"/>
    <x v="242"/>
    <n v="22847.16"/>
    <n v="3485.16"/>
    <s v="Accenture_BPO"/>
    <n v="5"/>
    <x v="0"/>
    <x v="9"/>
  </r>
  <r>
    <s v="Shubha K"/>
    <s v="Manjunath R"/>
    <s v="Mehr Hashim"/>
    <s v="Varsha HR"/>
    <n v="2"/>
    <s v="C36240438"/>
    <x v="256"/>
    <n v="108333.33"/>
    <n v="25000"/>
    <s v="Airbus"/>
    <n v="5"/>
    <x v="5"/>
    <x v="10"/>
  </r>
  <r>
    <s v="Sneha G"/>
    <s v="Manjunath R"/>
    <s v="Mehr Hashim"/>
    <s v="Thammepalle Damodhar"/>
    <n v="2"/>
    <s v="C36240442"/>
    <x v="255"/>
    <n v="130000"/>
    <n v="30000"/>
    <s v="Airbus"/>
    <n v="5"/>
    <x v="5"/>
    <x v="10"/>
  </r>
  <r>
    <s v="Thriveni N"/>
    <s v="Priyakantha K"/>
    <s v="Prathap Sagar"/>
    <s v="Ankita Singh Sisodia"/>
    <n v="2"/>
    <s v="C36240454"/>
    <x v="242"/>
    <n v="30000"/>
    <n v="5000"/>
    <s v="Accenture_IDB"/>
    <n v="5"/>
    <x v="2"/>
    <x v="3"/>
  </r>
  <r>
    <s v="Sandipta Panigrahi"/>
    <s v="Mehr Hashim D"/>
    <s v="Mehr Hashim"/>
    <s v="Nihal Tahariya"/>
    <n v="4"/>
    <s v="O36240022"/>
    <x v="255"/>
    <n v="550000"/>
    <n v="341666.67"/>
    <s v="GE Healthcare Global Private Limited."/>
    <n v="5"/>
    <x v="5"/>
    <x v="10"/>
  </r>
  <r>
    <s v="Kavya c"/>
    <s v="Manjunath R"/>
    <s v="Mehr Hashim"/>
    <s v="Peddada Vijayakumari"/>
    <n v="2"/>
    <s v="C36240455"/>
    <x v="242"/>
    <n v="200000"/>
    <n v="25000"/>
    <s v="Schneider Electric"/>
    <n v="5"/>
    <x v="5"/>
    <x v="10"/>
  </r>
  <r>
    <s v="Gopinath S N"/>
    <s v="Mehr Hashim D"/>
    <s v="Mehr Hashim"/>
    <s v="Vinay Kumar"/>
    <n v="2"/>
    <s v="C36240441"/>
    <x v="255"/>
    <n v="84500"/>
    <n v="22000"/>
    <s v="Airbus"/>
    <n v="5"/>
    <x v="5"/>
    <x v="10"/>
  </r>
  <r>
    <s v="Bhargavi T R"/>
    <s v="Monisha RR"/>
    <s v="Akshata Nayak Non IT"/>
    <s v="Reshma  S"/>
    <n v="6"/>
    <s v="C36240467"/>
    <x v="242"/>
    <n v="37000"/>
    <n v="6166.67"/>
    <s v="HP"/>
    <n v="5"/>
    <x v="0"/>
    <x v="0"/>
  </r>
  <r>
    <s v="Poorvi Kundur"/>
    <s v="Monisha RR"/>
    <s v="Akshata Nayak Non IT"/>
    <s v="Hemashree  V"/>
    <n v="2"/>
    <s v="C36240456"/>
    <x v="242"/>
    <n v="65000"/>
    <n v="15000"/>
    <s v="Accenture-voice"/>
    <n v="5"/>
    <x v="0"/>
    <x v="9"/>
  </r>
  <r>
    <s v="Krishna Priya"/>
    <s v="Mehr Hashim D"/>
    <s v="Mehr Hashim"/>
    <s v="Balanagu S Krishna Chaitanya"/>
    <n v="2"/>
    <s v="C36240459"/>
    <x v="255"/>
    <n v="386400"/>
    <n v="53066.67"/>
    <s v="GE Healthcare Global Private Limited."/>
    <n v="5"/>
    <x v="5"/>
    <x v="10"/>
  </r>
  <r>
    <s v="Surabhi K"/>
    <s v="Mehr Hashim D"/>
    <s v="Mehr Hashim"/>
    <s v="Kizley Benedict"/>
    <n v="2"/>
    <s v="C36240460"/>
    <x v="255"/>
    <n v="344064"/>
    <n v="52397.33"/>
    <s v="Pure Storage"/>
    <n v="5"/>
    <x v="5"/>
    <x v="10"/>
  </r>
  <r>
    <s v="Sandipta Panigrahi"/>
    <s v="Mehr Hashim D"/>
    <s v="Mehr Hashim"/>
    <s v="Repala Shankar "/>
    <n v="2"/>
    <s v="C36240461"/>
    <x v="255"/>
    <n v="500000"/>
    <n v="275000"/>
    <s v="Analog Devices"/>
    <n v="5"/>
    <x v="5"/>
    <x v="10"/>
  </r>
  <r>
    <s v="Pawan SL"/>
    <s v="Santhosh G"/>
    <s v="karan lalchandani"/>
    <s v=" Marlapati Siva Koteswara Rao"/>
    <n v="2"/>
    <s v="C36240466"/>
    <x v="242"/>
    <n v="394800"/>
    <n v="86466.67"/>
    <s v="Koch Industries"/>
    <n v="5"/>
    <x v="2"/>
    <x v="2"/>
  </r>
  <r>
    <s v="Santhosh G"/>
    <s v="Karan Lalchandani"/>
    <s v="Saravanan P"/>
    <s v="M M Lochan  Prathap"/>
    <n v="1"/>
    <s v="C36240500"/>
    <x v="255"/>
    <n v="50400"/>
    <n v="7066.67"/>
    <s v="Koch Industries"/>
    <n v="5"/>
    <x v="2"/>
    <x v="2"/>
  </r>
  <r>
    <s v="Spoorthy C"/>
    <s v="Mehr Hashim D"/>
    <s v="Mehr Hashim"/>
    <s v="Ankur Dubey"/>
    <n v="4"/>
    <s v="O36240020"/>
    <x v="242"/>
    <n v="378000"/>
    <n v="186333.33"/>
    <s v="GE Healthcare Global Private Limited."/>
    <n v="5"/>
    <x v="5"/>
    <x v="10"/>
  </r>
  <r>
    <s v="Spoorthy C"/>
    <s v="Mehr Hashim D"/>
    <s v="Mehr Hashim"/>
    <s v="G Divya"/>
    <n v="2"/>
    <s v="C36240457"/>
    <x v="242"/>
    <n v="352800"/>
    <n v="144466.67000000001"/>
    <s v="GE Healthcare Global Private Limited."/>
    <n v="5"/>
    <x v="5"/>
    <x v="10"/>
  </r>
  <r>
    <s v="Spoorthy C"/>
    <s v="Mehr Hashim D"/>
    <s v="Mehr Hashim"/>
    <s v="Yogita Ganapathy"/>
    <n v="2"/>
    <s v="C36240458"/>
    <x v="242"/>
    <n v="302400"/>
    <n v="152400"/>
    <s v="GE Healthcare Global Private Limited."/>
    <n v="5"/>
    <x v="5"/>
    <x v="10"/>
  </r>
  <r>
    <s v="Tamilarasan S"/>
    <s v="Mehr Hashim D"/>
    <s v="Mehr Hashim"/>
    <s v="Lohit Kumar R"/>
    <n v="2"/>
    <s v="NULL"/>
    <x v="242"/>
    <n v="336000"/>
    <n v="27666.67"/>
    <s v="GE Healthcare Global Private Limited."/>
    <n v="5"/>
    <x v="5"/>
    <x v="10"/>
  </r>
  <r>
    <s v="Tamilarasan S"/>
    <s v="Mehr Hashim D"/>
    <s v="Mehr Hashim"/>
    <s v="Premanand"/>
    <n v="2"/>
    <s v="NULL"/>
    <x v="242"/>
    <n v="420000"/>
    <n v="186666.67"/>
    <s v="GE Healthcare Global Private Limited."/>
    <n v="5"/>
    <x v="5"/>
    <x v="10"/>
  </r>
  <r>
    <m/>
    <m/>
    <m/>
    <m/>
    <m/>
    <m/>
    <x v="257"/>
    <m/>
    <m/>
    <m/>
    <m/>
    <x v="9"/>
    <x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s v=" Lumen C2H"/>
    <s v="karan lalchandani"/>
    <x v="0"/>
    <s v="Menaka Prasad"/>
    <x v="0"/>
  </r>
  <r>
    <s v=" WSP"/>
    <s v="Vasudha Rao IT"/>
    <x v="1"/>
    <m/>
    <x v="1"/>
  </r>
  <r>
    <s v="ABB"/>
    <s v="Tarun Sareen"/>
    <x v="2"/>
    <s v="Pramod P"/>
    <x v="2"/>
  </r>
  <r>
    <s v="ABB Malaysia"/>
    <s v="Tarun Sareen"/>
    <x v="2"/>
    <s v="Pramod P"/>
    <x v="2"/>
  </r>
  <r>
    <s v="Accenture IDB2"/>
    <s v="Tarun Sareen"/>
    <x v="1"/>
    <s v="Dipika Saha"/>
    <x v="1"/>
  </r>
  <r>
    <s v="Accenture_BPO"/>
    <s v="Vasudha Rao Non IT"/>
    <x v="3"/>
    <s v="Prathyusha Mangalampalli"/>
    <x v="3"/>
  </r>
  <r>
    <s v="Accenture_IDB"/>
    <s v="Tarun Sareen"/>
    <x v="4"/>
    <s v="Archana B. K"/>
    <x v="2"/>
  </r>
  <r>
    <s v="Accenture_IDB_1"/>
    <s v="Tarun Sareen"/>
    <x v="4"/>
    <s v="Archana B. K"/>
    <x v="2"/>
  </r>
  <r>
    <s v="Accenture-voice"/>
    <s v="Vasudha Rao Non IT"/>
    <x v="3"/>
    <s v="Prathyusha Mangalampalli"/>
    <x v="3"/>
  </r>
  <r>
    <s v="Adobe"/>
    <s v="Sadhna Shukla"/>
    <x v="5"/>
    <s v="Manjunath R"/>
    <x v="4"/>
  </r>
  <r>
    <s v="Agility"/>
    <s v="Tarun Sareen"/>
    <x v="6"/>
    <s v="Tara VR"/>
    <x v="2"/>
  </r>
  <r>
    <s v="Airbus"/>
    <s v="Mher"/>
    <x v="7"/>
    <s v="Sandipta  P"/>
    <x v="4"/>
  </r>
  <r>
    <s v="Akkodis"/>
    <s v="Aashis Ranjan"/>
    <x v="8"/>
    <s v="Gourav Kumar"/>
    <x v="5"/>
  </r>
  <r>
    <s v="Alliance Data"/>
    <s v="Sadhna Shukla"/>
    <x v="9"/>
    <s v="Manjunath R"/>
    <x v="4"/>
  </r>
  <r>
    <s v="Amadeus Software"/>
    <s v="Vasudha Rao Non IT"/>
    <x v="3"/>
    <s v="Prathyusha Mangalampalli"/>
    <x v="3"/>
  </r>
  <r>
    <s v="Amadeus Software Labs"/>
    <s v="Anuradha"/>
    <x v="10"/>
    <s v="Anuradha"/>
    <x v="6"/>
  </r>
  <r>
    <s v="Amazon"/>
    <s v="Mher"/>
    <x v="7"/>
    <s v="Sandipta  P"/>
    <x v="4"/>
  </r>
  <r>
    <s v="Analog Devices"/>
    <s v="Mher"/>
    <x v="7"/>
    <s v="Sandipta  P"/>
    <x v="4"/>
  </r>
  <r>
    <s v="ANZ"/>
    <s v="karan lalchandani"/>
    <x v="11"/>
    <s v="Goutham Raj"/>
    <x v="0"/>
  </r>
  <r>
    <s v="ANZ OPS"/>
    <s v="karan lalchandani Non IT"/>
    <x v="11"/>
    <s v="Santhosh G"/>
    <x v="0"/>
  </r>
  <r>
    <s v="Aquent Global"/>
    <s v="Aashis Ranjan"/>
    <x v="8"/>
    <s v="Gourav Kumar"/>
    <x v="5"/>
  </r>
  <r>
    <s v="Atkins"/>
    <s v="karan lalchandani"/>
    <x v="0"/>
    <s v="Santhosh G"/>
    <x v="0"/>
  </r>
  <r>
    <s v="Axa Business Solutions"/>
    <s v="Tarun Sareen"/>
    <x v="12"/>
    <m/>
    <x v="2"/>
  </r>
  <r>
    <s v="Backbase"/>
    <s v="Sadhna Shukla"/>
    <x v="13"/>
    <s v="Aranza Dubey"/>
    <x v="4"/>
  </r>
  <r>
    <s v="Bharat Forge"/>
    <s v="Tarun Sareen"/>
    <x v="2"/>
    <m/>
    <x v="2"/>
  </r>
  <r>
    <s v="Black and Veatch"/>
    <s v="Sadhna Shukla"/>
    <x v="13"/>
    <s v="Aranza Dubey"/>
    <x v="4"/>
  </r>
  <r>
    <s v="BOSCH_COE"/>
    <s v="karan lalchandani"/>
    <x v="11"/>
    <s v="M Jagadish Kumar"/>
    <x v="0"/>
  </r>
  <r>
    <s v="Boston Scientific"/>
    <s v="Sadhna Shukla"/>
    <x v="9"/>
    <s v="Manjunath R"/>
    <x v="4"/>
  </r>
  <r>
    <s v="Bread Financial"/>
    <s v="Sadhna Shukla"/>
    <x v="9"/>
    <s v="Manjunath R"/>
    <x v="4"/>
  </r>
  <r>
    <s v="Bread Financials_Support"/>
    <s v="Sadhna Shukla"/>
    <x v="9"/>
    <s v="Manjunath R"/>
    <x v="4"/>
  </r>
  <r>
    <s v="BSH"/>
    <s v="karan lalchandani"/>
    <x v="11"/>
    <s v="M Jagadish Kumar"/>
    <x v="0"/>
  </r>
  <r>
    <s v="Capgemini LBS"/>
    <s v="Nirmit"/>
    <x v="1"/>
    <s v="Subhash Kumar"/>
    <x v="7"/>
  </r>
  <r>
    <s v="Capgemini- Permanent"/>
    <s v="Nirmit"/>
    <x v="1"/>
    <s v="Subhash Kumar"/>
    <x v="7"/>
  </r>
  <r>
    <s v="Capgemini_FC"/>
    <s v="Nirmit"/>
    <x v="1"/>
    <s v="Subhash Kumar"/>
    <x v="7"/>
  </r>
  <r>
    <s v="Capgemini-Bangalore"/>
    <s v="Nirmit"/>
    <x v="1"/>
    <s v="Subhash Kumar"/>
    <x v="7"/>
  </r>
  <r>
    <s v="Celestica"/>
    <s v="Sadhna Shukla"/>
    <x v="14"/>
    <s v="Manjunath R"/>
    <x v="1"/>
  </r>
  <r>
    <s v="CenturyLink Technologies India Pvt.Ltd"/>
    <s v="karan lalchandani"/>
    <x v="11"/>
    <m/>
    <x v="0"/>
  </r>
  <r>
    <s v="CH Robinson"/>
    <s v="Anuradha"/>
    <x v="10"/>
    <s v="Anuradha"/>
    <x v="6"/>
  </r>
  <r>
    <s v="Clean Harbors_ITES"/>
    <s v="Vasudha Rao Non IT"/>
    <x v="3"/>
    <s v="Prathyusha Mangalampalli"/>
    <x v="3"/>
  </r>
  <r>
    <s v="Cleartrip"/>
    <s v="Mher"/>
    <x v="7"/>
    <s v="Sandipta  P"/>
    <x v="4"/>
  </r>
  <r>
    <s v="Clovity"/>
    <s v="Aashis Ranjan"/>
    <x v="8"/>
    <s v="Gourav Kumar"/>
    <x v="5"/>
  </r>
  <r>
    <s v="CME"/>
    <s v="karan lalchandani"/>
    <x v="0"/>
    <s v="Santhosh G"/>
    <x v="0"/>
  </r>
  <r>
    <s v="CME_C2H"/>
    <s v="karan lalchandani"/>
    <x v="0"/>
    <s v="Santhosh G"/>
    <x v="0"/>
  </r>
  <r>
    <s v="Cognizant"/>
    <s v="Tarun Sareen"/>
    <x v="12"/>
    <s v="sandhya"/>
    <x v="2"/>
  </r>
  <r>
    <s v="Cognizant-FTE"/>
    <s v="Tarun Sareen"/>
    <x v="12"/>
    <s v="sandhya"/>
    <x v="8"/>
  </r>
  <r>
    <s v="Cohesity"/>
    <s v="Sadhna Shukla"/>
    <x v="9"/>
    <s v="Manjunath R"/>
    <x v="4"/>
  </r>
  <r>
    <s v="Consilio"/>
    <s v="Anuradha"/>
    <x v="10"/>
    <s v="Anuradha"/>
    <x v="6"/>
  </r>
  <r>
    <s v="Coupang"/>
    <s v="Mher"/>
    <x v="7"/>
    <s v="Sandipta  P"/>
    <x v="4"/>
  </r>
  <r>
    <s v="Cred"/>
    <s v="Sadhna Shukla"/>
    <x v="7"/>
    <s v="Sandipta  P"/>
    <x v="4"/>
  </r>
  <r>
    <s v="Cyient"/>
    <s v="0"/>
    <x v="1"/>
    <m/>
    <x v="1"/>
  </r>
  <r>
    <s v="Danfoss"/>
    <s v="Sadhna Shukla"/>
    <x v="9"/>
    <s v="Manjunath R"/>
    <x v="4"/>
  </r>
  <r>
    <s v="DataFlow Group"/>
    <s v="0"/>
    <x v="1"/>
    <s v="Manjunath R"/>
    <x v="4"/>
  </r>
  <r>
    <s v="DBS bank"/>
    <s v="karan lalchandani"/>
    <x v="11"/>
    <s v="Shilpa P"/>
    <x v="0"/>
  </r>
  <r>
    <s v="DE Shaw &amp; Co"/>
    <s v="Nirmit"/>
    <x v="15"/>
    <s v="Naveen Goud/Harika"/>
    <x v="7"/>
  </r>
  <r>
    <s v="Decathlon"/>
    <s v="Tarun Sareen"/>
    <x v="2"/>
    <s v="Tara VR"/>
    <x v="0"/>
  </r>
  <r>
    <s v="Deloitee Touche"/>
    <s v="Nirmit"/>
    <x v="16"/>
    <s v="Arun Jyothi M"/>
    <x v="7"/>
  </r>
  <r>
    <s v="Deloitte"/>
    <s v="Nirmit"/>
    <x v="16"/>
    <s v="Arun Jyothi M"/>
    <x v="7"/>
  </r>
  <r>
    <s v="Deloitte - Advisory"/>
    <s v="Nirmit"/>
    <x v="16"/>
    <s v="Arun Jyothi M"/>
    <x v="7"/>
  </r>
  <r>
    <s v="Deloitte - MemberFirms"/>
    <s v="Nirmit"/>
    <x v="16"/>
    <s v="Arun Jyothi M"/>
    <x v="7"/>
  </r>
  <r>
    <s v="Deloitte Contract"/>
    <s v="Nirmit"/>
    <x v="16"/>
    <s v="Arun Jyothi M"/>
    <x v="7"/>
  </r>
  <r>
    <s v="Deloitte India"/>
    <s v="Nirmit"/>
    <x v="16"/>
    <s v="Arun Jyothi M"/>
    <x v="7"/>
  </r>
  <r>
    <s v="Deloitte_COE"/>
    <s v="Nirmit"/>
    <x v="16"/>
    <s v="Arun Jyothi M"/>
    <x v="7"/>
  </r>
  <r>
    <s v="Deloitte_Consulting"/>
    <s v="Nirmit"/>
    <x v="16"/>
    <s v="Arun Jyothi M"/>
    <x v="7"/>
  </r>
  <r>
    <s v="Deloitte_HTD"/>
    <s v="Nirmit"/>
    <x v="16"/>
    <s v="Arun Jyothi M"/>
    <x v="7"/>
  </r>
  <r>
    <s v="Deloitte_LD"/>
    <s v="Nirmit"/>
    <x v="16"/>
    <s v="Arun Jyothi M"/>
    <x v="7"/>
  </r>
  <r>
    <s v="Deloitte_Support"/>
    <s v="Nirmit"/>
    <x v="16"/>
    <s v="Arun Jyothi M"/>
    <x v="7"/>
  </r>
  <r>
    <s v="Deloitte-One Tech"/>
    <s v="Nirmit"/>
    <x v="16"/>
    <s v="Arun Jyothi M"/>
    <x v="7"/>
  </r>
  <r>
    <s v="Dentsu"/>
    <s v="Nirmit"/>
    <x v="15"/>
    <s v="Hemang/Ferderick"/>
    <x v="7"/>
  </r>
  <r>
    <s v="Diebold Nixdorf"/>
    <s v="Nirmit"/>
    <x v="17"/>
    <m/>
    <x v="7"/>
  </r>
  <r>
    <s v="DTICI"/>
    <s v="karan lalchandani"/>
    <x v="18"/>
    <s v="Santhosh G"/>
    <x v="0"/>
  </r>
  <r>
    <s v="DXC"/>
    <s v="Vasudha Rao IT"/>
    <x v="19"/>
    <s v="Tamil C"/>
    <x v="9"/>
  </r>
  <r>
    <s v="DXC - Philippines"/>
    <s v="Nirmit"/>
    <x v="20"/>
    <s v="Pramod P"/>
    <x v="7"/>
  </r>
  <r>
    <s v="DXC _FTE"/>
    <s v="Vasudha Rao IT"/>
    <x v="19"/>
    <s v="Tamil C"/>
    <x v="9"/>
  </r>
  <r>
    <s v="DXC Technologies â€“ SGP"/>
    <s v="Vasudha Rao IT"/>
    <x v="19"/>
    <s v="Tamil C"/>
    <x v="9"/>
  </r>
  <r>
    <s v="Ecolabs"/>
    <s v="Sadhna Shukla"/>
    <x v="14"/>
    <s v="Goutham Raj"/>
    <x v="4"/>
  </r>
  <r>
    <s v="EdgeVerve"/>
    <s v="Tarun Sareen"/>
    <x v="12"/>
    <s v="sandhya"/>
    <x v="2"/>
  </r>
  <r>
    <s v="Ellucian"/>
    <s v="Anuradha"/>
    <x v="10"/>
    <s v="Anuradha"/>
    <x v="6"/>
  </r>
  <r>
    <s v="EPAM Systems"/>
    <s v="Nirmit"/>
    <x v="17"/>
    <m/>
    <x v="7"/>
  </r>
  <r>
    <s v="Everest Group"/>
    <s v="karan lalchandani"/>
    <x v="11"/>
    <s v="Goutham Raj"/>
    <x v="0"/>
  </r>
  <r>
    <s v="EY"/>
    <s v="Nirmit"/>
    <x v="21"/>
    <s v="Subhash Kumar"/>
    <x v="7"/>
  </r>
  <r>
    <s v="EY payroll"/>
    <s v="Nirmit Non IT"/>
    <x v="21"/>
    <s v="Subhash Kumar"/>
    <x v="7"/>
  </r>
  <r>
    <s v="EY-GDS"/>
    <s v="Nirmit"/>
    <x v="21"/>
    <s v="Subhash Kumar"/>
    <x v="7"/>
  </r>
  <r>
    <s v="EY-IT"/>
    <s v="Nirmit"/>
    <x v="21"/>
    <s v="Subhash Kumar"/>
    <x v="7"/>
  </r>
  <r>
    <s v="fintellix"/>
    <s v="Anuradha"/>
    <x v="10"/>
    <s v="Anuradha"/>
    <x v="6"/>
  </r>
  <r>
    <s v="Flipkart"/>
    <s v="Mher"/>
    <x v="7"/>
    <s v="Sandipta  P"/>
    <x v="4"/>
  </r>
  <r>
    <s v="Fluence Energy"/>
    <s v="Tarun Sareen"/>
    <x v="2"/>
    <s v="Archana B. K"/>
    <x v="2"/>
  </r>
  <r>
    <s v="FLUENCE ENERGY - PAYROLL"/>
    <s v="Vasudha Rao IT"/>
    <x v="1"/>
    <m/>
    <x v="9"/>
  </r>
  <r>
    <s v="Fortinet"/>
    <s v="Sadhna Shukla"/>
    <x v="22"/>
    <s v="Tamil C"/>
    <x v="1"/>
  </r>
  <r>
    <s v="GE Healthcare Global Private Limited."/>
    <s v="Mher"/>
    <x v="7"/>
    <s v="Sandipta  P"/>
    <x v="4"/>
  </r>
  <r>
    <s v="Genpact"/>
    <s v="Vasudha Rao IT"/>
    <x v="1"/>
    <m/>
    <x v="9"/>
  </r>
  <r>
    <s v="Google"/>
    <s v="Mher"/>
    <x v="7"/>
    <s v="Sandipta  P"/>
    <x v="4"/>
  </r>
  <r>
    <s v="Grant Thornton"/>
    <s v="karan lalchandani"/>
    <x v="18"/>
    <s v="Santhosh G"/>
    <x v="0"/>
  </r>
  <r>
    <s v="Grant Thornton payroll"/>
    <s v="karan lalchandani Non IT"/>
    <x v="11"/>
    <s v="Santhosh G"/>
    <x v="0"/>
  </r>
  <r>
    <s v="H&amp;R Block"/>
    <s v="Anuradha"/>
    <x v="10"/>
    <s v="Anuradha"/>
    <x v="6"/>
  </r>
  <r>
    <s v="Hanker_US"/>
    <s v="Aashis Ranjan"/>
    <x v="8"/>
    <s v="Gourav Kumar"/>
    <x v="5"/>
  </r>
  <r>
    <s v="Harman"/>
    <s v="Vasudha Rao IT"/>
    <x v="19"/>
    <s v="Tamil C"/>
    <x v="9"/>
  </r>
  <r>
    <s v="Harman Non IT"/>
    <s v="Vasudha Rao IT"/>
    <x v="19"/>
    <s v="Tamil C"/>
    <x v="9"/>
  </r>
  <r>
    <s v="Harman_Bangalore"/>
    <s v="Vasudha Rao IT"/>
    <x v="19"/>
    <s v="Tamil C"/>
    <x v="9"/>
  </r>
  <r>
    <s v="Harman_Payroll"/>
    <s v="Vasudha Rao IT"/>
    <x v="19"/>
    <s v="Tamil C"/>
    <x v="3"/>
  </r>
  <r>
    <s v="HCL"/>
    <s v="0"/>
    <x v="1"/>
    <m/>
    <x v="1"/>
  </r>
  <r>
    <s v="Hinge Health"/>
    <s v="Mher"/>
    <x v="7"/>
    <s v="Sandipta  P"/>
    <x v="4"/>
  </r>
  <r>
    <s v="HP"/>
    <s v="Vasudha Rao Non IT"/>
    <x v="23"/>
    <s v="Monisha R"/>
    <x v="3"/>
  </r>
  <r>
    <s v="HP- drubhajoythi"/>
    <s v="Vasudha Rao Non IT"/>
    <x v="23"/>
    <s v="Monisha R"/>
    <x v="3"/>
  </r>
  <r>
    <s v="HP_Subramanya"/>
    <s v="Vasudha Rao Non IT"/>
    <x v="23"/>
    <s v="Monisha R"/>
    <x v="3"/>
  </r>
  <r>
    <s v="HP-samerndra"/>
    <s v="Vasudha Rao Non IT"/>
    <x v="23"/>
    <s v="Monisha R"/>
    <x v="3"/>
  </r>
  <r>
    <s v="IBM -Mercedes"/>
    <s v="Vasudha Rao IT"/>
    <x v="1"/>
    <m/>
    <x v="1"/>
  </r>
  <r>
    <s v="Incture"/>
    <s v="Sadhna Shukla"/>
    <x v="14"/>
    <m/>
    <x v="4"/>
  </r>
  <r>
    <s v="Infinx Manila"/>
    <s v="karan lalchandani Non IT"/>
    <x v="20"/>
    <s v="Pramod P"/>
    <x v="0"/>
  </r>
  <r>
    <s v="Infinx_Champ"/>
    <s v="karan lalchandani"/>
    <x v="0"/>
    <s v="Santhosh G"/>
    <x v="0"/>
  </r>
  <r>
    <s v="Infinx_US"/>
    <s v="Aashis Ranjan Non IT"/>
    <x v="8"/>
    <s v="Gourav Kumar"/>
    <x v="5"/>
  </r>
  <r>
    <s v="Infosys 3"/>
    <s v="Tarun Sareen"/>
    <x v="1"/>
    <m/>
    <x v="1"/>
  </r>
  <r>
    <s v="Infosys ADM"/>
    <s v="Tarun Sareen"/>
    <x v="24"/>
    <s v="Chiranjeev Desai"/>
    <x v="2"/>
  </r>
  <r>
    <s v="Infosys CIS"/>
    <s v="Tarun Sareen"/>
    <x v="6"/>
    <s v="Gunupati Reddy"/>
    <x v="2"/>
  </r>
  <r>
    <s v="Infosys Consulting"/>
    <s v="Tarun Sareen"/>
    <x v="6"/>
    <s v="Gunupati Reddy"/>
    <x v="2"/>
  </r>
  <r>
    <s v="Infosys IVS"/>
    <s v="Tarun Sareen"/>
    <x v="12"/>
    <s v="Justin Dsilva"/>
    <x v="2"/>
  </r>
  <r>
    <s v="Infosys Oracle"/>
    <s v="Tarun Sareen"/>
    <x v="6"/>
    <s v="Gunupati Reddy"/>
    <x v="1"/>
  </r>
  <r>
    <s v="Infosys SAP"/>
    <s v="Tarun Sareen"/>
    <x v="6"/>
    <s v="Gunupati Reddy"/>
    <x v="2"/>
  </r>
  <r>
    <s v="Infosys_4"/>
    <s v="Tarun Sareen"/>
    <x v="6"/>
    <s v="Tara VR"/>
    <x v="2"/>
  </r>
  <r>
    <s v="Infosys_DNA"/>
    <s v="Tarun Sareen"/>
    <x v="12"/>
    <s v="Aamir"/>
    <x v="2"/>
  </r>
  <r>
    <s v="Infosys_DX"/>
    <s v="Tarun Sareen"/>
    <x v="6"/>
    <s v="Gunupati Reddy"/>
    <x v="2"/>
  </r>
  <r>
    <s v="Infosys_US"/>
    <s v="Aashis Ranjan"/>
    <x v="8"/>
    <s v="Gourav Kumar"/>
    <x v="5"/>
  </r>
  <r>
    <s v="Infosys-FTE"/>
    <s v="Tarun Sareen"/>
    <x v="6"/>
    <s v="Gunupati Reddy"/>
    <x v="2"/>
  </r>
  <r>
    <s v="Infosys-India Pvt Ltd"/>
    <s v="Tarun Sareen"/>
    <x v="12"/>
    <s v="Sushma H"/>
    <x v="2"/>
  </r>
  <r>
    <s v="Infosys-Microsoft"/>
    <s v="Tarun Sareen"/>
    <x v="1"/>
    <m/>
    <x v="1"/>
  </r>
  <r>
    <s v="JLL"/>
    <s v="karan lalchandani"/>
    <x v="11"/>
    <s v="Shilpa P"/>
    <x v="0"/>
  </r>
  <r>
    <s v="JLL Routing"/>
    <s v="karan lalchandani"/>
    <x v="11"/>
    <s v="Shilpa P"/>
    <x v="0"/>
  </r>
  <r>
    <s v="Johnson Electric"/>
    <s v="Sadhna Shukla"/>
    <x v="9"/>
    <s v="Manjunath R"/>
    <x v="4"/>
  </r>
  <r>
    <s v="JoulestoWatts Business Solutions Pvt Ltd"/>
    <s v="Shruti Baruah"/>
    <x v="25"/>
    <s v="Shruti Baruah"/>
    <x v="10"/>
  </r>
  <r>
    <s v="Kennametal IT"/>
    <s v="Vasudha Rao IT"/>
    <x v="1"/>
    <m/>
    <x v="1"/>
  </r>
  <r>
    <s v="Kennametal shared services"/>
    <s v="Vasudha Rao Non IT"/>
    <x v="1"/>
    <m/>
    <x v="1"/>
  </r>
  <r>
    <s v="Kent Engineering India Pvt Ltd"/>
    <s v="Nirmit"/>
    <x v="17"/>
    <s v="Naveen Goud"/>
    <x v="7"/>
  </r>
  <r>
    <s v="Kimberly clark"/>
    <s v="Nirmit"/>
    <x v="1"/>
    <m/>
    <x v="7"/>
  </r>
  <r>
    <s v="Kimberly Clark"/>
    <s v="Nirmit"/>
    <x v="15"/>
    <s v="Dikshita Sehgal"/>
    <x v="7"/>
  </r>
  <r>
    <s v="KMART"/>
    <s v="Vasudha Rao IT"/>
    <x v="1"/>
    <m/>
    <x v="9"/>
  </r>
  <r>
    <s v="Koch Industries"/>
    <s v="karan lalchandani"/>
    <x v="0"/>
    <s v="Santhosh G"/>
    <x v="0"/>
  </r>
  <r>
    <s v="KOCH_COE"/>
    <s v="karan lalchandani"/>
    <x v="0"/>
    <s v="Santhosh G"/>
    <x v="0"/>
  </r>
  <r>
    <s v="kyndryl"/>
    <s v="Tarun Sareen"/>
    <x v="4"/>
    <s v="Archana B. K"/>
    <x v="2"/>
  </r>
  <r>
    <s v="L&amp;T"/>
    <s v="Nirmit"/>
    <x v="15"/>
    <s v="Hemang/Ferderick"/>
    <x v="7"/>
  </r>
  <r>
    <s v="L&amp;T-Cont"/>
    <s v="Nirmit"/>
    <x v="15"/>
    <s v="Hemang/Ferderick"/>
    <x v="7"/>
  </r>
  <r>
    <s v="Lam Research"/>
    <s v="Sadhna Shukla"/>
    <x v="13"/>
    <m/>
    <x v="4"/>
  </r>
  <r>
    <s v="Lenovo"/>
    <s v="Vasudha Rao Non IT"/>
    <x v="3"/>
    <s v="Prathyusha Mangalampalli"/>
    <x v="3"/>
  </r>
  <r>
    <s v="Lenovo 2"/>
    <s v="Vasudha Rao Non IT"/>
    <x v="3"/>
    <s v="Prathyusha Mangalampalli"/>
    <x v="3"/>
  </r>
  <r>
    <s v="Lowes"/>
    <s v="Mher"/>
    <x v="7"/>
    <s v="Sandipta  P"/>
    <x v="4"/>
  </r>
  <r>
    <s v="LTTS China"/>
    <s v="Nirmit"/>
    <x v="15"/>
    <m/>
    <x v="7"/>
  </r>
  <r>
    <s v="Lumen"/>
    <s v="karan lalchandani"/>
    <x v="0"/>
    <s v="Menaka Prasad"/>
    <x v="0"/>
  </r>
  <r>
    <s v="Lumen routing "/>
    <s v="karan lalchandani Non IT"/>
    <x v="0"/>
    <s v="Menaka Prasad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s v=" Lumen C2H"/>
    <s v="karan lalchandani"/>
    <x v="0"/>
    <s v="Menaka Prasad"/>
    <s v="Champions"/>
  </r>
  <r>
    <s v=" WSP"/>
    <s v="Vasudha Rao IT"/>
    <x v="1"/>
    <m/>
    <m/>
  </r>
  <r>
    <s v="ABB"/>
    <s v="Tarun Sareen"/>
    <x v="2"/>
    <s v="Pramod P"/>
    <s v="Catalyst"/>
  </r>
  <r>
    <s v="ABB Malaysia"/>
    <s v="Tarun Sareen"/>
    <x v="2"/>
    <s v="Pramod P"/>
    <s v="Catalyst"/>
  </r>
  <r>
    <s v="Accenture IDB2"/>
    <s v="Tarun Sareen"/>
    <x v="1"/>
    <s v="Dipika Saha"/>
    <m/>
  </r>
  <r>
    <s v="Accenture_BPO"/>
    <s v="Vasudha Rao Non IT"/>
    <x v="3"/>
    <s v="Prathyusha Mangalampalli"/>
    <s v="Avengers"/>
  </r>
  <r>
    <s v="Accenture_IDB"/>
    <s v="Tarun Sareen"/>
    <x v="4"/>
    <s v="Archana B. K"/>
    <s v="Catalyst"/>
  </r>
  <r>
    <s v="Accenture_IDB_1"/>
    <s v="Tarun Sareen"/>
    <x v="4"/>
    <s v="Archana B. K"/>
    <s v="Catalyst"/>
  </r>
  <r>
    <s v="Accenture-voice"/>
    <s v="Vasudha Rao Non IT"/>
    <x v="3"/>
    <s v="Prathyusha Mangalampalli"/>
    <s v="Avengers"/>
  </r>
  <r>
    <s v="Adobe"/>
    <s v="Sadhna Shukla"/>
    <x v="5"/>
    <s v="Manjunath R"/>
    <s v="Voyagers"/>
  </r>
  <r>
    <s v="Agility"/>
    <s v="Tarun Sareen"/>
    <x v="6"/>
    <s v="Tara VR"/>
    <s v="Catalyst"/>
  </r>
  <r>
    <s v="Airbus"/>
    <s v="Mher"/>
    <x v="7"/>
    <s v="Sandipta  P"/>
    <s v="Voyagers"/>
  </r>
  <r>
    <s v="Akkodis"/>
    <s v="Aashis Ranjan"/>
    <x v="8"/>
    <s v="Gourav Kumar"/>
    <s v="Honey Badgers"/>
  </r>
  <r>
    <s v="Alliance Data"/>
    <s v="Sadhna Shukla"/>
    <x v="9"/>
    <s v="Manjunath R"/>
    <s v="Voyagers"/>
  </r>
  <r>
    <s v="Amadeus Software"/>
    <s v="Vasudha Rao Non IT"/>
    <x v="3"/>
    <s v="Prathyusha Mangalampalli"/>
    <s v="Avengers"/>
  </r>
  <r>
    <s v="Amadeus Software Labs"/>
    <s v="Anuradha"/>
    <x v="10"/>
    <s v="Anuradha"/>
    <s v="Anuradha"/>
  </r>
  <r>
    <s v="Amazon"/>
    <s v="Mher"/>
    <x v="7"/>
    <s v="Sandipta  P"/>
    <s v="Voyagers"/>
  </r>
  <r>
    <s v="Analog Devices"/>
    <s v="Mher"/>
    <x v="7"/>
    <s v="Sandipta  P"/>
    <s v="Voyagers"/>
  </r>
  <r>
    <s v="ANZ"/>
    <s v="karan lalchandani"/>
    <x v="11"/>
    <s v="Goutham Raj"/>
    <s v="Champions"/>
  </r>
  <r>
    <s v="ANZ OPS"/>
    <s v="karan lalchandani Non IT"/>
    <x v="11"/>
    <s v="Santhosh G"/>
    <s v="Champions"/>
  </r>
  <r>
    <s v="Aquent Global"/>
    <s v="Aashis Ranjan"/>
    <x v="8"/>
    <s v="Gourav Kumar"/>
    <s v="Honey Badgers"/>
  </r>
  <r>
    <s v="Atkins"/>
    <s v="karan lalchandani"/>
    <x v="0"/>
    <s v="Santhosh G"/>
    <s v="Champions"/>
  </r>
  <r>
    <s v="Axa Business Solutions"/>
    <s v="Tarun Sareen"/>
    <x v="12"/>
    <m/>
    <s v="Catalyst"/>
  </r>
  <r>
    <s v="Backbase"/>
    <s v="Sadhna Shukla"/>
    <x v="13"/>
    <s v="Aranza Dubey"/>
    <s v="Voyagers"/>
  </r>
  <r>
    <s v="Bharat Forge"/>
    <s v="Tarun Sareen"/>
    <x v="2"/>
    <m/>
    <s v="Catalyst"/>
  </r>
  <r>
    <s v="Black and Veatch"/>
    <s v="Sadhna Shukla"/>
    <x v="13"/>
    <s v="Aranza Dubey"/>
    <s v="Voyagers"/>
  </r>
  <r>
    <s v="BOSCH_COE"/>
    <s v="karan lalchandani"/>
    <x v="11"/>
    <s v="M Jagadish Kumar"/>
    <s v="Champions"/>
  </r>
  <r>
    <s v="Boston Scientific"/>
    <s v="Sadhna Shukla"/>
    <x v="9"/>
    <s v="Manjunath R"/>
    <s v="Voyagers"/>
  </r>
  <r>
    <s v="Bread Financial"/>
    <s v="Sadhna Shukla"/>
    <x v="9"/>
    <s v="Manjunath R"/>
    <s v="Voyagers"/>
  </r>
  <r>
    <s v="Bread Financials_Support"/>
    <s v="Sadhna Shukla"/>
    <x v="9"/>
    <s v="Manjunath R"/>
    <s v="Voyagers"/>
  </r>
  <r>
    <s v="BSH"/>
    <s v="karan lalchandani"/>
    <x v="11"/>
    <s v="M Jagadish Kumar"/>
    <s v="Champions"/>
  </r>
  <r>
    <s v="Capgemini LBS"/>
    <s v="Nirmit"/>
    <x v="1"/>
    <s v="Subhash Kumar"/>
    <s v="Nirmit"/>
  </r>
  <r>
    <s v="Capgemini- Permanent"/>
    <s v="Nirmit"/>
    <x v="1"/>
    <s v="Subhash Kumar"/>
    <s v="Nirmit"/>
  </r>
  <r>
    <s v="Capgemini_FC"/>
    <s v="Nirmit"/>
    <x v="1"/>
    <s v="Subhash Kumar"/>
    <s v="Nirmit"/>
  </r>
  <r>
    <s v="Capgemini-Bangalore"/>
    <s v="Nirmit"/>
    <x v="1"/>
    <s v="Subhash Kumar"/>
    <s v="Nirmit"/>
  </r>
  <r>
    <s v="Celestica"/>
    <s v="Sadhna Shukla"/>
    <x v="14"/>
    <s v="Manjunath R"/>
    <m/>
  </r>
  <r>
    <s v="CenturyLink Technologies India Pvt.Ltd"/>
    <s v="karan lalchandani"/>
    <x v="11"/>
    <m/>
    <s v="Champions"/>
  </r>
  <r>
    <s v="CH Robinson"/>
    <s v="Anuradha"/>
    <x v="10"/>
    <s v="Anuradha"/>
    <s v="Anuradha"/>
  </r>
  <r>
    <s v="Clean Harbors_ITES"/>
    <s v="Vasudha Rao Non IT"/>
    <x v="3"/>
    <s v="Prathyusha Mangalampalli"/>
    <s v="Avengers"/>
  </r>
  <r>
    <s v="Cleartrip"/>
    <s v="Mher"/>
    <x v="7"/>
    <s v="Sandipta  P"/>
    <s v="Voyagers"/>
  </r>
  <r>
    <s v="Clovity"/>
    <s v="Aashis Ranjan"/>
    <x v="8"/>
    <s v="Gourav Kumar"/>
    <s v="Honey Badgers"/>
  </r>
  <r>
    <s v="CME"/>
    <s v="karan lalchandani"/>
    <x v="0"/>
    <s v="Santhosh G"/>
    <s v="Champions"/>
  </r>
  <r>
    <s v="CME_C2H"/>
    <s v="karan lalchandani"/>
    <x v="0"/>
    <s v="Santhosh G"/>
    <s v="Champions"/>
  </r>
  <r>
    <s v="Cognizant"/>
    <s v="Tarun Sareen"/>
    <x v="12"/>
    <s v="sandhya"/>
    <s v="Catalyst"/>
  </r>
  <r>
    <s v="Cognizant-FTE"/>
    <s v="Tarun Sareen"/>
    <x v="12"/>
    <s v="sandhya"/>
    <s v="Perm-Falcons"/>
  </r>
  <r>
    <s v="Cohesity"/>
    <s v="Sadhna Shukla"/>
    <x v="9"/>
    <s v="Manjunath R"/>
    <s v="Voyagers"/>
  </r>
  <r>
    <s v="Consilio"/>
    <s v="Anuradha"/>
    <x v="10"/>
    <s v="Anuradha"/>
    <s v="Anuradha"/>
  </r>
  <r>
    <s v="Coupang"/>
    <s v="Mher"/>
    <x v="7"/>
    <s v="Sandipta  P"/>
    <s v="Voyagers"/>
  </r>
  <r>
    <s v="Cred"/>
    <s v="Sadhna Shukla"/>
    <x v="7"/>
    <s v="Sandipta  P"/>
    <s v="Voyagers"/>
  </r>
  <r>
    <s v="Cyient"/>
    <s v="0"/>
    <x v="1"/>
    <m/>
    <m/>
  </r>
  <r>
    <s v="Danfoss"/>
    <s v="Sadhna Shukla"/>
    <x v="9"/>
    <s v="Manjunath R"/>
    <s v="Voyagers"/>
  </r>
  <r>
    <s v="DataFlow Group"/>
    <s v="0"/>
    <x v="1"/>
    <s v="Manjunath R"/>
    <s v="Voyagers"/>
  </r>
  <r>
    <s v="DBS bank"/>
    <s v="karan lalchandani"/>
    <x v="11"/>
    <s v="Shilpa P"/>
    <s v="Champions"/>
  </r>
  <r>
    <s v="DE Shaw &amp; Co"/>
    <s v="Nirmit"/>
    <x v="15"/>
    <s v="Naveen Goud/Harika"/>
    <s v="Nirmit"/>
  </r>
  <r>
    <s v="Decathlon"/>
    <s v="Tarun Sareen"/>
    <x v="2"/>
    <s v="Tara VR"/>
    <s v="Champions"/>
  </r>
  <r>
    <s v="Deloitee Touche"/>
    <s v="Nirmit"/>
    <x v="16"/>
    <s v="Arun Jyothi M"/>
    <s v="Nirmit"/>
  </r>
  <r>
    <s v="Deloitte"/>
    <s v="Nirmit"/>
    <x v="16"/>
    <s v="Arun Jyothi M"/>
    <s v="Nirmit"/>
  </r>
  <r>
    <s v="Deloitte - Advisory"/>
    <s v="Nirmit"/>
    <x v="16"/>
    <s v="Arun Jyothi M"/>
    <s v="Nirmit"/>
  </r>
  <r>
    <s v="Deloitte - MemberFirms"/>
    <s v="Nirmit"/>
    <x v="16"/>
    <s v="Arun Jyothi M"/>
    <s v="Nirmit"/>
  </r>
  <r>
    <s v="Deloitte Contract"/>
    <s v="Nirmit"/>
    <x v="16"/>
    <s v="Arun Jyothi M"/>
    <s v="Nirmit"/>
  </r>
  <r>
    <s v="Deloitte India"/>
    <s v="Nirmit"/>
    <x v="16"/>
    <s v="Arun Jyothi M"/>
    <s v="Nirmit"/>
  </r>
  <r>
    <s v="Deloitte_COE"/>
    <s v="Nirmit"/>
    <x v="16"/>
    <s v="Arun Jyothi M"/>
    <s v="Nirmit"/>
  </r>
  <r>
    <s v="Deloitte_Consulting"/>
    <s v="Nirmit"/>
    <x v="16"/>
    <s v="Arun Jyothi M"/>
    <s v="Nirmit"/>
  </r>
  <r>
    <s v="Deloitte_HTD"/>
    <s v="Nirmit"/>
    <x v="16"/>
    <s v="Arun Jyothi M"/>
    <s v="Nirmit"/>
  </r>
  <r>
    <s v="Deloitte_LD"/>
    <s v="Nirmit"/>
    <x v="16"/>
    <s v="Arun Jyothi M"/>
    <s v="Nirmit"/>
  </r>
  <r>
    <s v="Deloitte_Support"/>
    <s v="Nirmit"/>
    <x v="16"/>
    <s v="Arun Jyothi M"/>
    <s v="Nirmit"/>
  </r>
  <r>
    <s v="Deloitte-One Tech"/>
    <s v="Nirmit"/>
    <x v="16"/>
    <s v="Arun Jyothi M"/>
    <s v="Nirmit"/>
  </r>
  <r>
    <s v="Dentsu"/>
    <s v="Nirmit"/>
    <x v="15"/>
    <s v="Hemang/Ferderick"/>
    <s v="Nirmit"/>
  </r>
  <r>
    <s v="Diebold Nixdorf"/>
    <s v="Nirmit"/>
    <x v="17"/>
    <m/>
    <s v="Nirmit"/>
  </r>
  <r>
    <s v="DTICI"/>
    <s v="karan lalchandani"/>
    <x v="18"/>
    <s v="Santhosh G"/>
    <s v="Champions"/>
  </r>
  <r>
    <s v="DXC"/>
    <s v="Vasudha Rao IT"/>
    <x v="19"/>
    <s v="Tamil C"/>
    <s v="Acers"/>
  </r>
  <r>
    <s v="DXC - Philippines"/>
    <s v="Nirmit"/>
    <x v="20"/>
    <s v="Pramod P"/>
    <s v="Nirmit"/>
  </r>
  <r>
    <s v="DXC _FTE"/>
    <s v="Vasudha Rao IT"/>
    <x v="19"/>
    <s v="Tamil C"/>
    <s v="Acers"/>
  </r>
  <r>
    <s v="DXC Technologies â€“ SGP"/>
    <s v="Vasudha Rao IT"/>
    <x v="19"/>
    <s v="Tamil C"/>
    <s v="Acers"/>
  </r>
  <r>
    <s v="Ecolabs"/>
    <s v="Sadhna Shukla"/>
    <x v="14"/>
    <s v="Goutham Raj"/>
    <s v="Voyagers"/>
  </r>
  <r>
    <s v="EdgeVerve"/>
    <s v="Tarun Sareen"/>
    <x v="12"/>
    <s v="sandhya"/>
    <s v="Catalyst"/>
  </r>
  <r>
    <s v="Ellucian"/>
    <s v="Anuradha"/>
    <x v="10"/>
    <s v="Anuradha"/>
    <s v="Anuradha"/>
  </r>
  <r>
    <s v="EPAM Systems"/>
    <s v="Nirmit"/>
    <x v="17"/>
    <m/>
    <s v="Nirmit"/>
  </r>
  <r>
    <s v="Everest Group"/>
    <s v="karan lalchandani"/>
    <x v="11"/>
    <s v="Goutham Raj"/>
    <s v="Champions"/>
  </r>
  <r>
    <s v="EY"/>
    <s v="Nirmit"/>
    <x v="21"/>
    <s v="Subhash Kumar"/>
    <s v="Nirmit"/>
  </r>
  <r>
    <s v="EY payroll"/>
    <s v="Nirmit Non IT"/>
    <x v="21"/>
    <s v="Subhash Kumar"/>
    <s v="Nirmit"/>
  </r>
  <r>
    <s v="EY-GDS"/>
    <s v="Nirmit"/>
    <x v="21"/>
    <s v="Subhash Kumar"/>
    <s v="Nirmit"/>
  </r>
  <r>
    <s v="EY-IT"/>
    <s v="Nirmit"/>
    <x v="21"/>
    <s v="Subhash Kumar"/>
    <s v="Nirmit"/>
  </r>
  <r>
    <s v="fintellix"/>
    <s v="Anuradha"/>
    <x v="10"/>
    <s v="Anuradha"/>
    <s v="Anuradha"/>
  </r>
  <r>
    <s v="Flipkart"/>
    <s v="Mher"/>
    <x v="7"/>
    <s v="Sandipta  P"/>
    <s v="Voyagers"/>
  </r>
  <r>
    <s v="Fluence Energy"/>
    <s v="Tarun Sareen"/>
    <x v="2"/>
    <s v="Archana B. K"/>
    <s v="Catalyst"/>
  </r>
  <r>
    <s v="FLUENCE ENERGY - PAYROLL"/>
    <s v="Vasudha Rao IT"/>
    <x v="1"/>
    <m/>
    <s v="Acers"/>
  </r>
  <r>
    <s v="Fortinet"/>
    <s v="Sadhna Shukla"/>
    <x v="22"/>
    <s v="Tamil C"/>
    <m/>
  </r>
  <r>
    <s v="GE Healthcare Global Private Limited."/>
    <s v="Mher"/>
    <x v="7"/>
    <s v="Sandipta  P"/>
    <s v="Voyagers"/>
  </r>
  <r>
    <s v="Genpact"/>
    <s v="Vasudha Rao IT"/>
    <x v="1"/>
    <m/>
    <s v="Acers"/>
  </r>
  <r>
    <s v="Google"/>
    <s v="Mher"/>
    <x v="7"/>
    <s v="Sandipta  P"/>
    <s v="Voyagers"/>
  </r>
  <r>
    <s v="Grant Thornton"/>
    <s v="karan lalchandani"/>
    <x v="18"/>
    <s v="Santhosh G"/>
    <s v="Champions"/>
  </r>
  <r>
    <s v="Grant Thornton payroll"/>
    <s v="karan lalchandani Non IT"/>
    <x v="11"/>
    <s v="Santhosh G"/>
    <s v="Champions"/>
  </r>
  <r>
    <s v="H&amp;R Block"/>
    <s v="Anuradha"/>
    <x v="10"/>
    <s v="Anuradha"/>
    <s v="Anuradha"/>
  </r>
  <r>
    <s v="Hanker_US"/>
    <s v="Aashis Ranjan"/>
    <x v="8"/>
    <s v="Gourav Kumar"/>
    <s v="Honey Badgers"/>
  </r>
  <r>
    <s v="Harman"/>
    <s v="Vasudha Rao IT"/>
    <x v="19"/>
    <s v="Tamil C"/>
    <s v="Acers"/>
  </r>
  <r>
    <s v="Harman Non IT"/>
    <s v="Vasudha Rao IT"/>
    <x v="19"/>
    <s v="Tamil C"/>
    <s v="Acers"/>
  </r>
  <r>
    <s v="Harman_Bangalore"/>
    <s v="Vasudha Rao IT"/>
    <x v="19"/>
    <s v="Tamil C"/>
    <s v="Acers"/>
  </r>
  <r>
    <s v="Harman_Payroll"/>
    <s v="Vasudha Rao IT"/>
    <x v="19"/>
    <s v="Tamil C"/>
    <s v="Avengers"/>
  </r>
  <r>
    <s v="HCL"/>
    <s v="0"/>
    <x v="1"/>
    <m/>
    <m/>
  </r>
  <r>
    <s v="Hinge Health"/>
    <s v="Mher"/>
    <x v="7"/>
    <s v="Sandipta  P"/>
    <s v="Voyagers"/>
  </r>
  <r>
    <s v="HP"/>
    <s v="Vasudha Rao Non IT"/>
    <x v="23"/>
    <s v="Monisha R"/>
    <s v="Avengers"/>
  </r>
  <r>
    <s v="HP- drubhajoythi"/>
    <s v="Vasudha Rao Non IT"/>
    <x v="23"/>
    <s v="Monisha R"/>
    <s v="Avengers"/>
  </r>
  <r>
    <s v="HP_Subramanya"/>
    <s v="Vasudha Rao Non IT"/>
    <x v="23"/>
    <s v="Monisha R"/>
    <s v="Avengers"/>
  </r>
  <r>
    <s v="HP-samerndra"/>
    <s v="Vasudha Rao Non IT"/>
    <x v="23"/>
    <s v="Monisha R"/>
    <s v="Avengers"/>
  </r>
  <r>
    <s v="IBM -Mercedes"/>
    <s v="Vasudha Rao IT"/>
    <x v="1"/>
    <m/>
    <m/>
  </r>
  <r>
    <s v="Incture"/>
    <s v="Sadhna Shukla"/>
    <x v="14"/>
    <m/>
    <s v="Voyagers"/>
  </r>
  <r>
    <s v="Infinx Manila"/>
    <s v="karan lalchandani Non IT"/>
    <x v="20"/>
    <s v="Pramod P"/>
    <s v="Champions"/>
  </r>
  <r>
    <s v="Infinx_Champ"/>
    <s v="karan lalchandani"/>
    <x v="0"/>
    <s v="Santhosh G"/>
    <s v="Champions"/>
  </r>
  <r>
    <s v="Infinx_US"/>
    <s v="Aashis Ranjan Non IT"/>
    <x v="8"/>
    <s v="Gourav Kumar"/>
    <s v="Honey Badgers"/>
  </r>
  <r>
    <s v="Infosys 3"/>
    <s v="Tarun Sareen"/>
    <x v="1"/>
    <m/>
    <m/>
  </r>
  <r>
    <s v="Infosys ADM"/>
    <s v="Tarun Sareen"/>
    <x v="24"/>
    <s v="Chiranjeev Desai"/>
    <s v="Catalyst"/>
  </r>
  <r>
    <s v="Infosys CIS"/>
    <s v="Tarun Sareen"/>
    <x v="6"/>
    <s v="Gunupati Reddy"/>
    <s v="Catalyst"/>
  </r>
  <r>
    <s v="Infosys Consulting"/>
    <s v="Tarun Sareen"/>
    <x v="6"/>
    <s v="Gunupati Reddy"/>
    <s v="Catalyst"/>
  </r>
  <r>
    <s v="Infosys IVS"/>
    <s v="Tarun Sareen"/>
    <x v="12"/>
    <s v="Justin Dsilva"/>
    <s v="Catalyst"/>
  </r>
  <r>
    <s v="Infosys Oracle"/>
    <s v="Tarun Sareen"/>
    <x v="6"/>
    <s v="Gunupati Reddy"/>
    <m/>
  </r>
  <r>
    <s v="Infosys SAP"/>
    <s v="Tarun Sareen"/>
    <x v="6"/>
    <s v="Gunupati Reddy"/>
    <s v="Catalyst"/>
  </r>
  <r>
    <s v="Infosys_4"/>
    <s v="Tarun Sareen"/>
    <x v="6"/>
    <s v="Tara VR"/>
    <s v="Catalyst"/>
  </r>
  <r>
    <s v="Infosys_DNA"/>
    <s v="Tarun Sareen"/>
    <x v="12"/>
    <s v="Aamir"/>
    <s v="Catalyst"/>
  </r>
  <r>
    <s v="Infosys_DX"/>
    <s v="Tarun Sareen"/>
    <x v="6"/>
    <s v="Gunupati Reddy"/>
    <s v="Catalyst"/>
  </r>
  <r>
    <s v="Infosys_US"/>
    <s v="Aashis Ranjan"/>
    <x v="8"/>
    <s v="Gourav Kumar"/>
    <s v="Honey Badgers"/>
  </r>
  <r>
    <s v="Infosys-FTE"/>
    <s v="Tarun Sareen"/>
    <x v="6"/>
    <s v="Gunupati Reddy"/>
    <s v="Catalyst"/>
  </r>
  <r>
    <s v="Infosys-India Pvt Ltd"/>
    <s v="Tarun Sareen"/>
    <x v="12"/>
    <s v="Sushma H"/>
    <s v="Catalyst"/>
  </r>
  <r>
    <s v="Infosys-Microsoft"/>
    <s v="Tarun Sareen"/>
    <x v="1"/>
    <m/>
    <m/>
  </r>
  <r>
    <s v="JLL"/>
    <s v="karan lalchandani"/>
    <x v="11"/>
    <s v="Shilpa P"/>
    <s v="Champions"/>
  </r>
  <r>
    <s v="JLL Routing"/>
    <s v="karan lalchandani"/>
    <x v="11"/>
    <s v="Shilpa P"/>
    <s v="Champions"/>
  </r>
  <r>
    <s v="Johnson Electric"/>
    <s v="Sadhna Shukla"/>
    <x v="9"/>
    <s v="Manjunath R"/>
    <s v="Voyagers"/>
  </r>
  <r>
    <s v="JoulestoWatts Business Solutions Pvt Ltd"/>
    <s v="Shruti Baruah"/>
    <x v="25"/>
    <s v="Shruti Baruah"/>
    <s v="Internal"/>
  </r>
  <r>
    <s v="Kennametal IT"/>
    <s v="Vasudha Rao IT"/>
    <x v="1"/>
    <m/>
    <m/>
  </r>
  <r>
    <s v="Kennametal shared services"/>
    <s v="Vasudha Rao Non IT"/>
    <x v="1"/>
    <m/>
    <m/>
  </r>
  <r>
    <s v="Kent Engineering India Pvt Ltd"/>
    <s v="Nirmit"/>
    <x v="17"/>
    <s v="Naveen Goud"/>
    <s v="Nirmit"/>
  </r>
  <r>
    <s v="Kimberly clark"/>
    <s v="Nirmit"/>
    <x v="1"/>
    <m/>
    <s v="Nirmit"/>
  </r>
  <r>
    <s v="Kimberly Clark"/>
    <s v="Nirmit"/>
    <x v="15"/>
    <s v="Dikshita Sehgal"/>
    <s v="Nirmit"/>
  </r>
  <r>
    <s v="KMART"/>
    <s v="Vasudha Rao IT"/>
    <x v="1"/>
    <m/>
    <s v="Acers"/>
  </r>
  <r>
    <s v="Koch Industries"/>
    <s v="karan lalchandani"/>
    <x v="0"/>
    <s v="Santhosh G"/>
    <s v="Champions"/>
  </r>
  <r>
    <s v="KOCH_COE"/>
    <s v="karan lalchandani"/>
    <x v="0"/>
    <s v="Santhosh G"/>
    <s v="Champions"/>
  </r>
  <r>
    <s v="kyndryl"/>
    <s v="Tarun Sareen"/>
    <x v="4"/>
    <s v="Archana B. K"/>
    <s v="Catalyst"/>
  </r>
  <r>
    <s v="L&amp;T"/>
    <s v="Nirmit"/>
    <x v="15"/>
    <s v="Hemang/Ferderick"/>
    <s v="Nirmit"/>
  </r>
  <r>
    <s v="L&amp;T-Cont"/>
    <s v="Nirmit"/>
    <x v="15"/>
    <s v="Hemang/Ferderick"/>
    <s v="Nirmit"/>
  </r>
  <r>
    <s v="Lam Research"/>
    <s v="Sadhna Shukla"/>
    <x v="13"/>
    <m/>
    <s v="Voyagers"/>
  </r>
  <r>
    <s v="Lenovo"/>
    <s v="Vasudha Rao Non IT"/>
    <x v="3"/>
    <s v="Prathyusha Mangalampalli"/>
    <s v="Avengers"/>
  </r>
  <r>
    <s v="Lenovo 2"/>
    <s v="Vasudha Rao Non IT"/>
    <x v="3"/>
    <s v="Prathyusha Mangalampalli"/>
    <s v="Avengers"/>
  </r>
  <r>
    <s v="Lowes"/>
    <s v="Mher"/>
    <x v="7"/>
    <s v="Sandipta  P"/>
    <s v="Voyagers"/>
  </r>
  <r>
    <s v="LTTS China"/>
    <s v="Nirmit"/>
    <x v="15"/>
    <m/>
    <s v="Nirmit"/>
  </r>
  <r>
    <s v="Lumen"/>
    <s v="karan lalchandani"/>
    <x v="0"/>
    <s v="Menaka Prasad"/>
    <s v="Champions"/>
  </r>
  <r>
    <s v="Lumen routing "/>
    <s v="karan lalchandani Non IT"/>
    <x v="0"/>
    <s v="Menaka Prasad"/>
    <s v="Champions"/>
  </r>
  <r>
    <s v="Medline"/>
    <s v="Vasudha Rao IT"/>
    <x v="17"/>
    <m/>
    <s v="Nirmit"/>
  </r>
  <r>
    <s v="Medline Industries, LP"/>
    <s v="Vasudha Rao IT"/>
    <x v="17"/>
    <m/>
    <s v="Nirmit"/>
  </r>
  <r>
    <s v="Meolaa"/>
    <s v="karan lalchandani Non IT"/>
    <x v="11"/>
    <s v="Goutham Raj"/>
    <s v="Champions"/>
  </r>
  <r>
    <s v="Mercedes benz"/>
    <s v="karan lalchandani"/>
    <x v="18"/>
    <s v="Santhosh G"/>
    <s v="Champions"/>
  </r>
  <r>
    <s v="MercedesBenz-DTICI"/>
    <s v="karan lalchandani"/>
    <x v="18"/>
    <s v="Santhosh G"/>
    <s v="Champions"/>
  </r>
  <r>
    <s v="Moder Solutions"/>
    <s v="Tarun Sareen"/>
    <x v="6"/>
    <s v="Chiranjeev Desai"/>
    <s v="Catalyst"/>
  </r>
  <r>
    <s v="Monsanto"/>
    <s v="karan lalchandani"/>
    <x v="11"/>
    <m/>
    <s v="Champions"/>
  </r>
  <r>
    <s v="Monsanto (Bayer) - Payroll"/>
    <s v="karan lalchandani Non IT"/>
    <x v="11"/>
    <m/>
    <s v="Champions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">
  <r>
    <x v="0"/>
  </r>
  <r>
    <x v="0"/>
  </r>
  <r>
    <x v="1"/>
  </r>
  <r>
    <x v="1"/>
  </r>
  <r>
    <x v="2"/>
  </r>
  <r>
    <x v="1"/>
  </r>
  <r>
    <x v="1"/>
  </r>
  <r>
    <x v="2"/>
  </r>
  <r>
    <x v="3"/>
  </r>
  <r>
    <x v="0"/>
  </r>
  <r>
    <x v="4"/>
  </r>
  <r>
    <x v="0"/>
  </r>
  <r>
    <x v="4"/>
  </r>
  <r>
    <x v="3"/>
  </r>
  <r>
    <x v="4"/>
  </r>
  <r>
    <x v="4"/>
  </r>
  <r>
    <x v="5"/>
  </r>
  <r>
    <x v="5"/>
  </r>
  <r>
    <x v="0"/>
  </r>
  <r>
    <x v="5"/>
  </r>
  <r>
    <x v="0"/>
  </r>
  <r>
    <x v="0"/>
  </r>
  <r>
    <x v="1"/>
  </r>
  <r>
    <x v="0"/>
  </r>
  <r>
    <x v="5"/>
  </r>
  <r>
    <x v="6"/>
  </r>
  <r>
    <x v="3"/>
  </r>
  <r>
    <x v="5"/>
  </r>
  <r>
    <x v="6"/>
  </r>
  <r>
    <x v="0"/>
  </r>
  <r>
    <x v="6"/>
  </r>
  <r>
    <x v="7"/>
  </r>
  <r>
    <x v="0"/>
  </r>
  <r>
    <x v="5"/>
  </r>
  <r>
    <x v="3"/>
  </r>
  <r>
    <x v="0"/>
  </r>
  <r>
    <x v="3"/>
  </r>
  <r>
    <x v="0"/>
  </r>
  <r>
    <x v="5"/>
  </r>
  <r>
    <x v="5"/>
  </r>
  <r>
    <x v="1"/>
  </r>
  <r>
    <x v="1"/>
  </r>
  <r>
    <x v="0"/>
  </r>
  <r>
    <x v="0"/>
  </r>
  <r>
    <x v="4"/>
  </r>
  <r>
    <x v="4"/>
  </r>
  <r>
    <x v="0"/>
  </r>
  <r>
    <x v="0"/>
  </r>
  <r>
    <x v="0"/>
  </r>
  <r>
    <x v="5"/>
  </r>
  <r>
    <x v="3"/>
  </r>
  <r>
    <x v="5"/>
  </r>
  <r>
    <x v="6"/>
  </r>
  <r>
    <x v="1"/>
  </r>
  <r>
    <x v="0"/>
  </r>
  <r>
    <x v="8"/>
  </r>
  <r>
    <x v="8"/>
  </r>
  <r>
    <x v="0"/>
  </r>
  <r>
    <x v="8"/>
  </r>
  <r>
    <x v="8"/>
  </r>
  <r>
    <x v="0"/>
  </r>
  <r>
    <x v="8"/>
  </r>
  <r>
    <x v="8"/>
  </r>
  <r>
    <x v="0"/>
  </r>
  <r>
    <x v="0"/>
  </r>
  <r>
    <x v="8"/>
  </r>
  <r>
    <x v="3"/>
  </r>
  <r>
    <x v="6"/>
  </r>
  <r>
    <x v="5"/>
  </r>
  <r>
    <x v="6"/>
  </r>
  <r>
    <x v="0"/>
  </r>
  <r>
    <x v="0"/>
  </r>
  <r>
    <x v="6"/>
  </r>
  <r>
    <x v="6"/>
  </r>
  <r>
    <x v="0"/>
  </r>
  <r>
    <x v="6"/>
  </r>
  <r>
    <x v="3"/>
  </r>
  <r>
    <x v="0"/>
  </r>
  <r>
    <x v="0"/>
  </r>
  <r>
    <x v="6"/>
  </r>
  <r>
    <x v="6"/>
  </r>
  <r>
    <x v="3"/>
  </r>
  <r>
    <x v="3"/>
  </r>
  <r>
    <x v="0"/>
  </r>
  <r>
    <x v="9"/>
  </r>
  <r>
    <x v="0"/>
  </r>
  <r>
    <x v="1"/>
  </r>
  <r>
    <x v="1"/>
  </r>
  <r>
    <x v="4"/>
  </r>
  <r>
    <x v="3"/>
  </r>
  <r>
    <x v="3"/>
  </r>
  <r>
    <x v="4"/>
  </r>
  <r>
    <x v="5"/>
  </r>
  <r>
    <x v="5"/>
  </r>
  <r>
    <x v="0"/>
  </r>
  <r>
    <x v="0"/>
  </r>
  <r>
    <x v="6"/>
  </r>
  <r>
    <x v="6"/>
  </r>
  <r>
    <x v="6"/>
  </r>
  <r>
    <x v="6"/>
  </r>
  <r>
    <x v="4"/>
  </r>
  <r>
    <x v="10"/>
  </r>
  <r>
    <x v="10"/>
  </r>
  <r>
    <x v="10"/>
  </r>
  <r>
    <x v="10"/>
  </r>
  <r>
    <x v="5"/>
  </r>
  <r>
    <x v="0"/>
  </r>
  <r>
    <x v="0"/>
  </r>
  <r>
    <x v="5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0"/>
  </r>
  <r>
    <x v="4"/>
  </r>
  <r>
    <x v="10"/>
  </r>
  <r>
    <x v="10"/>
  </r>
  <r>
    <x v="0"/>
  </r>
  <r>
    <x v="0"/>
  </r>
  <r>
    <x v="3"/>
  </r>
  <r>
    <x v="5"/>
  </r>
  <r>
    <x v="5"/>
  </r>
  <r>
    <x v="1"/>
  </r>
  <r>
    <x v="0"/>
  </r>
  <r>
    <x v="0"/>
  </r>
  <r>
    <x v="0"/>
  </r>
  <r>
    <x v="4"/>
  </r>
  <r>
    <x v="11"/>
  </r>
  <r>
    <x v="11"/>
  </r>
  <r>
    <x v="0"/>
  </r>
  <r>
    <x v="4"/>
  </r>
  <r>
    <x v="0"/>
  </r>
  <r>
    <x v="0"/>
  </r>
  <r>
    <x v="5"/>
  </r>
  <r>
    <x v="5"/>
  </r>
  <r>
    <x v="5"/>
  </r>
  <r>
    <x v="6"/>
  </r>
  <r>
    <x v="3"/>
  </r>
  <r>
    <x v="5"/>
  </r>
  <r>
    <x v="5"/>
  </r>
  <r>
    <x v="5"/>
  </r>
  <r>
    <x v="0"/>
  </r>
  <r>
    <x v="5"/>
  </r>
  <r>
    <x v="5"/>
  </r>
  <r>
    <x v="3"/>
  </r>
  <r>
    <x v="0"/>
  </r>
  <r>
    <x v="4"/>
  </r>
  <r>
    <x v="0"/>
  </r>
  <r>
    <x v="0"/>
  </r>
  <r>
    <x v="0"/>
  </r>
  <r>
    <x v="5"/>
  </r>
  <r>
    <x v="5"/>
  </r>
  <r>
    <x v="0"/>
  </r>
  <r>
    <x v="5"/>
  </r>
  <r>
    <x v="5"/>
  </r>
  <r>
    <x v="3"/>
  </r>
  <r>
    <x v="0"/>
  </r>
  <r>
    <x v="0"/>
  </r>
  <r>
    <x v="0"/>
  </r>
  <r>
    <x v="6"/>
  </r>
  <r>
    <x v="4"/>
  </r>
  <r>
    <x v="0"/>
  </r>
  <r>
    <x v="0"/>
  </r>
  <r>
    <x v="6"/>
  </r>
  <r>
    <x v="5"/>
  </r>
  <r>
    <x v="1"/>
  </r>
  <r>
    <x v="0"/>
  </r>
  <r>
    <x v="0"/>
  </r>
  <r>
    <x v="0"/>
  </r>
  <r>
    <x v="0"/>
  </r>
  <r>
    <x v="0"/>
  </r>
  <r>
    <x v="0"/>
  </r>
  <r>
    <x v="3"/>
  </r>
  <r>
    <x v="1"/>
  </r>
  <r>
    <x v="4"/>
  </r>
  <r>
    <x v="5"/>
  </r>
  <r>
    <x v="5"/>
  </r>
  <r>
    <x v="5"/>
  </r>
  <r>
    <x v="0"/>
  </r>
  <r>
    <x v="4"/>
  </r>
  <r>
    <x v="0"/>
  </r>
  <r>
    <x v="0"/>
  </r>
  <r>
    <x v="0"/>
  </r>
  <r>
    <x v="4"/>
  </r>
  <r>
    <x v="1"/>
  </r>
  <r>
    <x v="0"/>
  </r>
  <r>
    <x v="1"/>
  </r>
  <r>
    <x v="3"/>
  </r>
  <r>
    <x v="3"/>
  </r>
  <r>
    <x v="0"/>
  </r>
  <r>
    <x v="6"/>
  </r>
  <r>
    <x v="0"/>
  </r>
  <r>
    <x v="0"/>
  </r>
  <r>
    <x v="3"/>
  </r>
  <r>
    <x v="3"/>
  </r>
  <r>
    <x v="0"/>
  </r>
  <r>
    <x v="1"/>
  </r>
  <r>
    <x v="0"/>
  </r>
  <r>
    <x v="12"/>
  </r>
  <r>
    <x v="12"/>
  </r>
  <r>
    <x v="12"/>
  </r>
  <r>
    <x v="12"/>
  </r>
  <r>
    <x v="0"/>
  </r>
  <r>
    <x v="3"/>
  </r>
  <r>
    <x v="4"/>
  </r>
  <r>
    <x v="0"/>
  </r>
  <r>
    <x v="4"/>
  </r>
  <r>
    <x v="0"/>
  </r>
  <r>
    <x v="0"/>
  </r>
  <r>
    <x v="1"/>
  </r>
  <r>
    <x v="1"/>
  </r>
  <r>
    <x v="1"/>
  </r>
  <r>
    <x v="1"/>
  </r>
  <r>
    <x v="3"/>
  </r>
  <r>
    <x v="5"/>
  </r>
  <r>
    <x v="3"/>
  </r>
  <r>
    <x v="0"/>
  </r>
  <r>
    <x v="3"/>
  </r>
  <r>
    <x v="4"/>
  </r>
  <r>
    <x v="1"/>
  </r>
  <r>
    <x v="0"/>
  </r>
  <r>
    <x v="0"/>
  </r>
  <r>
    <x v="3"/>
  </r>
  <r>
    <x v="6"/>
  </r>
  <r>
    <x v="6"/>
  </r>
  <r>
    <x v="0"/>
  </r>
  <r>
    <x v="0"/>
  </r>
  <r>
    <x v="0"/>
  </r>
  <r>
    <x v="13"/>
  </r>
  <r>
    <x v="13"/>
  </r>
  <r>
    <x v="13"/>
  </r>
  <r>
    <x v="13"/>
  </r>
  <r>
    <x v="13"/>
  </r>
  <r>
    <x v="14"/>
  </r>
  <r>
    <x v="1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">
  <r>
    <x v="0"/>
    <s v="Tarun Sareen"/>
    <s v="Tarun Sareen"/>
    <s v="Pramod P"/>
    <s v="Catalyst"/>
    <x v="0"/>
    <s v="Services"/>
    <s v="Tarun Sareen"/>
  </r>
  <r>
    <x v="1"/>
    <s v="Tarun Sareen"/>
    <s v="Tarun Sareen"/>
    <s v="Pramod P"/>
    <s v="Catalyst"/>
    <x v="0"/>
    <s v="Services"/>
    <s v="Tarun Sareen"/>
  </r>
  <r>
    <x v="2"/>
    <s v="Tarun Sareen"/>
    <s v="Priyakanta Choudhary"/>
    <s v="Dipika Saha"/>
    <s v="Catalyst"/>
    <x v="0"/>
    <s v="Services"/>
    <s v="Tarun Sareen"/>
  </r>
  <r>
    <x v="3"/>
    <s v="Tarun Sareen"/>
    <s v="Tamil C"/>
    <s v="Tamil C"/>
    <s v="Catalyst"/>
    <x v="0"/>
    <s v="Services"/>
    <s v="Tarun Sareen"/>
  </r>
  <r>
    <x v="4"/>
    <s v="ITES Clients"/>
    <s v="Jawad Ulla Khan"/>
    <s v="Prathyusha Mangalampalli"/>
    <s v="Avengers"/>
    <x v="1"/>
    <s v="ITES"/>
    <s v="Jawad Ulla Khan"/>
  </r>
  <r>
    <x v="5"/>
    <s v="Tarun Sareen"/>
    <s v="Priyakanta Choudhary"/>
    <s v="Archana B. K"/>
    <s v="Catalyst"/>
    <x v="0"/>
    <s v="Services"/>
    <s v="Tarun Sareen"/>
  </r>
  <r>
    <x v="6"/>
    <s v="Tarun Sareen"/>
    <s v="Priyakanta Choudhary"/>
    <s v="Archana B. K"/>
    <s v="Catalyst"/>
    <x v="0"/>
    <s v="Services"/>
    <s v="Tarun Sareen"/>
  </r>
  <r>
    <x v="7"/>
    <s v="ITES Clients"/>
    <s v="Jawad Ulla Khan"/>
    <s v="Prathyusha Mangalampalli"/>
    <s v="Avengers"/>
    <x v="1"/>
    <s v="ITES"/>
    <s v="Jawad Ulla Khan"/>
  </r>
  <r>
    <x v="8"/>
    <s v="Sadhna Shukla"/>
    <s v="Sushma K M"/>
    <s v="Manjunath R"/>
    <s v="Voyagers"/>
    <x v="2"/>
    <s v="Captive"/>
    <s v="Sadhna Shukla"/>
  </r>
  <r>
    <x v="9"/>
    <s v="Tarun Sareen"/>
    <s v="Tara VR"/>
    <s v="Tara VR"/>
    <s v="Catalyst"/>
    <x v="0"/>
    <s v="Services"/>
    <s v="Tarun Sareen"/>
  </r>
  <r>
    <x v="10"/>
    <s v="Mehr Hashim"/>
    <s v="Mehr Hashim"/>
    <s v="Sandipta  P"/>
    <s v="Voyagers"/>
    <x v="3"/>
    <s v="Captive"/>
    <s v="Mehr Hashim"/>
  </r>
  <r>
    <x v="11"/>
    <s v="Aashis Ranjan"/>
    <s v="Gourav Kumar"/>
    <s v="tata"/>
    <s v="Honey Badgers"/>
    <x v="4"/>
    <s v="Services"/>
    <s v="Aashis Ranjan"/>
  </r>
  <r>
    <x v="12"/>
    <s v="Sadhna Shukla"/>
    <s v="Sushma K M"/>
    <s v="Manjunath R"/>
    <s v="Voyagers"/>
    <x v="3"/>
    <s v="Captive"/>
    <s v="Sadhna Shukla"/>
  </r>
  <r>
    <x v="13"/>
    <s v="Anuradha Murthy"/>
    <s v="Jawad Ulla Khan"/>
    <s v="Prathyusha Mangalampalli"/>
    <s v="Anuradha"/>
    <x v="5"/>
    <s v="ITES"/>
    <s v="Anuradha Murthy"/>
  </r>
  <r>
    <x v="14"/>
    <s v="Mehr Hashim"/>
    <s v="Mehr Hashim"/>
    <s v="Sandipta  P"/>
    <s v="Voyagers"/>
    <x v="3"/>
    <s v="Captive"/>
    <s v="Mehr Hashim"/>
  </r>
  <r>
    <x v="15"/>
    <s v="Mehr Hashim"/>
    <s v="Mehr Hashim"/>
    <s v="Sandipta  P"/>
    <s v="Voyagers"/>
    <x v="3"/>
    <s v="Captive"/>
    <s v="Mehr Hashim"/>
  </r>
  <r>
    <x v="16"/>
    <s v="Anuradha Murthy"/>
    <s v="Anuradha Murthy"/>
    <m/>
    <s v="Champions"/>
    <x v="6"/>
    <s v="Captive"/>
    <s v="Deepak Desai"/>
  </r>
  <r>
    <x v="17"/>
    <s v="Anuradha Murthy"/>
    <s v="Anuradha Murthy"/>
    <s v="Santhosh G"/>
    <s v="Champions"/>
    <x v="6"/>
    <s v="ITES"/>
    <s v="Deepak Desai"/>
  </r>
  <r>
    <x v="18"/>
    <s v="Aashis Ranjan"/>
    <s v="Gourav Kumar"/>
    <s v="Gourav Kumar"/>
    <s v="Honey Badgers"/>
    <x v="4"/>
    <s v="Services"/>
    <s v="Aashis Ranjan"/>
  </r>
  <r>
    <x v="19"/>
    <s v="Anuradha Murthy"/>
    <s v="Surya S"/>
    <s v="Santhosh G"/>
    <s v="Anuradha"/>
    <x v="6"/>
    <s v="Captive"/>
    <s v="Anuradha Murthy"/>
  </r>
  <r>
    <x v="20"/>
    <s v="Tarun Sareen"/>
    <s v="Sushma Hegde"/>
    <m/>
    <s v="Catalyst"/>
    <x v="0"/>
    <s v="Services"/>
    <s v="Tarun Sareen"/>
  </r>
  <r>
    <x v="21"/>
    <s v="Sadhna Shukla"/>
    <s v="Shailesh Gangwar"/>
    <s v="Pralhad"/>
    <s v="Voyagers"/>
    <x v="3"/>
    <s v="Captive"/>
    <s v="Sadhna Shukla"/>
  </r>
  <r>
    <x v="22"/>
    <s v="Tarun Sareen"/>
    <s v="Tarun Sareen"/>
    <m/>
    <s v="Catalyst"/>
    <x v="0"/>
    <s v="Services"/>
    <s v="Tarun Sareen"/>
  </r>
  <r>
    <x v="23"/>
    <s v="Sadhna Shukla"/>
    <s v="Shailesh Gangwar"/>
    <s v="Pralhad"/>
    <s v="Voyagers"/>
    <x v="3"/>
    <s v="Captive"/>
    <s v="Sadhna Shukla"/>
  </r>
  <r>
    <x v="24"/>
    <s v="Deepak Desai"/>
    <s v="Deepak Desai"/>
    <m/>
    <s v="Champions"/>
    <x v="6"/>
    <s v="Captive"/>
    <s v="Deepak Desai"/>
  </r>
  <r>
    <x v="25"/>
    <s v="Sadhna Shukla"/>
    <s v="Sushma K M"/>
    <s v="Manjunath R"/>
    <s v="Voyagers"/>
    <x v="4"/>
    <s v="SOW Captive"/>
    <s v="Sadhna Shukla"/>
  </r>
  <r>
    <x v="26"/>
    <s v="Sadhna Shukla"/>
    <s v="Sushma K M"/>
    <s v="Manjunath R"/>
    <s v="Voyagers"/>
    <x v="7"/>
    <s v="SOW Captive"/>
    <s v="Sadhna Shukla"/>
  </r>
  <r>
    <x v="27"/>
    <s v="Deepak Desai"/>
    <s v="Saravanan P"/>
    <m/>
    <s v="Champions"/>
    <x v="6"/>
    <s v="Captive"/>
    <s v="Deepak Desai"/>
  </r>
  <r>
    <x v="28"/>
    <s v="Nirmit Desai"/>
    <s v="Not Assigned"/>
    <s v="Subhash Kumar"/>
    <s v="Nirmit"/>
    <x v="4"/>
    <s v="Services"/>
    <s v="Nirmit Desai"/>
  </r>
  <r>
    <x v="29"/>
    <s v="Nirmit Desai"/>
    <s v="Not Assigned"/>
    <s v="Subhash Kumar"/>
    <s v="Nirmit"/>
    <x v="4"/>
    <s v="Services"/>
    <s v="Nirmit Desai"/>
  </r>
  <r>
    <x v="30"/>
    <s v="Nirmit Desai"/>
    <s v="Not Assigned"/>
    <s v="Subhash Kumar"/>
    <s v="Nirmit"/>
    <x v="4"/>
    <s v="Services"/>
    <s v="Nirmit Desai"/>
  </r>
  <r>
    <x v="31"/>
    <s v="Nirmit Desai"/>
    <s v="Not Assigned"/>
    <s v="Subhash Kumar"/>
    <s v="Nirmit"/>
    <x v="4"/>
    <s v="Services"/>
    <s v="Nirmit Desai"/>
  </r>
  <r>
    <x v="32"/>
    <s v="Sadhna Shukla"/>
    <s v="Shailesh Gangwar"/>
    <s v="Manjunath R"/>
    <s v="Voyagers"/>
    <x v="3"/>
    <s v="Captive"/>
    <s v="Sadhna Shukla"/>
  </r>
  <r>
    <x v="33"/>
    <s v="Anuradha Murthy"/>
    <s v="Gourab S"/>
    <m/>
    <s v="Anuradha"/>
    <x v="6"/>
    <s v="Captive"/>
    <s v="Anuradha Murthy"/>
  </r>
  <r>
    <x v="34"/>
    <s v="Anuradha Murthy"/>
    <s v="Surya S"/>
    <s v="Anuradha Murthy"/>
    <s v="Anuradha"/>
    <x v="2"/>
    <s v="Captive"/>
    <s v="Anuradha Murthy"/>
  </r>
  <r>
    <x v="35"/>
    <s v="ITES Clients"/>
    <s v="Jawad Ulla Khan"/>
    <s v="Prathyusha Mangalampalli"/>
    <s v="Avengers"/>
    <x v="4"/>
    <s v="ITES"/>
    <s v="Jawad Ulla Khan"/>
  </r>
  <r>
    <x v="36"/>
    <s v="Mehr Hashim"/>
    <s v="Mehr Hashim"/>
    <s v="Sandipta  P"/>
    <s v="Voyagers"/>
    <x v="2"/>
    <s v="Captive"/>
    <s v="Mehr Hashim"/>
  </r>
  <r>
    <x v="37"/>
    <s v="Aashis Ranjan"/>
    <s v="Gourav Kumar"/>
    <s v="Gourav Kumar"/>
    <s v="Honey Badgers"/>
    <x v="4"/>
    <s v="Services"/>
    <s v="Aashis Ranjan"/>
  </r>
  <r>
    <x v="38"/>
    <s v="Anuradha Murthy"/>
    <s v="Gourab S"/>
    <s v="Santhosh G"/>
    <s v="Anuradha"/>
    <x v="6"/>
    <s v="Captive"/>
    <s v="Anuradha Murthy"/>
  </r>
  <r>
    <x v="39"/>
    <s v="Anuradha Murthy"/>
    <s v="Gourab S"/>
    <s v="Santhosh G"/>
    <s v="Anuradha"/>
    <x v="6"/>
    <s v="Captive"/>
    <s v="Anuradha Murthy"/>
  </r>
  <r>
    <x v="40"/>
    <s v="Tarun Sareen"/>
    <s v="Sushma Hegde"/>
    <s v="Justin Dsilva"/>
    <s v="Catalyst"/>
    <x v="0"/>
    <s v="Services"/>
    <s v="Tarun Sareen"/>
  </r>
  <r>
    <x v="41"/>
    <s v="Tarun Sareen"/>
    <s v="Sushma Hegde"/>
    <s v="Justin Dsilva"/>
    <s v="Catalyst"/>
    <x v="0"/>
    <s v="Services"/>
    <s v="Tarun Sareen"/>
  </r>
  <r>
    <x v="42"/>
    <s v="Sadhna Shukla"/>
    <s v="Sushma K M"/>
    <s v="Manjunath R"/>
    <s v="Voyagers"/>
    <x v="3"/>
    <s v="Captive"/>
    <s v="Sadhna Shukla"/>
  </r>
  <r>
    <x v="43"/>
    <s v="Anuradha Murthy"/>
    <s v="Surya S"/>
    <s v="Anuradha Murthy"/>
    <s v="Anuradha"/>
    <x v="6"/>
    <s v="Services"/>
    <s v="Anuradha Murthy"/>
  </r>
  <r>
    <x v="44"/>
    <s v="Mehr Hashim"/>
    <s v="Mehr Hashim"/>
    <s v="Sandipta  P"/>
    <s v="Voyagers"/>
    <x v="3"/>
    <s v="SOW Captive"/>
    <s v="Mehr Hashim"/>
  </r>
  <r>
    <x v="45"/>
    <s v="Mehr Hashim"/>
    <s v="Mehr Hashim"/>
    <s v="Sandipta  P"/>
    <s v="Voyagers"/>
    <x v="3"/>
    <s v="Captive"/>
    <s v="Mehr Hashim"/>
  </r>
  <r>
    <x v="46"/>
    <s v="Nirmit Desai"/>
    <s v="Aishwarya Kolte"/>
    <s v="Pramod P"/>
    <s v="Nirmit"/>
    <x v="4"/>
    <s v="Services"/>
    <s v="Nirmit Desai"/>
  </r>
  <r>
    <x v="47"/>
    <s v="Sadhna Shukla"/>
    <s v="Sushma K M"/>
    <s v="Manjunath R"/>
    <s v="Voyagers"/>
    <x v="3"/>
    <s v="Captive"/>
    <s v="Sadhna Shukla"/>
  </r>
  <r>
    <x v="48"/>
    <s v="Anuradha Murthy"/>
    <s v="Surya S"/>
    <m/>
    <s v="Anuradha"/>
    <x v="6"/>
    <s v="Captive"/>
    <s v="Anuradha Murthy"/>
  </r>
  <r>
    <x v="49"/>
    <s v="Others"/>
    <s v="Not Assigned"/>
    <s v="Manjunath R"/>
    <s v="Voyagers"/>
    <x v="2"/>
    <s v="Services"/>
    <s v="Unassigned"/>
  </r>
  <r>
    <x v="50"/>
    <s v="Nirmit Desai"/>
    <s v="Deepak Desai"/>
    <s v="Shilpa P"/>
    <s v="Champions"/>
    <x v="6"/>
    <s v="Captive"/>
    <s v="Deepak Desai"/>
  </r>
  <r>
    <x v="51"/>
    <s v="Nirmit Desai"/>
    <s v="Dikshita Sehgal"/>
    <s v="Naveen Goud/Harika"/>
    <s v="Nirmit"/>
    <x v="4"/>
    <s v="Services"/>
    <s v="Nirmit Desai"/>
  </r>
  <r>
    <x v="52"/>
    <s v="Tarun Sareen"/>
    <s v="Tarun Sareen"/>
    <s v="Tara VR"/>
    <s v="Catalyst"/>
    <x v="0"/>
    <s v="Captive"/>
    <s v="Tarun Sareen"/>
  </r>
  <r>
    <x v="53"/>
    <s v="Nirmit Desai"/>
    <s v="Rajat Tyagi"/>
    <s v="Arun Jyothi M"/>
    <s v="Nirmit"/>
    <x v="8"/>
    <s v="SOW Captive"/>
    <s v="Nirmit Desai"/>
  </r>
  <r>
    <x v="54"/>
    <s v="Nirmit Desai"/>
    <s v="Rajat Tyagi"/>
    <s v="Arun Jyothi M"/>
    <s v="Nirmit"/>
    <x v="8"/>
    <s v="SOW Captive"/>
    <s v="Nirmit Desai"/>
  </r>
  <r>
    <x v="55"/>
    <s v="Nirmit Desai"/>
    <s v="Rajat Tyagi"/>
    <s v="Arun Jyothi M"/>
    <s v="Nirmit"/>
    <x v="8"/>
    <s v="SOW Captive"/>
    <s v="Nirmit Desai"/>
  </r>
  <r>
    <x v="56"/>
    <s v="Nirmit Desai"/>
    <s v="Dhaval patel"/>
    <s v="Dhaval patel"/>
    <s v="Nirmit"/>
    <x v="8"/>
    <s v="SOW Captive"/>
    <s v="Nirmit Desai"/>
  </r>
  <r>
    <x v="57"/>
    <s v="Nirmit Desai"/>
    <s v="Rajat Tyagi"/>
    <s v="Arun Jyothi M"/>
    <s v="Nirmit"/>
    <x v="8"/>
    <s v="SOW Captive"/>
    <s v="Nirmit Desai"/>
  </r>
  <r>
    <x v="58"/>
    <s v="Nirmit Desai"/>
    <s v="Rajat Tyagi"/>
    <s v="Arun Jyothi M"/>
    <s v="Nirmit"/>
    <x v="8"/>
    <s v="SOW Captive"/>
    <s v="Nirmit Desai"/>
  </r>
  <r>
    <x v="59"/>
    <s v="Nirmit Desai"/>
    <s v="Rajat Tyagi"/>
    <s v="Arun Jyothi M"/>
    <s v="Nirmit"/>
    <x v="8"/>
    <s v="SOW Captive"/>
    <s v="Nirmit Desai"/>
  </r>
  <r>
    <x v="60"/>
    <s v="Nirmit Desai"/>
    <s v="Rajat Tyagi"/>
    <s v="Arun Jyothi M"/>
    <s v="Nirmit"/>
    <x v="8"/>
    <s v="SOW Captive"/>
    <s v="Nirmit Desai"/>
  </r>
  <r>
    <x v="61"/>
    <s v="Nirmit Desai"/>
    <s v="Rajat Tyagi"/>
    <s v="Arun Jyothi M"/>
    <s v="Nirmit"/>
    <x v="8"/>
    <s v="SOW Captive"/>
    <s v="Nirmit Desai"/>
  </r>
  <r>
    <x v="62"/>
    <s v="Nirmit Desai"/>
    <s v="Rajat Tyagi"/>
    <s v="Arun Jyothi M"/>
    <s v="Nirmit"/>
    <x v="8"/>
    <s v="SOW Captive"/>
    <s v="Nirmit Desai"/>
  </r>
  <r>
    <x v="63"/>
    <s v="Nirmit Desai"/>
    <s v="Rajat Tyagi"/>
    <s v="Arun Jyothi M"/>
    <s v="Nirmit"/>
    <x v="8"/>
    <s v="SOW Captive"/>
    <s v="Nirmit Desai"/>
  </r>
  <r>
    <x v="64"/>
    <s v="Nirmit Desai"/>
    <s v="Rajat Tyagi"/>
    <s v="Arun Jyothi M"/>
    <s v="Nirmit"/>
    <x v="8"/>
    <s v="SOW Captive"/>
    <s v="Nirmit Desai"/>
  </r>
  <r>
    <x v="65"/>
    <s v="Nirmit Desai"/>
    <s v="Dikshita Sehgal"/>
    <s v="Frederick "/>
    <s v="Nirmit"/>
    <x v="2"/>
    <s v="Captive"/>
    <s v="Nirmit Desai"/>
  </r>
  <r>
    <x v="66"/>
    <s v="Nirmit Desai"/>
    <s v="Sonia Sabnani "/>
    <m/>
    <s v="Nirmit"/>
    <x v="4"/>
    <s v="Captive"/>
    <s v="Nirmit Desai"/>
  </r>
  <r>
    <x v="67"/>
    <s v="Deepak Desai"/>
    <s v="Saravanan P"/>
    <s v="Santhosh G"/>
    <s v="Champions"/>
    <x v="6"/>
    <s v="SOW Captive"/>
    <s v="Deepak Desai"/>
  </r>
  <r>
    <x v="68"/>
    <s v="Nirmit Desai"/>
    <s v="Tamil C"/>
    <s v="Tamil C"/>
    <s v="Acers"/>
    <x v="5"/>
    <s v="Services"/>
    <s v="Nirmit Desai"/>
  </r>
  <r>
    <x v="69"/>
    <s v="Nirmit Desai"/>
    <s v="Pramod P"/>
    <s v="Pramod P"/>
    <s v="Nirmit"/>
    <x v="5"/>
    <s v="Services"/>
    <s v="Nirmit Desai"/>
  </r>
  <r>
    <x v="70"/>
    <s v="Nirmit Desai"/>
    <s v="Tamil C"/>
    <s v="Tamil C"/>
    <s v="Acers"/>
    <x v="5"/>
    <s v="Services"/>
    <s v="Nirmit Desai"/>
  </r>
  <r>
    <x v="71"/>
    <s v="Nirmit Desai"/>
    <s v="Tamil C"/>
    <s v="Tamil C"/>
    <s v="Acers"/>
    <x v="5"/>
    <s v="Services"/>
    <s v="Nirmit Desai"/>
  </r>
  <r>
    <x v="72"/>
    <s v="Nirmit Desai"/>
    <s v="Tamil C"/>
    <s v="Tamil C"/>
    <s v="Acers"/>
    <x v="5"/>
    <s v="Services"/>
    <s v="Nirmit Desai"/>
  </r>
  <r>
    <x v="73"/>
    <s v="Sadhna Shukla"/>
    <s v="Shailesh Gangwar"/>
    <s v="Goutham Raj"/>
    <s v="Voyagers"/>
    <x v="9"/>
    <s v="Captive"/>
    <s v="Sadhna Shukla"/>
  </r>
  <r>
    <x v="74"/>
    <s v="Tarun Sareen"/>
    <s v="Sushma Hegde"/>
    <s v="sandhya"/>
    <s v="Catalyst"/>
    <x v="0"/>
    <s v="Services"/>
    <s v="Tarun Sareen"/>
  </r>
  <r>
    <x v="75"/>
    <s v="Anuradha Murthy"/>
    <s v="Surya S"/>
    <s v="Anuradha Murty"/>
    <s v="Anuradha"/>
    <x v="2"/>
    <s v="Captive"/>
    <s v="Anuradha Murthy"/>
  </r>
  <r>
    <x v="76"/>
    <s v="Nirmit Desai"/>
    <s v="Sonia Sabnani "/>
    <m/>
    <s v="Nirmit"/>
    <x v="4"/>
    <s v="Services"/>
    <s v="Nirmit Desai"/>
  </r>
  <r>
    <x v="77"/>
    <s v="Anuradha Murthy"/>
    <s v="Surya S"/>
    <s v="Goutham Raj"/>
    <s v="Anuradha"/>
    <x v="6"/>
    <s v="Services"/>
    <s v="Anuradha Murthy"/>
  </r>
  <r>
    <x v="78"/>
    <s v="Nirmit Desai"/>
    <s v="Manisha sh"/>
    <s v="Subhash Kumar"/>
    <s v="Nirmit"/>
    <x v="4"/>
    <s v="Services"/>
    <s v="Nirmit Desai"/>
  </r>
  <r>
    <x v="79"/>
    <s v="Nirmit Desai Non IT"/>
    <s v="Manisha sh"/>
    <s v="Subhash Kumar"/>
    <s v="Nirmit"/>
    <x v="4"/>
    <s v="Services"/>
    <s v="Nirmit Desai"/>
  </r>
  <r>
    <x v="80"/>
    <s v="Nirmit Desai"/>
    <s v="Manisha sh"/>
    <s v="Subhash Kumar"/>
    <s v="Nirmit"/>
    <x v="4"/>
    <s v="Services"/>
    <s v="Nirmit Desai"/>
  </r>
  <r>
    <x v="81"/>
    <s v="Nirmit Desai"/>
    <s v="Manisha sh"/>
    <s v="Subhash Kumar"/>
    <s v="Nirmit"/>
    <x v="4"/>
    <s v="Services"/>
    <s v="Nirmit Desai"/>
  </r>
  <r>
    <x v="82"/>
    <s v="Anuradha Murthy"/>
    <s v="Surya S"/>
    <s v="Anuradha Murthy"/>
    <s v="Anuradha"/>
    <x v="6"/>
    <s v="Services"/>
    <s v="Anuradha Murthy"/>
  </r>
  <r>
    <x v="83"/>
    <s v="Mehr Hashim"/>
    <s v="Mehr Hashim"/>
    <s v="Sandipta  P"/>
    <s v="Voyagers"/>
    <x v="10"/>
    <s v="ITES"/>
    <s v="Mehr Hashim"/>
  </r>
  <r>
    <x v="84"/>
    <s v="Mehr Hashim"/>
    <s v="Mehr Hashim"/>
    <s v="Sandipta  P"/>
    <s v="Voyagers"/>
    <x v="10"/>
    <s v="Captive"/>
    <s v="Mehr Hashim"/>
  </r>
  <r>
    <x v="85"/>
    <s v="Tarun Sareen"/>
    <s v="Tarun Sareen"/>
    <s v="Archana B. K"/>
    <s v="Catalyst"/>
    <x v="0"/>
    <s v="Services"/>
    <s v="Tarun Sareen"/>
  </r>
  <r>
    <x v="86"/>
    <s v="ITES Clients"/>
    <s v="Prathyusha Mangalampalli"/>
    <m/>
    <s v="Avengers"/>
    <x v="0"/>
    <s v="ITES"/>
    <s v="Jawad Ulla Khan"/>
  </r>
  <r>
    <x v="87"/>
    <s v="Sadhna Shukla"/>
    <s v="Sujith AK"/>
    <s v="Dipika Saha"/>
    <s v="Voyagers"/>
    <x v="3"/>
    <s v="Captive"/>
    <s v="Sadhna Shukla"/>
  </r>
  <r>
    <x v="88"/>
    <s v="Mehr Hashim"/>
    <s v="Mehr Hashim"/>
    <s v="Sandipta  P"/>
    <s v="Voyagers"/>
    <x v="2"/>
    <s v="SOW Captive"/>
    <s v="Mehr Hashim"/>
  </r>
  <r>
    <x v="89"/>
    <s v="ITES Clients"/>
    <s v="Prathyusha Mangalampalli"/>
    <m/>
    <s v="Avengers"/>
    <x v="2"/>
    <s v="ITES"/>
    <s v="Unassigned"/>
  </r>
  <r>
    <x v="90"/>
    <s v="Mehr Hashim"/>
    <s v="Mehr Hashim"/>
    <s v="Sandipta  P"/>
    <s v="Voyagers"/>
    <x v="3"/>
    <s v="Captive"/>
    <s v="Mehr Hashim"/>
  </r>
  <r>
    <x v="91"/>
    <s v="Deepak Desai"/>
    <s v="Saravanan P"/>
    <s v="Santhosh G"/>
    <s v="Champions"/>
    <x v="6"/>
    <s v="Captive"/>
    <s v="Deepak Desai"/>
  </r>
  <r>
    <x v="92"/>
    <s v="Deepak Desai Non IT"/>
    <s v="Deepak Desai"/>
    <s v="Santhosh G"/>
    <s v="Champions"/>
    <x v="6"/>
    <s v="ITES"/>
    <s v="Deepak Desai"/>
  </r>
  <r>
    <x v="93"/>
    <s v="Anuradha Murthy"/>
    <s v="Surya S"/>
    <s v="Anuradha Murthy"/>
    <s v="Anuradha"/>
    <x v="6"/>
    <s v="Services"/>
    <s v="Anuradha Murthy"/>
  </r>
  <r>
    <x v="94"/>
    <s v="Aashis Ranjan"/>
    <s v="Gourav Kumar"/>
    <s v="Gourav Kumar"/>
    <s v="Honey Badgers"/>
    <x v="11"/>
    <s v="Services"/>
    <s v="Aashis Ranjan"/>
  </r>
  <r>
    <x v="95"/>
    <s v="Nirmit Desai"/>
    <s v="Tamil C"/>
    <s v="Tamil C"/>
    <s v="Avengers"/>
    <x v="4"/>
    <s v="Services"/>
    <s v="Nirmit Desai"/>
  </r>
  <r>
    <x v="96"/>
    <s v="Nirmit Desai"/>
    <s v="Tamil C"/>
    <s v="Tamil C"/>
    <s v="Avengers"/>
    <x v="4"/>
    <s v="ITES"/>
    <s v="Nirmit Desai"/>
  </r>
  <r>
    <x v="97"/>
    <s v="Nirmit Desai"/>
    <s v="Tamil C"/>
    <s v="Tamil C"/>
    <s v="Avengers"/>
    <x v="4"/>
    <s v="Services"/>
    <s v="Nirmit Desai"/>
  </r>
  <r>
    <x v="98"/>
    <s v="Nirmit Desai"/>
    <s v="Tamil C"/>
    <s v="Tamil C"/>
    <s v="Avengers"/>
    <x v="4"/>
    <s v="ITES"/>
    <s v="Nirmit Desai"/>
  </r>
  <r>
    <x v="99"/>
    <s v="Mehr Hashim"/>
    <s v="Mehr Hashim"/>
    <s v="Sandipta  P"/>
    <s v="Voyagers"/>
    <x v="3"/>
    <s v="Captive"/>
    <s v="Mehr Hashim"/>
  </r>
  <r>
    <x v="100"/>
    <s v="Nirmit Desai Non IT"/>
    <s v="Monisha R"/>
    <s v="Monisha R"/>
    <s v="Avengers"/>
    <x v="12"/>
    <s v="ITES"/>
    <s v="Nirmit Desai"/>
  </r>
  <r>
    <x v="101"/>
    <s v="Nirmit Desai Non IT"/>
    <s v="Monisha R"/>
    <s v="Monisha R"/>
    <s v="Avengers"/>
    <x v="12"/>
    <s v="ITES"/>
    <s v="Nirmit Desai"/>
  </r>
  <r>
    <x v="102"/>
    <s v="Nirmit Desai Non IT"/>
    <s v="Monisha R"/>
    <s v="Monisha R"/>
    <s v="Avengers"/>
    <x v="12"/>
    <s v="ITES"/>
    <s v="Nirmit Desai"/>
  </r>
  <r>
    <x v="103"/>
    <s v="Nirmit Desai Non IT"/>
    <s v="Monisha R"/>
    <s v="Monisha R"/>
    <s v="Avengers"/>
    <x v="12"/>
    <s v="ITES"/>
    <s v="Nirmit Desai"/>
  </r>
  <r>
    <x v="104"/>
    <s v="Anuradha Murthy"/>
    <s v="Saravanan P"/>
    <m/>
    <s v="Avengers"/>
    <x v="6"/>
    <s v="Services"/>
    <s v="Unassigned"/>
  </r>
  <r>
    <x v="105"/>
    <s v="Sadhna Shukla"/>
    <s v="Shailesh Gangwar"/>
    <m/>
    <s v="Voyagers"/>
    <x v="3"/>
    <s v="Captive"/>
    <s v="Sadhna Shukla"/>
  </r>
  <r>
    <x v="106"/>
    <s v="Nirmit Desai Non IT"/>
    <s v="Pramod P"/>
    <s v="Pramod P"/>
    <s v="Champions"/>
    <x v="4"/>
    <s v="Services"/>
    <s v="Nirmit Desai"/>
  </r>
  <r>
    <x v="107"/>
    <s v="Deepak Desai"/>
    <s v="Gourab S"/>
    <s v="Santhosh G"/>
    <s v="Champions"/>
    <x v="6"/>
    <s v="Captive"/>
    <s v="Deepak Desai"/>
  </r>
  <r>
    <x v="108"/>
    <s v="Aashis Ranjan Non IT"/>
    <s v="Gourav Kumar"/>
    <s v="Gourav Kumar"/>
    <s v="Honey Badgers"/>
    <x v="4"/>
    <s v="Services"/>
    <s v="Aashis Ranjan"/>
  </r>
  <r>
    <x v="109"/>
    <s v="Tarun Sareen"/>
    <s v="Shruthi"/>
    <s v="Chiranjeev Desai"/>
    <s v="Catalyst"/>
    <x v="0"/>
    <s v="Services"/>
    <s v="Tarun Sareen"/>
  </r>
  <r>
    <x v="110"/>
    <s v="Tarun Sareen"/>
    <s v="Tara VR"/>
    <s v="Gunupati Reddy"/>
    <s v="Catalyst"/>
    <x v="0"/>
    <s v="Services"/>
    <s v="Tarun Sareen"/>
  </r>
  <r>
    <x v="111"/>
    <s v="Tarun Sareen"/>
    <s v="Tara VR"/>
    <s v="Chiranjeev Desai"/>
    <s v="Catalyst"/>
    <x v="0"/>
    <s v="Services"/>
    <s v="Tarun Sareen"/>
  </r>
  <r>
    <x v="112"/>
    <s v="Tarun Sareen"/>
    <s v="Sushma Hegde"/>
    <s v="Justin Dsilva"/>
    <s v="Catalyst"/>
    <x v="0"/>
    <s v="Services"/>
    <s v="Tarun Sareen"/>
  </r>
  <r>
    <x v="113"/>
    <s v="Tarun Sareen"/>
    <s v="Tara VR"/>
    <s v="Gunupati Reddy"/>
    <s v="Catalyst"/>
    <x v="0"/>
    <s v="Services"/>
    <s v="Tarun Sareen"/>
  </r>
  <r>
    <x v="114"/>
    <s v="Tarun Sareen"/>
    <s v="Tara VR"/>
    <s v="Gunupati Reddy"/>
    <s v="Catalyst"/>
    <x v="0"/>
    <s v="Services"/>
    <s v="Tarun Sareen"/>
  </r>
  <r>
    <x v="115"/>
    <s v="Tarun Sareen"/>
    <s v="Tara VR"/>
    <s v="Tara VR"/>
    <s v="Catalyst"/>
    <x v="0"/>
    <s v="Services"/>
    <s v="Tarun Sareen"/>
  </r>
  <r>
    <x v="116"/>
    <s v="Tarun Sareen"/>
    <s v="Sushma Hegde"/>
    <s v="Aamir Ahamad"/>
    <s v="Catalyst"/>
    <x v="0"/>
    <s v="Services"/>
    <s v="Tarun Sareen"/>
  </r>
  <r>
    <x v="117"/>
    <s v="Tarun Sareen"/>
    <s v="Tara VR"/>
    <s v="Gunupati Reddy"/>
    <s v="Catalyst"/>
    <x v="0"/>
    <s v="Services"/>
    <s v="Tarun Sareen"/>
  </r>
  <r>
    <x v="118"/>
    <s v="Aashis Ranjan"/>
    <s v="Gourav Kumar"/>
    <s v="Gourav Kumar"/>
    <s v="Honey Badgers"/>
    <x v="0"/>
    <s v="Services"/>
    <s v="Aashis Ranjan"/>
  </r>
  <r>
    <x v="119"/>
    <s v="Tarun Sareen"/>
    <s v="Tara VR"/>
    <s v="Gunupati Reddy"/>
    <s v="Catalyst"/>
    <x v="0"/>
    <s v="Services"/>
    <s v="Tarun Sareen"/>
  </r>
  <r>
    <x v="120"/>
    <s v="Tarun Sareen"/>
    <s v="Sushma Hegde"/>
    <s v="Chiranjeev Desai"/>
    <s v="Catalyst"/>
    <x v="0"/>
    <s v="Services"/>
    <s v="Tarun Sareen"/>
  </r>
  <r>
    <x v="121"/>
    <s v="Tarun Sareen"/>
    <s v="Not Assigned"/>
    <m/>
    <s v="Catalyst"/>
    <x v="0"/>
    <s v="Services"/>
    <s v="Tarun Sareen"/>
  </r>
  <r>
    <x v="122"/>
    <s v="Anuradha Murthy"/>
    <s v="Surya S"/>
    <s v="Priya BH"/>
    <s v="Anuradha"/>
    <x v="6"/>
    <s v="Captive"/>
    <s v="Anuradha Murthy"/>
  </r>
  <r>
    <x v="123"/>
    <s v="Anuradha Murthy"/>
    <s v="Surya S"/>
    <s v="Priya BH"/>
    <s v="Anuradha"/>
    <x v="6"/>
    <s v="Captive"/>
    <s v="Anuradha Murthy"/>
  </r>
  <r>
    <x v="124"/>
    <s v="Sadhna Shukla"/>
    <s v="Sushma K M"/>
    <s v="Manjunath R"/>
    <s v="Voyagers"/>
    <x v="3"/>
    <s v="Captive"/>
    <s v="Sadhna Shukla"/>
  </r>
  <r>
    <x v="125"/>
    <s v="ITES Clients"/>
    <s v="Monisha R"/>
    <m/>
    <s v="Avengers"/>
    <x v="12"/>
    <s v="ITES"/>
    <s v="Jawad Ulla Khan"/>
  </r>
  <r>
    <x v="126"/>
    <s v="ITES Clients"/>
    <s v="Prathyusha Mangalampalli"/>
    <m/>
    <s v="Avengers"/>
    <x v="12"/>
    <s v="ITES"/>
    <s v="Jawad Ulla Khan"/>
  </r>
  <r>
    <x v="127"/>
    <s v="Nirmit Desai"/>
    <s v="Sonia Sabnani "/>
    <s v="Naveen Goud"/>
    <s v="Nirmit"/>
    <x v="4"/>
    <s v="Services"/>
    <s v="Nirmit Desai"/>
  </r>
  <r>
    <x v="128"/>
    <s v="Nirmit Desai"/>
    <s v="Dikshita Sehgal"/>
    <s v="Dikshita Sehgal"/>
    <s v="Nirmit"/>
    <x v="4"/>
    <s v="Captive"/>
    <s v="Nirmit Desai"/>
  </r>
  <r>
    <x v="129"/>
    <s v="ITES Clients"/>
    <s v="Not Assigned"/>
    <m/>
    <s v="Avengers"/>
    <x v="2"/>
    <s v="Captive"/>
    <s v="Unassigned"/>
  </r>
  <r>
    <x v="130"/>
    <s v="Anuradha Murthy"/>
    <s v="Gourab S"/>
    <s v="Santhosh G"/>
    <s v="Anuradha"/>
    <x v="6"/>
    <s v="Captive"/>
    <s v="Anuradha Murthy"/>
  </r>
  <r>
    <x v="131"/>
    <s v="Anuradha Murthy"/>
    <s v="Gourab S"/>
    <s v="Santhosh G"/>
    <s v="Anuradha"/>
    <x v="6"/>
    <s v="Captive"/>
    <s v="Anuradha Murthy"/>
  </r>
  <r>
    <x v="132"/>
    <s v="Tarun Sareen"/>
    <s v="Tara VR"/>
    <s v="Archana B. K"/>
    <s v="Catalyst"/>
    <x v="0"/>
    <s v="Services"/>
    <s v="Tarun Sareen"/>
  </r>
  <r>
    <x v="133"/>
    <s v="Nirmit Desai"/>
    <s v="Dikshita Sehgal"/>
    <s v="Frederick "/>
    <s v="Nirmit"/>
    <x v="4"/>
    <s v="Services"/>
    <s v="Nirmit Desai"/>
  </r>
  <r>
    <x v="134"/>
    <s v="Nirmit Desai"/>
    <s v="Dikshita Sehgal"/>
    <s v="Frederick "/>
    <s v="Nirmit"/>
    <x v="4"/>
    <s v="Services"/>
    <s v="Nirmit Desai"/>
  </r>
  <r>
    <x v="135"/>
    <s v="Nirmit Desai"/>
    <s v="Dikshita Sehgal"/>
    <s v="Frederick "/>
    <s v="Nirmit"/>
    <x v="4"/>
    <s v="Services"/>
    <s v="Nirmit Desai"/>
  </r>
  <r>
    <x v="136"/>
    <s v="Sadhna Shukla"/>
    <s v="Shailesh Gangwar"/>
    <m/>
    <s v="Voyagers"/>
    <x v="3"/>
    <s v="Captive"/>
    <s v="Sadhna Shukla"/>
  </r>
  <r>
    <x v="137"/>
    <s v="ITES Clients"/>
    <s v="Jawad Ulla Khan"/>
    <s v="Prathyusha Mangalampalli"/>
    <s v="Avengers"/>
    <x v="13"/>
    <s v="ITES"/>
    <s v="Jawad Ulla Khan"/>
  </r>
  <r>
    <x v="138"/>
    <s v="ITES Clients"/>
    <s v="Jawad Ulla Khan"/>
    <s v="Prathyusha Mangalampalli"/>
    <s v="Avengers"/>
    <x v="13"/>
    <s v="ITES"/>
    <s v="Jawad Ulla Khan"/>
  </r>
  <r>
    <x v="139"/>
    <s v="Anuradha Murthy"/>
    <s v="Anuradha Murthy"/>
    <m/>
    <s v="Anuradha"/>
    <x v="6"/>
    <s v="Services"/>
    <s v="Anuradha Murthy"/>
  </r>
  <r>
    <x v="140"/>
    <s v="Mehr Hashim"/>
    <s v="Mehr Hashim"/>
    <s v="Sandipta  P"/>
    <s v="Voyagers"/>
    <x v="3"/>
    <s v="Captive"/>
    <s v="Mehr Hashim"/>
  </r>
  <r>
    <x v="141"/>
    <s v="Nirmit Desai"/>
    <s v="Dikshita Sehgal"/>
    <s v="Gourav Kumar"/>
    <s v="Nirmit"/>
    <x v="4"/>
    <s v="Services"/>
    <s v="Nirmit Desai"/>
  </r>
  <r>
    <x v="142"/>
    <s v="Nirmit Desai"/>
    <s v="Pramod P"/>
    <s v="Pramod P"/>
    <s v="Nirmit"/>
    <x v="4"/>
    <s v="ITES"/>
    <s v="Nirmit Desai"/>
  </r>
  <r>
    <x v="143"/>
    <s v="Anuradha Murthy"/>
    <s v="Gourab S"/>
    <s v="Priya BH"/>
    <s v="Anuradha"/>
    <x v="6"/>
    <s v="Captive"/>
    <s v="Anuradha Murthy"/>
  </r>
  <r>
    <x v="144"/>
    <s v="Anuradha Murthy"/>
    <s v="Gourab S"/>
    <s v="Priya BH"/>
    <s v="Anuradha"/>
    <x v="6"/>
    <s v="Services"/>
    <s v="Anuradha Murthy"/>
  </r>
  <r>
    <x v="145"/>
    <s v="Anuradha Murthy"/>
    <s v="Gourab S"/>
    <s v="Priya BH"/>
    <s v="Anuradha"/>
    <x v="6"/>
    <s v="ITES"/>
    <s v="Anuradha Murthy"/>
  </r>
  <r>
    <x v="146"/>
    <s v="ITES Clients"/>
    <s v="Sonia Sabnani "/>
    <m/>
    <s v="Avengers"/>
    <x v="4"/>
    <s v="Services"/>
    <s v="Unassigned"/>
  </r>
  <r>
    <x v="147"/>
    <s v="ITES Clients"/>
    <s v="Sonia Sabnani "/>
    <m/>
    <s v="Avengers"/>
    <x v="2"/>
    <s v="Services"/>
    <s v="Unassigned"/>
  </r>
  <r>
    <x v="148"/>
    <s v="Anuradha Murthy"/>
    <s v="Anuradha Murthy"/>
    <m/>
    <s v="Champions"/>
    <x v="6"/>
    <s v="ITES"/>
    <s v="Deepak Desai"/>
  </r>
  <r>
    <x v="149"/>
    <s v="Deepak Desai"/>
    <s v="Saravanan P"/>
    <s v="Santhosh G"/>
    <s v="Champions"/>
    <x v="6"/>
    <s v="Captive"/>
    <s v="Deepak Desai"/>
  </r>
  <r>
    <x v="150"/>
    <s v="Deepak Desai"/>
    <s v="Saravanan P"/>
    <s v="Santhosh G"/>
    <s v="Champions"/>
    <x v="6"/>
    <s v="Captive"/>
    <s v="Deepak Desai"/>
  </r>
  <r>
    <x v="151"/>
    <s v="Tarun Sareen"/>
    <s v="Tara VR"/>
    <s v="Chiranjeev Desai"/>
    <s v="Catalyst"/>
    <x v="0"/>
    <s v="Services"/>
    <s v="Tarun Sareen"/>
  </r>
  <r>
    <x v="152"/>
    <s v="Deepak Desai"/>
    <s v="Deepak Desai"/>
    <m/>
    <s v="Champions"/>
    <x v="6"/>
    <s v="Captive"/>
    <s v="Deepak Desai"/>
  </r>
  <r>
    <x v="153"/>
    <s v="Deepak Desai Non IT"/>
    <s v="Deepak Desai"/>
    <m/>
    <s v="Champions"/>
    <x v="6"/>
    <s v="ITES"/>
    <s v="Deepak Desai"/>
  </r>
  <r>
    <x v="154"/>
    <s v="Tarun Sareen"/>
    <s v="Tarun Sareen"/>
    <m/>
    <s v="Catalyst"/>
    <x v="2"/>
    <s v="Services"/>
    <s v="Tarun Sareen"/>
  </r>
  <r>
    <x v="155"/>
    <s v="Anuradha Murthy"/>
    <s v="Surya S"/>
    <m/>
    <m/>
    <x v="11"/>
    <s v="Services"/>
    <s v="Unassigned"/>
  </r>
  <r>
    <x v="156"/>
    <s v="Sadhna Shukla"/>
    <s v="Sushma K M"/>
    <s v="Dipika Saha"/>
    <s v="Voyagers"/>
    <x v="3"/>
    <s v="Captive"/>
    <s v="Sadhna Shukla"/>
  </r>
  <r>
    <x v="157"/>
    <s v="Nirmit Desai"/>
    <s v="Shailesh Gangwar"/>
    <m/>
    <s v="Nirmit"/>
    <x v="4"/>
    <s v="Captive"/>
    <s v="Nirmit Desai"/>
  </r>
  <r>
    <x v="158"/>
    <s v="Anuradha Murthy"/>
    <s v="Surya S"/>
    <s v="Anuradha Murthy"/>
    <s v="Anuradha"/>
    <x v="6"/>
    <s v="Captive"/>
    <s v="Anuradha Murthy"/>
  </r>
  <r>
    <x v="159"/>
    <s v="Anuradha Murthy"/>
    <s v="Surya S"/>
    <s v="Anuradha Murthy"/>
    <s v="Anuradha"/>
    <x v="6"/>
    <s v="Services"/>
    <s v="Anuradha Murthy"/>
  </r>
  <r>
    <x v="160"/>
    <s v="Anuradha Murthy"/>
    <s v="Surya S"/>
    <s v="Anuradha Murthy"/>
    <s v="Anuradha"/>
    <x v="6"/>
    <s v="Captive"/>
    <s v="Anuradha Murthy"/>
  </r>
  <r>
    <x v="161"/>
    <s v="Anuradha Murthy Non IT"/>
    <s v="Surya S"/>
    <s v="Anuradha Murthy"/>
    <s v="Anuradha"/>
    <x v="6"/>
    <s v="Services"/>
    <s v="Anuradha Murthy"/>
  </r>
  <r>
    <x v="162"/>
    <s v="Anuradha Murthy"/>
    <s v="Anuradha Murthy"/>
    <s v="Anuradha Murthy"/>
    <s v="Anuradha"/>
    <x v="6"/>
    <s v="Captive"/>
    <s v="Anuradha Murthy"/>
  </r>
  <r>
    <x v="163"/>
    <s v="Anuradha Murthy"/>
    <s v="Surya S"/>
    <s v="Santhosh G"/>
    <s v="Anuradha"/>
    <x v="6"/>
    <s v="Captive"/>
    <s v="Anuradha Murthy"/>
  </r>
  <r>
    <x v="164"/>
    <s v="Anuradha Murthy Non IT"/>
    <s v="Surya S"/>
    <s v="Santhosh G"/>
    <s v="Anuradha"/>
    <x v="6"/>
    <s v="Services"/>
    <s v="Anuradha Murthy"/>
  </r>
  <r>
    <x v="165"/>
    <s v="Mehr Hashim"/>
    <s v="Mehr Hashim"/>
    <s v="Sandipta  P"/>
    <s v="Voyagers"/>
    <x v="2"/>
    <s v="Captive"/>
    <s v="Mehr Hashim"/>
  </r>
  <r>
    <x v="166"/>
    <s v="Mehr Hashim"/>
    <s v="Mehr Hashim"/>
    <s v="Sandipta  P"/>
    <s v="Voyagers"/>
    <x v="3"/>
    <s v="Services"/>
    <s v="Mehr Hashim"/>
  </r>
  <r>
    <x v="167"/>
    <s v="Aashis Ranjan"/>
    <s v="Gourav Kumar"/>
    <s v="Gourav Kumar"/>
    <s v="Honey Badgers"/>
    <x v="4"/>
    <s v="Services"/>
    <s v="Aashis Ranjan"/>
  </r>
  <r>
    <x v="168"/>
    <s v="Aashis Ranjan"/>
    <s v="Gourav Kumar"/>
    <s v="Gourav Kumar"/>
    <s v="Honey Badgers"/>
    <x v="4"/>
    <s v="Services"/>
    <s v="Aashis Ranjan"/>
  </r>
  <r>
    <x v="169"/>
    <s v="Nirmit Desai"/>
    <s v="Manisha sh"/>
    <s v="Dhaval patel"/>
    <s v="Nirmit"/>
    <x v="4"/>
    <s v="Services"/>
    <s v="Nirmit Desai"/>
  </r>
  <r>
    <x v="170"/>
    <s v="Mehr Hashim"/>
    <s v="Mehr Hashim"/>
    <s v="Sandipta  P"/>
    <s v="Voyagers"/>
    <x v="3"/>
    <s v="Captive"/>
    <s v="Mehr Hashim"/>
  </r>
  <r>
    <x v="171"/>
    <s v="Nirmit Desai"/>
    <s v="Manisha sh"/>
    <s v="Dhaval patel"/>
    <s v="Nirmit"/>
    <x v="4"/>
    <s v="Services"/>
    <s v="Nirmit Desai"/>
  </r>
  <r>
    <x v="172"/>
    <s v="Sadhna Shukla"/>
    <s v="Shailesh Gangwar"/>
    <s v="Dipika Saha"/>
    <s v="Voyagers"/>
    <x v="3"/>
    <s v="Captive"/>
    <s v="Sadhna Shukla"/>
  </r>
  <r>
    <x v="173"/>
    <s v="Nirmit Desai"/>
    <s v="Dikshita Sehgal"/>
    <m/>
    <s v="Nirmit"/>
    <x v="4"/>
    <s v="ITES"/>
    <s v="Nirmit Desai"/>
  </r>
  <r>
    <x v="174"/>
    <s v="Anuradha Murthy"/>
    <s v="Anuradha Murthy"/>
    <s v="Shilpa P"/>
    <s v="Champions"/>
    <x v="6"/>
    <s v="Services"/>
    <s v="Deepak Desai"/>
  </r>
  <r>
    <x v="175"/>
    <s v="Anuradha Murthy"/>
    <s v="Surya S"/>
    <m/>
    <s v="Anuradha"/>
    <x v="0"/>
    <s v="Services"/>
    <s v="Anuradha Murthy"/>
  </r>
  <r>
    <x v="176"/>
    <s v="Nirmit Desai"/>
    <s v="Sarika Mukherjee"/>
    <m/>
    <s v="Nirmit"/>
    <x v="4"/>
    <s v="Services"/>
    <s v="Nirmit Desai"/>
  </r>
  <r>
    <x v="177"/>
    <s v="Tarun Sareen"/>
    <s v="Aamir Ahamad"/>
    <s v="Chiranjeev Desai"/>
    <s v="Catalyst"/>
    <x v="0"/>
    <s v="Services"/>
    <s v="Tarun Sareen"/>
  </r>
  <r>
    <x v="178"/>
    <s v="Tarun Sareen"/>
    <s v="Aamir Ahamad"/>
    <s v="Chiranjeev Desai"/>
    <s v="Catalyst"/>
    <x v="0"/>
    <s v="Services"/>
    <s v="Tarun Sareen"/>
  </r>
  <r>
    <x v="179"/>
    <s v="Anuradha Murthy"/>
    <s v="Anuradha Murthy"/>
    <m/>
    <s v="Anuradha"/>
    <x v="6"/>
    <s v="Captive"/>
    <s v="Anuradha Murthy"/>
  </r>
  <r>
    <x v="180"/>
    <s v="Aashis Ranjan"/>
    <s v="Gourav Kumar"/>
    <s v="Gourav Kumar"/>
    <s v="Honey Badgers"/>
    <x v="4"/>
    <s v="Services"/>
    <s v="Aashis Ranjan"/>
  </r>
  <r>
    <x v="181"/>
    <s v="Aashis Ranjan"/>
    <s v="Gourav Kumar"/>
    <s v="Gourav Kumar"/>
    <s v="Honey Badgers"/>
    <x v="4"/>
    <s v="Captive"/>
    <s v="Aashis Ranjan"/>
  </r>
  <r>
    <x v="182"/>
    <s v="Sadhna Shukla"/>
    <s v="Sushma K M"/>
    <s v="Manjunath R"/>
    <s v="Voyagers"/>
    <x v="3"/>
    <s v="SOW Captive"/>
    <s v="Sadhna Shukla"/>
  </r>
  <r>
    <x v="183"/>
    <s v="Tarun Sareen"/>
    <s v="Sushma Hegde"/>
    <s v="Chiranjeev Desai"/>
    <s v="Catalyst"/>
    <x v="0"/>
    <s v="Services"/>
    <s v="Tarun Sareen"/>
  </r>
  <r>
    <x v="184"/>
    <s v="Mehr Hashim"/>
    <s v="Mehr Hashim"/>
    <s v="Sandipta  P"/>
    <s v="Voyagers"/>
    <x v="3"/>
    <s v="Captive"/>
    <s v="Mehr Hashim"/>
  </r>
  <r>
    <x v="185"/>
    <s v="Anuradha Murthy"/>
    <s v="Anuradha Murthy"/>
    <s v="Menaka Prasad"/>
    <s v="Anuradha"/>
    <x v="6"/>
    <s v="ITES"/>
    <s v="Anuradha Murthy"/>
  </r>
  <r>
    <x v="186"/>
    <s v="Anuradha Murthy"/>
    <s v="Anuradha Murthy"/>
    <s v="Menaka Prasad"/>
    <s v="Anuradha"/>
    <x v="6"/>
    <s v="Captive"/>
    <s v="Anuradha Murthy"/>
  </r>
  <r>
    <x v="187"/>
    <s v="Anuradha Murthy"/>
    <s v="Anuradha Murthy"/>
    <s v="Menaka Prasad"/>
    <s v="Anuradha"/>
    <x v="6"/>
    <s v="ITES"/>
    <s v="Anuradha Murthy"/>
  </r>
  <r>
    <x v="188"/>
    <s v="Anuradha Murthy"/>
    <s v="Surya S"/>
    <s v="Anuradha Murthy"/>
    <s v="Anuradha"/>
    <x v="0"/>
    <s v="Services"/>
    <s v="Anuradha Murthy"/>
  </r>
  <r>
    <x v="189"/>
    <s v="Mehr Hashim"/>
    <s v="Mehr Hashim"/>
    <s v="Sandipta  P"/>
    <s v="Voyagers"/>
    <x v="3"/>
    <s v="SOW Captive"/>
    <s v="Mehr Hashim"/>
  </r>
  <r>
    <x v="190"/>
    <s v="Aashis Ranjan"/>
    <s v="Sonia Sabnani "/>
    <e v="#N/A"/>
    <s v="Honey Badgers"/>
    <x v="4"/>
    <s v="ITES"/>
    <s v="Aashis Ranjan"/>
  </r>
  <r>
    <x v="191"/>
    <s v="Sadhna Shukla"/>
    <s v="Sushma K M"/>
    <s v="Sandipta  P"/>
    <s v="Voyagers"/>
    <x v="3"/>
    <s v="ITES"/>
    <s v="Sadhna Shukla"/>
  </r>
  <r>
    <x v="192"/>
    <s v="Nirmit Desai"/>
    <s v="Gourab S"/>
    <s v="Dhaval Patel"/>
    <s v="Nirmit"/>
    <x v="4"/>
    <s v="ITES"/>
    <s v="Nirmit Desai"/>
  </r>
  <r>
    <x v="193"/>
    <s v="Sadhna Shukla"/>
    <s v="Sushma K M"/>
    <s v="Manjunath R"/>
    <s v="Voyagers"/>
    <x v="3"/>
    <s v="ITES"/>
    <s v="Sadhna Shukla"/>
  </r>
  <r>
    <x v="194"/>
    <s v="Tarun Sareen"/>
    <s v="Priyakanta Choudhary"/>
    <s v="Chiranjeev Desai"/>
    <s v="Catalyst"/>
    <x v="0"/>
    <s v="ITES"/>
    <s v="Tarun Sareen"/>
  </r>
  <r>
    <x v="195"/>
    <s v="Anuradha Murthy"/>
    <s v="Anuradha Murthy"/>
    <s v=" "/>
    <s v="Anuradha"/>
    <x v="6"/>
    <s v="Services"/>
    <s v="Anuradha Murthy"/>
  </r>
  <r>
    <x v="196"/>
    <s v="Tarun Sareen"/>
    <s v="Manisha sh"/>
    <s v="Chiranjeev Desai"/>
    <s v="Catalyst"/>
    <x v="0"/>
    <s v="ITES"/>
    <s v="Tarun Sareen"/>
  </r>
  <r>
    <x v="197"/>
    <s v="Anuradha Murthy"/>
    <s v="Surya S"/>
    <s v="Anuradha Murthy"/>
    <s v="Anuradha"/>
    <x v="2"/>
    <s v="Captive"/>
    <s v="Anuradha Murthy"/>
  </r>
  <r>
    <x v="198"/>
    <s v="Nirmit Desai"/>
    <s v="Manisha sh"/>
    <s v="Dhaval Patel"/>
    <s v="Nirmit"/>
    <x v="2"/>
    <s v="Services"/>
    <s v="Nirmit Desai"/>
  </r>
  <r>
    <x v="199"/>
    <s v="Tarun Sareen"/>
    <s v="Tara VR"/>
    <s v="Gunupati Reddy"/>
    <s v="Tarun"/>
    <x v="0"/>
    <s v="Services"/>
    <s v="Tarun Sareen"/>
  </r>
  <r>
    <x v="200"/>
    <s v="Nirmit Desai"/>
    <s v="Sonia Sabnani "/>
    <s v="Dhaval Patel"/>
    <s v="Nirmit"/>
    <x v="4"/>
    <s v="Services"/>
    <s v="Nirmit Desai"/>
  </r>
  <r>
    <x v="201"/>
    <s v="Aashis Ranjan"/>
    <s v="Gourav Kumar"/>
    <e v="#N/A"/>
    <s v="Honey Badgers"/>
    <x v="4"/>
    <s v="ITES"/>
    <s v="Aashis Ranjan"/>
  </r>
  <r>
    <x v="202"/>
    <s v="Aashis Ranjan"/>
    <s v="Gourav Kumar"/>
    <e v="#N/A"/>
    <s v="Honey Badgers"/>
    <x v="4"/>
    <s v="ITES"/>
    <s v="Aashis Ranjan"/>
  </r>
  <r>
    <x v="203"/>
    <s v="Sadhna Shukla"/>
    <s v="Shailesh Gangwar"/>
    <s v="Sandipta  P"/>
    <s v="Voyagers"/>
    <x v="2"/>
    <s v="ITES"/>
    <s v="Sadhna Shukla"/>
  </r>
  <r>
    <x v="204"/>
    <s v="Sadhna Shukla"/>
    <s v="Shailesh Gangwar"/>
    <s v="Manjunath R"/>
    <s v="Voyagers"/>
    <x v="2"/>
    <s v="Captive"/>
    <s v="Sadhna Shukla"/>
  </r>
  <r>
    <x v="205"/>
    <s v="Anuradha Murthy"/>
    <s v="Surya S"/>
    <s v="Anuradha Murthy"/>
    <s v="Anuradha"/>
    <x v="6"/>
    <s v="Services"/>
    <s v="Anuradha Murthy"/>
  </r>
  <r>
    <x v="206"/>
    <s v="Anuradha Murthy"/>
    <s v="Anuradha"/>
    <m/>
    <m/>
    <x v="0"/>
    <s v="ITES"/>
    <s v="Anuradha Murthy"/>
  </r>
  <r>
    <x v="207"/>
    <s v="Sadhna Shukla"/>
    <s v="Shailesh Gangwar"/>
    <s v="Manjunath R"/>
    <s v="Voyagers"/>
    <x v="7"/>
    <s v="SOW Captive"/>
    <s v="Sadhna Shukla"/>
  </r>
  <r>
    <x v="208"/>
    <s v="Nirmit Desai Non IT"/>
    <s v="Prathyusha Mangalampalli"/>
    <s v="Prathyusha Mangalampalli"/>
    <s v="Nirmit"/>
    <x v="14"/>
    <s v="ITES"/>
    <s v="Nirmit Desai"/>
  </r>
  <r>
    <x v="209"/>
    <s v="Nirmit Desai Non IT"/>
    <s v="Jawad Ulla Khan"/>
    <s v="Prathyusha Mangalampalli"/>
    <s v="Nirmit"/>
    <x v="14"/>
    <s v="ITES"/>
    <s v="Nirmit Desai"/>
  </r>
  <r>
    <x v="210"/>
    <s v="Nirmit Desai Non IT"/>
    <s v="Jawad Ulla Khan"/>
    <s v="Prathyusha Mangalampalli"/>
    <s v="Nirmit"/>
    <x v="14"/>
    <s v="ITES"/>
    <s v="Nirmit Desai"/>
  </r>
  <r>
    <x v="211"/>
    <s v="Nirmit Desai Non IT"/>
    <s v="Jawad Ulla Khan"/>
    <s v="Prathyusha Mangalampalli"/>
    <s v="Nirmit"/>
    <x v="14"/>
    <s v="ITES"/>
    <s v="Nirmit Desai"/>
  </r>
  <r>
    <x v="212"/>
    <s v="Aashis Ranjan"/>
    <s v="Gourav Kumar"/>
    <s v="Gourav Kumar"/>
    <s v="Honey Badgers"/>
    <x v="4"/>
    <s v="Services"/>
    <s v="Aashis Ranjan"/>
  </r>
  <r>
    <x v="213"/>
    <s v="Anuradha Murthy"/>
    <s v="Surya S"/>
    <s v="Priya BH"/>
    <s v="Anuradha"/>
    <x v="6"/>
    <s v="Captive"/>
    <s v="Anuradha Murthy"/>
  </r>
  <r>
    <x v="214"/>
    <s v="Sadhna Shukla"/>
    <s v="Sushma K M"/>
    <s v="Manjunath R"/>
    <s v="Voyagers"/>
    <x v="3"/>
    <s v="Captive"/>
    <s v="Sadhna Shukla"/>
  </r>
  <r>
    <x v="215"/>
    <s v="Nirmit Desai"/>
    <s v="Dikshita Sehgal"/>
    <s v="Dhaval patel"/>
    <s v="Nirmit"/>
    <x v="4"/>
    <s v="Captive"/>
    <s v="Nirmit Desai"/>
  </r>
  <r>
    <x v="216"/>
    <s v="Sadhna Shukla"/>
    <s v="Sushma K M"/>
    <s v="Manjunath R"/>
    <s v="Voyagers"/>
    <x v="3"/>
    <s v="Captive"/>
    <s v="Sadhna Shukla"/>
  </r>
  <r>
    <x v="217"/>
    <s v="Aashis Ranjan"/>
    <s v="Gourav Kumar"/>
    <s v="Gourav Kumar"/>
    <s v="Honey Badgers"/>
    <x v="4"/>
    <s v="Services"/>
    <s v="Aashis Ranjan"/>
  </r>
  <r>
    <x v="218"/>
    <s v="Sadhna Shukla"/>
    <s v="Sushma K M"/>
    <s v="Manjunath R"/>
    <s v="Voyagers"/>
    <x v="3"/>
    <s v="Captive"/>
    <s v="Sadhna Shukla"/>
  </r>
  <r>
    <x v="219"/>
    <s v="Tarun Sareen"/>
    <s v="Sushma Hegde"/>
    <m/>
    <s v="Catalyst"/>
    <x v="0"/>
    <s v="Services"/>
    <s v="Tarun Sareen"/>
  </r>
  <r>
    <x v="220"/>
    <s v="Tarun Sareen"/>
    <s v="Sushma K M"/>
    <s v="Manjunath R"/>
    <s v="Catalyst"/>
    <x v="0"/>
    <s v="Services"/>
    <s v="Tarun Sareen"/>
  </r>
  <r>
    <x v="221"/>
    <s v="Tarun Sareen"/>
    <s v="Not Assigned"/>
    <m/>
    <s v="Catalyst"/>
    <x v="0"/>
    <s v="Services"/>
    <s v="Tarun Sareen"/>
  </r>
  <r>
    <x v="222"/>
    <s v="Tarun Sareen"/>
    <s v="Not Assigned"/>
    <s v="Sayli Ravishankar Atkare"/>
    <s v="Catalyst"/>
    <x v="0"/>
    <s v="Services"/>
    <s v="Tarun Sareen"/>
  </r>
  <r>
    <x v="223"/>
    <s v="Nirmit Desai"/>
    <s v="Sonia Sabnani "/>
    <m/>
    <s v="Nirmit"/>
    <x v="2"/>
    <s v="Captive"/>
    <s v="Nirmit Desai"/>
  </r>
  <r>
    <x v="224"/>
    <s v="Nirmit Desai"/>
    <s v="Sonia Sabnani "/>
    <m/>
    <s v="Nirmit"/>
    <x v="6"/>
    <s v="Captive"/>
    <s v="Nirmit Desai"/>
  </r>
  <r>
    <x v="225"/>
    <s v="Anuradha Murthy"/>
    <s v="Surya S"/>
    <m/>
    <s v="Anuradha"/>
    <x v="6"/>
    <s v="Captive"/>
    <s v="Anuradha Murthy"/>
  </r>
  <r>
    <x v="226"/>
    <s v="Anuradha Murthy"/>
    <s v="Anuradha Murthy"/>
    <m/>
    <s v="Anuradha"/>
    <x v="6"/>
    <s v="Captive"/>
    <s v="Anuradha Murthy"/>
  </r>
  <r>
    <x v="227"/>
    <s v="Sadhna Shukla"/>
    <s v="Shailesh Gangwar"/>
    <s v="Dipika Saha"/>
    <s v="Voyagers"/>
    <x v="2"/>
    <s v="Captive"/>
    <s v="Sadhna Shukla"/>
  </r>
  <r>
    <x v="228"/>
    <s v="Sadhna Shukla"/>
    <s v="Shailesh Gangwar"/>
    <s v="Pralhad"/>
    <s v="Voyagers"/>
    <x v="3"/>
    <s v="Captive"/>
    <s v="Sadhna Shukla"/>
  </r>
  <r>
    <x v="229"/>
    <s v="Tarun Sareen"/>
    <s v="Sushma Hegde"/>
    <m/>
    <s v="Catalyst"/>
    <x v="0"/>
    <s v="Services"/>
    <s v="Tarun Sareen"/>
  </r>
  <r>
    <x v="230"/>
    <s v="Sadhna Shukla"/>
    <m/>
    <s v="Manjunath R"/>
    <s v="Voyagers"/>
    <x v="3"/>
    <s v="Captive"/>
    <s v="Sadhna Shukla"/>
  </r>
  <r>
    <x v="231"/>
    <s v="Sadhna Shukla"/>
    <s v="Shailesh Gangwar"/>
    <s v="Justin Dsilva"/>
    <s v="Voyagers"/>
    <x v="3"/>
    <s v="Captive"/>
    <s v="Sadhna Shukla"/>
  </r>
  <r>
    <x v="232"/>
    <s v="Tarun Sareen"/>
    <s v="Sushma Hegde"/>
    <s v="Justin Dsilva"/>
    <s v="Catalyst"/>
    <x v="7"/>
    <s v="Services"/>
    <s v="Tarun Sareen"/>
  </r>
  <r>
    <x v="233"/>
    <s v="Tarun Sareen Non IT"/>
    <s v="Tarun Sareen"/>
    <s v="Chiranjeev Desai"/>
    <s v="Catalyst"/>
    <x v="0"/>
    <s v="ITES"/>
    <s v="Tarun Sareen"/>
  </r>
  <r>
    <x v="234"/>
    <s v="Tarun Sareen"/>
    <s v="Sushma K M"/>
    <s v="Chiranjeev Desai"/>
    <s v="Voyagers"/>
    <x v="7"/>
    <s v="Services"/>
    <s v="Tarun Sareen"/>
  </r>
  <r>
    <x v="84"/>
    <s v="Mehr Hashim"/>
    <s v="Mehr Hashim"/>
    <s v="Sandipta  P"/>
    <s v="Voyagers"/>
    <x v="10"/>
    <s v="Captive"/>
    <s v="Mehr Hashim"/>
  </r>
  <r>
    <x v="235"/>
    <s v="Deepak Desai"/>
    <s v="Saravanan P"/>
    <s v="Santhosh G"/>
    <s v="Nirmit"/>
    <x v="8"/>
    <s v="Captive"/>
    <s v="Nirmit Desai"/>
  </r>
  <r>
    <x v="236"/>
    <s v="Nirmit Desai"/>
    <s v="Tamil C"/>
    <s v="Tamil C"/>
    <s v="Nirmit"/>
    <x v="8"/>
    <s v="SOW Captive"/>
    <s v="Nirmit Desai"/>
  </r>
  <r>
    <x v="237"/>
    <s v="Tarun Sareen"/>
    <s v="Menaka Prasad"/>
    <s v="Menaka Prasad"/>
    <s v="Catalyst"/>
    <x v="15"/>
    <s v="Services"/>
    <s v="Tarun Sareen"/>
  </r>
  <r>
    <x v="238"/>
    <s v="Kiran Gowda"/>
    <s v="Dikshita Sehgal"/>
    <m/>
    <s v="Kiran Gowda"/>
    <x v="15"/>
    <s v="Services"/>
    <s v="Kiran SiddheGowda"/>
  </r>
  <r>
    <x v="239"/>
    <s v="Nirmit Desai"/>
    <s v="Rajat Tyagi"/>
    <s v="Manjunath R"/>
    <s v="Nirmit"/>
    <x v="4"/>
    <s v="Captive"/>
    <s v="Nirmit Desai"/>
  </r>
  <r>
    <x v="240"/>
    <s v="Kiran Gowda"/>
    <s v="Kiran Gowda"/>
    <m/>
    <s v="Kiran Gowda"/>
    <x v="15"/>
    <s v="Services"/>
    <s v="Kiran SiddheGowda"/>
  </r>
  <r>
    <x v="241"/>
    <s v="Kiran Gowda"/>
    <s v="Kiran Gowda"/>
    <m/>
    <s v="Kiran Gowda"/>
    <x v="15"/>
    <s v="Services"/>
    <s v="Kiran SiddheGowda"/>
  </r>
  <r>
    <x v="242"/>
    <s v="Tarun Sareen"/>
    <s v="Sushma Hegde"/>
    <s v="Justin Dsilva"/>
    <s v="Catalyst"/>
    <x v="15"/>
    <s v="Services"/>
    <s v="Tarun Sareen"/>
  </r>
  <r>
    <x v="243"/>
    <s v="ITES Clients"/>
    <s v="Jawad Ulla Khan"/>
    <s v="Prathyusha Mangalampalli"/>
    <s v="Avengers"/>
    <x v="12"/>
    <s v="ITES"/>
    <s v="Jawad Ulla Khan"/>
  </r>
  <r>
    <x v="244"/>
    <s v="Sadhna Shukla"/>
    <s v="Sujith AK"/>
    <s v="Sandipta  P"/>
    <s v="Voyagers"/>
    <x v="16"/>
    <s v="Captive"/>
    <s v="Sadhna Shukla"/>
  </r>
  <r>
    <x v="245"/>
    <s v="Anuradha Murthy"/>
    <s v="Gourab S"/>
    <s v="Menaka Prasad"/>
    <s v="Anuradha"/>
    <x v="16"/>
    <s v="Captive"/>
    <s v="Anuradha Murthy"/>
  </r>
  <r>
    <x v="246"/>
    <s v="Anuradha Murthy"/>
    <s v="Surya S"/>
    <s v="Menaka Prasad"/>
    <s v="Anuradha"/>
    <x v="16"/>
    <s v="Captive"/>
    <s v="Anuradha Murthy"/>
  </r>
  <r>
    <x v="247"/>
    <s v="Anuradha Murthy"/>
    <s v="Surya S"/>
    <s v="Menaka Prasad"/>
    <s v="Anuradha"/>
    <x v="16"/>
    <s v="Captive"/>
    <s v="Anuradha Murthy"/>
  </r>
  <r>
    <x v="248"/>
    <s v="Anuradha Murthy"/>
    <s v="Surya S"/>
    <s v="Menaka Prasad"/>
    <s v="Anuradha"/>
    <x v="16"/>
    <s v="Captive"/>
    <s v="Anuradha Murthy"/>
  </r>
  <r>
    <x v="249"/>
    <s v="Anuradha Murthy"/>
    <s v="Menaka Prasad"/>
    <s v="Menaka Prasad"/>
    <s v="Anuradha"/>
    <x v="16"/>
    <s v="Captive"/>
    <s v="Anuradha Murthy"/>
  </r>
  <r>
    <x v="250"/>
    <s v="Nirmit Desai"/>
    <s v="Gaurav kumar"/>
    <m/>
    <s v="Philippines"/>
    <x v="16"/>
    <n v="0"/>
    <s v="Nirmit Desai"/>
  </r>
  <r>
    <x v="251"/>
    <s v="Nirmit Desai"/>
    <s v="Gaurav kumar"/>
    <m/>
    <s v="Philippines"/>
    <x v="16"/>
    <n v="0"/>
    <s v="Nirmit Desai"/>
  </r>
  <r>
    <x v="252"/>
    <s v="Nirmit Desai"/>
    <s v="Gaurav kumar"/>
    <m/>
    <s v="Philippines"/>
    <x v="16"/>
    <n v="0"/>
    <s v="Nirmit Desai"/>
  </r>
  <r>
    <x v="253"/>
    <s v="Nirmit Desai"/>
    <s v="Gaurav kumar"/>
    <m/>
    <s v="Philippines"/>
    <x v="16"/>
    <n v="0"/>
    <s v="Nirmit Desai"/>
  </r>
  <r>
    <x v="254"/>
    <s v="Nirmit Desai"/>
    <s v="Gaurav kumar"/>
    <m/>
    <s v="Philippines"/>
    <x v="16"/>
    <n v="0"/>
    <s v="Nirmit Desai"/>
  </r>
  <r>
    <x v="255"/>
    <s v="Nirmit Desai"/>
    <s v="Gaurav kumar"/>
    <m/>
    <s v="Philippines"/>
    <x v="16"/>
    <n v="0"/>
    <s v="Nirmit Desai"/>
  </r>
  <r>
    <x v="256"/>
    <s v="Nirmit Desai"/>
    <s v="Gaurav kumar"/>
    <m/>
    <s v="Philippines"/>
    <x v="16"/>
    <n v="0"/>
    <s v="Nirmit Desai"/>
  </r>
  <r>
    <x v="257"/>
    <s v="Nirmit Desai"/>
    <s v="Aishwarya Kolte"/>
    <m/>
    <s v="Dubai"/>
    <x v="16"/>
    <n v="0"/>
    <s v="Nirmit Desai"/>
  </r>
  <r>
    <x v="258"/>
    <s v="Nirmit Desai"/>
    <s v="Aishwarya Kolte"/>
    <m/>
    <s v="Dubai"/>
    <x v="16"/>
    <n v="0"/>
    <s v="Nirmit Desai"/>
  </r>
  <r>
    <x v="259"/>
    <s v="Nirmit Desai"/>
    <s v="Aishwarya Kolte"/>
    <m/>
    <s v="Dubai"/>
    <x v="16"/>
    <n v="0"/>
    <s v="Nirmit Desai"/>
  </r>
  <r>
    <x v="260"/>
    <s v="Kiran Gowda"/>
    <m/>
    <m/>
    <m/>
    <x v="16"/>
    <s v="Captive"/>
    <s v="Kiran Gowda"/>
  </r>
  <r>
    <x v="261"/>
    <s v="Sadhna Shukla"/>
    <s v="Sujith AK"/>
    <m/>
    <s v="Voyagers"/>
    <x v="16"/>
    <s v="Captive"/>
    <m/>
  </r>
  <r>
    <x v="262"/>
    <s v="Anuradha Murthy"/>
    <s v="Anuradha Murthy"/>
    <s v="Menaka Prasad"/>
    <s v="Anuradha"/>
    <x v="6"/>
    <s v="ITES"/>
    <s v="Anuradha Murthy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8">
  <r>
    <x v="0"/>
    <x v="0"/>
  </r>
  <r>
    <x v="0"/>
    <x v="0"/>
  </r>
  <r>
    <x v="0"/>
    <x v="1"/>
  </r>
  <r>
    <x v="0"/>
    <x v="2"/>
  </r>
  <r>
    <x v="1"/>
    <x v="3"/>
  </r>
  <r>
    <x v="0"/>
    <x v="1"/>
  </r>
  <r>
    <x v="0"/>
    <x v="1"/>
  </r>
  <r>
    <x v="1"/>
    <x v="3"/>
  </r>
  <r>
    <x v="2"/>
    <x v="4"/>
  </r>
  <r>
    <x v="0"/>
    <x v="5"/>
  </r>
  <r>
    <x v="3"/>
    <x v="6"/>
  </r>
  <r>
    <x v="4"/>
    <x v="7"/>
  </r>
  <r>
    <x v="5"/>
    <x v="4"/>
  </r>
  <r>
    <x v="1"/>
    <x v="3"/>
  </r>
  <r>
    <x v="3"/>
    <x v="6"/>
  </r>
  <r>
    <x v="3"/>
    <x v="6"/>
  </r>
  <r>
    <x v="6"/>
    <x v="8"/>
  </r>
  <r>
    <x v="6"/>
    <x v="8"/>
  </r>
  <r>
    <x v="4"/>
    <x v="7"/>
  </r>
  <r>
    <x v="6"/>
    <x v="9"/>
  </r>
  <r>
    <x v="0"/>
    <x v="10"/>
  </r>
  <r>
    <x v="2"/>
    <x v="11"/>
  </r>
  <r>
    <x v="0"/>
    <x v="0"/>
  </r>
  <r>
    <x v="2"/>
    <x v="11"/>
  </r>
  <r>
    <x v="0"/>
    <x v="0"/>
  </r>
  <r>
    <x v="2"/>
    <x v="4"/>
  </r>
  <r>
    <x v="2"/>
    <x v="4"/>
  </r>
  <r>
    <x v="0"/>
    <x v="12"/>
  </r>
  <r>
    <x v="0"/>
    <x v="13"/>
  </r>
  <r>
    <x v="0"/>
    <x v="13"/>
  </r>
  <r>
    <x v="0"/>
    <x v="13"/>
  </r>
  <r>
    <x v="0"/>
    <x v="13"/>
  </r>
  <r>
    <x v="2"/>
    <x v="11"/>
  </r>
  <r>
    <x v="6"/>
    <x v="14"/>
  </r>
  <r>
    <x v="6"/>
    <x v="9"/>
  </r>
  <r>
    <x v="1"/>
    <x v="3"/>
  </r>
  <r>
    <x v="3"/>
    <x v="6"/>
  </r>
  <r>
    <x v="4"/>
    <x v="7"/>
  </r>
  <r>
    <x v="6"/>
    <x v="14"/>
  </r>
  <r>
    <x v="6"/>
    <x v="14"/>
  </r>
  <r>
    <x v="0"/>
    <x v="15"/>
  </r>
  <r>
    <x v="0"/>
    <x v="15"/>
  </r>
  <r>
    <x v="2"/>
    <x v="4"/>
  </r>
  <r>
    <x v="6"/>
    <x v="9"/>
  </r>
  <r>
    <x v="3"/>
    <x v="6"/>
  </r>
  <r>
    <x v="2"/>
    <x v="6"/>
  </r>
  <r>
    <x v="0"/>
    <x v="16"/>
  </r>
  <r>
    <x v="2"/>
    <x v="4"/>
  </r>
  <r>
    <x v="6"/>
    <x v="9"/>
  </r>
  <r>
    <x v="7"/>
    <x v="13"/>
  </r>
  <r>
    <x v="0"/>
    <x v="0"/>
  </r>
  <r>
    <x v="0"/>
    <x v="17"/>
  </r>
  <r>
    <x v="0"/>
    <x v="5"/>
  </r>
  <r>
    <x v="0"/>
    <x v="18"/>
  </r>
  <r>
    <x v="0"/>
    <x v="18"/>
  </r>
  <r>
    <x v="0"/>
    <x v="18"/>
  </r>
  <r>
    <x v="0"/>
    <x v="19"/>
  </r>
  <r>
    <x v="0"/>
    <x v="18"/>
  </r>
  <r>
    <x v="0"/>
    <x v="18"/>
  </r>
  <r>
    <x v="0"/>
    <x v="18"/>
  </r>
  <r>
    <x v="0"/>
    <x v="18"/>
  </r>
  <r>
    <x v="0"/>
    <x v="18"/>
  </r>
  <r>
    <x v="0"/>
    <x v="18"/>
  </r>
  <r>
    <x v="0"/>
    <x v="18"/>
  </r>
  <r>
    <x v="0"/>
    <x v="18"/>
  </r>
  <r>
    <x v="0"/>
    <x v="17"/>
  </r>
  <r>
    <x v="0"/>
    <x v="20"/>
  </r>
  <r>
    <x v="0"/>
    <x v="12"/>
  </r>
  <r>
    <x v="0"/>
    <x v="2"/>
  </r>
  <r>
    <x v="0"/>
    <x v="21"/>
  </r>
  <r>
    <x v="0"/>
    <x v="2"/>
  </r>
  <r>
    <x v="0"/>
    <x v="2"/>
  </r>
  <r>
    <x v="0"/>
    <x v="2"/>
  </r>
  <r>
    <x v="2"/>
    <x v="11"/>
  </r>
  <r>
    <x v="0"/>
    <x v="10"/>
  </r>
  <r>
    <x v="6"/>
    <x v="9"/>
  </r>
  <r>
    <x v="0"/>
    <x v="20"/>
  </r>
  <r>
    <x v="6"/>
    <x v="9"/>
  </r>
  <r>
    <x v="0"/>
    <x v="22"/>
  </r>
  <r>
    <x v="1"/>
    <x v="22"/>
  </r>
  <r>
    <x v="0"/>
    <x v="22"/>
  </r>
  <r>
    <x v="0"/>
    <x v="22"/>
  </r>
  <r>
    <x v="6"/>
    <x v="9"/>
  </r>
  <r>
    <x v="3"/>
    <x v="6"/>
  </r>
  <r>
    <x v="3"/>
    <x v="6"/>
  </r>
  <r>
    <x v="0"/>
    <x v="2"/>
  </r>
  <r>
    <x v="8"/>
    <x v="2"/>
  </r>
  <r>
    <x v="2"/>
    <x v="23"/>
  </r>
  <r>
    <x v="3"/>
    <x v="6"/>
  </r>
  <r>
    <x v="0"/>
    <x v="24"/>
  </r>
  <r>
    <x v="3"/>
    <x v="6"/>
  </r>
  <r>
    <x v="0"/>
    <x v="12"/>
  </r>
  <r>
    <x v="8"/>
    <x v="0"/>
  </r>
  <r>
    <x v="6"/>
    <x v="9"/>
  </r>
  <r>
    <x v="9"/>
    <x v="7"/>
  </r>
  <r>
    <x v="0"/>
    <x v="2"/>
  </r>
  <r>
    <x v="0"/>
    <x v="2"/>
  </r>
  <r>
    <x v="0"/>
    <x v="2"/>
  </r>
  <r>
    <x v="0"/>
    <x v="2"/>
  </r>
  <r>
    <x v="3"/>
    <x v="6"/>
  </r>
  <r>
    <x v="1"/>
    <x v="25"/>
  </r>
  <r>
    <x v="1"/>
    <x v="25"/>
  </r>
  <r>
    <x v="1"/>
    <x v="25"/>
  </r>
  <r>
    <x v="1"/>
    <x v="25"/>
  </r>
  <r>
    <x v="0"/>
    <x v="12"/>
  </r>
  <r>
    <x v="2"/>
    <x v="11"/>
  </r>
  <r>
    <x v="0"/>
    <x v="21"/>
  </r>
  <r>
    <x v="0"/>
    <x v="14"/>
  </r>
  <r>
    <x v="0"/>
    <x v="7"/>
  </r>
  <r>
    <x v="0"/>
    <x v="26"/>
  </r>
  <r>
    <x v="0"/>
    <x v="5"/>
  </r>
  <r>
    <x v="0"/>
    <x v="5"/>
  </r>
  <r>
    <x v="0"/>
    <x v="10"/>
  </r>
  <r>
    <x v="0"/>
    <x v="5"/>
  </r>
  <r>
    <x v="0"/>
    <x v="5"/>
  </r>
  <r>
    <x v="0"/>
    <x v="5"/>
  </r>
  <r>
    <x v="0"/>
    <x v="10"/>
  </r>
  <r>
    <x v="0"/>
    <x v="5"/>
  </r>
  <r>
    <x v="0"/>
    <x v="7"/>
  </r>
  <r>
    <x v="0"/>
    <x v="5"/>
  </r>
  <r>
    <x v="0"/>
    <x v="10"/>
  </r>
  <r>
    <x v="0"/>
    <x v="13"/>
  </r>
  <r>
    <x v="6"/>
    <x v="9"/>
  </r>
  <r>
    <x v="6"/>
    <x v="9"/>
  </r>
  <r>
    <x v="2"/>
    <x v="4"/>
  </r>
  <r>
    <x v="1"/>
    <x v="25"/>
  </r>
  <r>
    <x v="1"/>
    <x v="24"/>
  </r>
  <r>
    <x v="0"/>
    <x v="20"/>
  </r>
  <r>
    <x v="10"/>
    <x v="27"/>
  </r>
  <r>
    <x v="1"/>
    <x v="13"/>
  </r>
  <r>
    <x v="6"/>
    <x v="14"/>
  </r>
  <r>
    <x v="0"/>
    <x v="14"/>
  </r>
  <r>
    <x v="0"/>
    <x v="5"/>
  </r>
  <r>
    <x v="0"/>
    <x v="17"/>
  </r>
  <r>
    <x v="0"/>
    <x v="17"/>
  </r>
  <r>
    <x v="0"/>
    <x v="17"/>
  </r>
  <r>
    <x v="2"/>
    <x v="11"/>
  </r>
  <r>
    <x v="1"/>
    <x v="3"/>
  </r>
  <r>
    <x v="1"/>
    <x v="3"/>
  </r>
  <r>
    <x v="6"/>
    <x v="8"/>
  </r>
  <r>
    <x v="3"/>
    <x v="6"/>
  </r>
  <r>
    <x v="0"/>
    <x v="17"/>
  </r>
  <r>
    <x v="0"/>
    <x v="21"/>
  </r>
  <r>
    <x v="6"/>
    <x v="14"/>
  </r>
  <r>
    <x v="6"/>
    <x v="14"/>
  </r>
  <r>
    <x v="11"/>
    <x v="14"/>
  </r>
  <r>
    <x v="1"/>
    <x v="20"/>
  </r>
  <r>
    <x v="1"/>
    <x v="20"/>
  </r>
  <r>
    <x v="1"/>
    <x v="8"/>
  </r>
  <r>
    <x v="0"/>
    <x v="12"/>
  </r>
  <r>
    <x v="0"/>
    <x v="12"/>
  </r>
  <r>
    <x v="0"/>
    <x v="5"/>
  </r>
  <r>
    <x v="0"/>
    <x v="0"/>
  </r>
  <r>
    <x v="8"/>
    <x v="0"/>
  </r>
  <r>
    <x v="0"/>
    <x v="0"/>
  </r>
  <r>
    <x v="7"/>
    <x v="9"/>
  </r>
  <r>
    <x v="2"/>
    <x v="4"/>
  </r>
  <r>
    <x v="0"/>
    <x v="11"/>
  </r>
  <r>
    <x v="6"/>
    <x v="9"/>
  </r>
  <r>
    <x v="6"/>
    <x v="9"/>
  </r>
  <r>
    <x v="6"/>
    <x v="9"/>
  </r>
  <r>
    <x v="11"/>
    <x v="9"/>
  </r>
  <r>
    <x v="6"/>
    <x v="8"/>
  </r>
  <r>
    <x v="6"/>
    <x v="9"/>
  </r>
  <r>
    <x v="11"/>
    <x v="9"/>
  </r>
  <r>
    <x v="2"/>
    <x v="6"/>
  </r>
  <r>
    <x v="3"/>
    <x v="6"/>
  </r>
  <r>
    <x v="4"/>
    <x v="7"/>
  </r>
  <r>
    <x v="4"/>
    <x v="7"/>
  </r>
  <r>
    <x v="0"/>
    <x v="19"/>
  </r>
  <r>
    <x v="3"/>
    <x v="6"/>
  </r>
  <r>
    <x v="0"/>
    <x v="22"/>
  </r>
  <r>
    <x v="2"/>
    <x v="11"/>
  </r>
  <r>
    <x v="8"/>
    <x v="17"/>
  </r>
  <r>
    <x v="6"/>
    <x v="8"/>
  </r>
  <r>
    <x v="6"/>
    <x v="9"/>
  </r>
  <r>
    <x v="0"/>
    <x v="28"/>
  </r>
  <r>
    <x v="0"/>
    <x v="27"/>
  </r>
  <r>
    <x v="0"/>
    <x v="27"/>
  </r>
  <r>
    <x v="6"/>
    <x v="8"/>
  </r>
  <r>
    <x v="4"/>
    <x v="7"/>
  </r>
  <r>
    <x v="4"/>
    <x v="7"/>
  </r>
  <r>
    <x v="2"/>
    <x v="4"/>
  </r>
  <r>
    <x v="0"/>
    <x v="10"/>
  </r>
  <r>
    <x v="3"/>
    <x v="6"/>
  </r>
  <r>
    <x v="11"/>
    <x v="8"/>
  </r>
  <r>
    <x v="6"/>
    <x v="8"/>
  </r>
  <r>
    <x v="6"/>
    <x v="8"/>
  </r>
  <r>
    <x v="0"/>
    <x v="9"/>
  </r>
  <r>
    <x v="3"/>
    <x v="6"/>
  </r>
  <r>
    <x v="4"/>
    <x v="20"/>
  </r>
  <r>
    <x v="2"/>
    <x v="4"/>
  </r>
  <r>
    <x v="0"/>
    <x v="14"/>
  </r>
  <r>
    <x v="2"/>
    <x v="4"/>
  </r>
  <r>
    <x v="6"/>
    <x v="1"/>
  </r>
  <r>
    <x v="6"/>
    <x v="8"/>
  </r>
  <r>
    <x v="0"/>
    <x v="22"/>
  </r>
  <r>
    <x v="2"/>
    <x v="9"/>
  </r>
  <r>
    <x v="0"/>
    <x v="22"/>
  </r>
  <r>
    <x v="0"/>
    <x v="5"/>
  </r>
  <r>
    <x v="0"/>
    <x v="19"/>
  </r>
  <r>
    <x v="4"/>
    <x v="7"/>
  </r>
  <r>
    <x v="4"/>
    <x v="7"/>
  </r>
  <r>
    <x v="2"/>
    <x v="11"/>
  </r>
  <r>
    <x v="2"/>
    <x v="11"/>
  </r>
  <r>
    <x v="6"/>
    <x v="9"/>
  </r>
  <r>
    <x v="0"/>
    <x v="8"/>
  </r>
  <r>
    <x v="2"/>
    <x v="11"/>
  </r>
  <r>
    <x v="1"/>
    <x v="24"/>
  </r>
  <r>
    <x v="1"/>
    <x v="3"/>
  </r>
  <r>
    <x v="1"/>
    <x v="3"/>
  </r>
  <r>
    <x v="1"/>
    <x v="3"/>
  </r>
  <r>
    <x v="4"/>
    <x v="7"/>
  </r>
  <r>
    <x v="6"/>
    <x v="9"/>
  </r>
  <r>
    <x v="2"/>
    <x v="4"/>
  </r>
  <r>
    <x v="0"/>
    <x v="17"/>
  </r>
  <r>
    <x v="2"/>
    <x v="4"/>
  </r>
  <r>
    <x v="4"/>
    <x v="7"/>
  </r>
  <r>
    <x v="2"/>
    <x v="4"/>
  </r>
  <r>
    <x v="0"/>
    <x v="15"/>
  </r>
  <r>
    <x v="0"/>
    <x v="15"/>
  </r>
  <r>
    <x v="0"/>
    <x v="15"/>
  </r>
  <r>
    <x v="0"/>
    <x v="15"/>
  </r>
  <r>
    <x v="0"/>
    <x v="20"/>
  </r>
  <r>
    <x v="0"/>
    <x v="20"/>
  </r>
  <r>
    <x v="6"/>
    <x v="9"/>
  </r>
  <r>
    <x v="6"/>
    <x v="8"/>
  </r>
  <r>
    <x v="2"/>
    <x v="11"/>
  </r>
  <r>
    <x v="7"/>
    <x v="11"/>
  </r>
  <r>
    <x v="7"/>
    <x v="10"/>
  </r>
  <r>
    <x v="2"/>
    <x v="27"/>
  </r>
  <r>
    <x v="2"/>
    <x v="11"/>
  </r>
  <r>
    <x v="0"/>
    <x v="10"/>
  </r>
  <r>
    <x v="8"/>
    <x v="0"/>
  </r>
  <r>
    <x v="0"/>
    <x v="4"/>
  </r>
  <r>
    <x v="3"/>
    <x v="6"/>
  </r>
  <r>
    <x v="0"/>
    <x v="12"/>
  </r>
  <r>
    <x v="0"/>
    <x v="27"/>
  </r>
  <r>
    <x v="0"/>
    <x v="29"/>
  </r>
  <r>
    <x v="12"/>
    <x v="17"/>
  </r>
  <r>
    <x v="0"/>
    <x v="18"/>
  </r>
  <r>
    <x v="12"/>
    <x v="30"/>
  </r>
  <r>
    <x v="12"/>
    <x v="30"/>
  </r>
  <r>
    <x v="0"/>
    <x v="15"/>
  </r>
  <r>
    <x v="1"/>
    <x v="3"/>
  </r>
  <r>
    <x v="2"/>
    <x v="23"/>
  </r>
  <r>
    <x v="6"/>
    <x v="14"/>
  </r>
  <r>
    <x v="6"/>
    <x v="9"/>
  </r>
  <r>
    <x v="6"/>
    <x v="9"/>
  </r>
  <r>
    <x v="6"/>
    <x v="9"/>
  </r>
  <r>
    <x v="6"/>
    <x v="29"/>
  </r>
  <r>
    <x v="0"/>
    <x v="31"/>
  </r>
  <r>
    <x v="0"/>
    <x v="31"/>
  </r>
  <r>
    <x v="0"/>
    <x v="31"/>
  </r>
  <r>
    <x v="0"/>
    <x v="31"/>
  </r>
  <r>
    <x v="0"/>
    <x v="31"/>
  </r>
  <r>
    <x v="0"/>
    <x v="31"/>
  </r>
  <r>
    <x v="0"/>
    <x v="31"/>
  </r>
  <r>
    <x v="0"/>
    <x v="16"/>
  </r>
  <r>
    <x v="0"/>
    <x v="16"/>
  </r>
  <r>
    <x v="0"/>
    <x v="16"/>
  </r>
  <r>
    <x v="0"/>
    <x v="31"/>
  </r>
  <r>
    <x v="0"/>
    <x v="0"/>
  </r>
  <r>
    <x v="2"/>
    <x v="23"/>
  </r>
  <r>
    <x v="1"/>
    <x v="32"/>
  </r>
  <r>
    <x v="1"/>
    <x v="32"/>
  </r>
  <r>
    <x v="13"/>
    <x v="33"/>
  </r>
  <r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AC30BF-51E5-494E-9C51-8E0300F0083C}" name="PivotTable2" cacheId="2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B42" firstHeaderRow="1" firstDataRow="5" firstDataCol="2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dataField="1" compact="0" outline="0" showAll="0" defaultSubtotal="0">
      <items count="258">
        <item x="3"/>
        <item x="6"/>
        <item x="11"/>
        <item x="9"/>
        <item x="16"/>
        <item x="5"/>
        <item x="14"/>
        <item x="10"/>
        <item x="12"/>
        <item x="19"/>
        <item x="8"/>
        <item x="21"/>
        <item x="24"/>
        <item x="23"/>
        <item x="29"/>
        <item x="18"/>
        <item x="0"/>
        <item x="27"/>
        <item x="25"/>
        <item x="22"/>
        <item x="35"/>
        <item x="17"/>
        <item x="32"/>
        <item x="13"/>
        <item x="38"/>
        <item x="37"/>
        <item x="2"/>
        <item x="33"/>
        <item x="1"/>
        <item x="36"/>
        <item x="4"/>
        <item x="46"/>
        <item x="15"/>
        <item x="45"/>
        <item x="44"/>
        <item x="49"/>
        <item x="43"/>
        <item x="31"/>
        <item x="51"/>
        <item x="48"/>
        <item x="42"/>
        <item x="39"/>
        <item x="50"/>
        <item x="61"/>
        <item x="41"/>
        <item x="26"/>
        <item x="57"/>
        <item x="47"/>
        <item x="54"/>
        <item x="60"/>
        <item x="59"/>
        <item x="68"/>
        <item x="58"/>
        <item x="74"/>
        <item x="70"/>
        <item x="7"/>
        <item x="75"/>
        <item x="53"/>
        <item x="82"/>
        <item x="77"/>
        <item x="81"/>
        <item x="80"/>
        <item x="64"/>
        <item x="90"/>
        <item x="83"/>
        <item x="100"/>
        <item x="91"/>
        <item x="34"/>
        <item x="72"/>
        <item x="102"/>
        <item x="85"/>
        <item x="73"/>
        <item x="71"/>
        <item x="79"/>
        <item x="104"/>
        <item x="30"/>
        <item x="78"/>
        <item x="66"/>
        <item x="105"/>
        <item x="76"/>
        <item x="109"/>
        <item x="86"/>
        <item x="20"/>
        <item x="113"/>
        <item x="107"/>
        <item x="115"/>
        <item x="112"/>
        <item x="116"/>
        <item x="28"/>
        <item x="88"/>
        <item x="122"/>
        <item x="114"/>
        <item x="87"/>
        <item x="123"/>
        <item x="125"/>
        <item x="127"/>
        <item x="124"/>
        <item x="84"/>
        <item x="128"/>
        <item x="99"/>
        <item x="129"/>
        <item x="92"/>
        <item x="132"/>
        <item x="126"/>
        <item x="52"/>
        <item x="131"/>
        <item x="89"/>
        <item x="40"/>
        <item x="137"/>
        <item x="136"/>
        <item x="93"/>
        <item x="67"/>
        <item x="135"/>
        <item x="142"/>
        <item x="139"/>
        <item x="141"/>
        <item x="130"/>
        <item x="106"/>
        <item x="140"/>
        <item x="145"/>
        <item x="101"/>
        <item x="134"/>
        <item x="146"/>
        <item x="138"/>
        <item x="133"/>
        <item x="148"/>
        <item x="117"/>
        <item x="147"/>
        <item x="55"/>
        <item x="151"/>
        <item x="103"/>
        <item x="144"/>
        <item x="154"/>
        <item x="110"/>
        <item x="158"/>
        <item x="149"/>
        <item x="161"/>
        <item x="152"/>
        <item x="162"/>
        <item x="159"/>
        <item x="153"/>
        <item x="163"/>
        <item x="94"/>
        <item x="167"/>
        <item x="156"/>
        <item x="155"/>
        <item x="111"/>
        <item x="150"/>
        <item x="168"/>
        <item x="160"/>
        <item x="157"/>
        <item x="108"/>
        <item x="164"/>
        <item x="170"/>
        <item x="177"/>
        <item x="178"/>
        <item x="176"/>
        <item x="171"/>
        <item x="174"/>
        <item x="183"/>
        <item x="166"/>
        <item x="62"/>
        <item x="186"/>
        <item x="172"/>
        <item x="169"/>
        <item x="185"/>
        <item x="187"/>
        <item x="182"/>
        <item x="165"/>
        <item x="190"/>
        <item x="179"/>
        <item x="63"/>
        <item x="194"/>
        <item x="119"/>
        <item x="191"/>
        <item x="198"/>
        <item x="184"/>
        <item x="195"/>
        <item x="143"/>
        <item x="200"/>
        <item x="201"/>
        <item x="193"/>
        <item x="175"/>
        <item x="196"/>
        <item x="197"/>
        <item x="203"/>
        <item x="199"/>
        <item x="209"/>
        <item x="204"/>
        <item x="192"/>
        <item x="208"/>
        <item x="210"/>
        <item x="215"/>
        <item x="213"/>
        <item x="56"/>
        <item x="206"/>
        <item x="205"/>
        <item x="214"/>
        <item x="188"/>
        <item x="207"/>
        <item x="218"/>
        <item x="220"/>
        <item x="180"/>
        <item x="211"/>
        <item x="202"/>
        <item x="216"/>
        <item x="223"/>
        <item x="181"/>
        <item x="224"/>
        <item x="212"/>
        <item x="226"/>
        <item x="229"/>
        <item x="225"/>
        <item x="222"/>
        <item x="227"/>
        <item x="65"/>
        <item x="228"/>
        <item x="231"/>
        <item x="217"/>
        <item x="232"/>
        <item x="95"/>
        <item x="230"/>
        <item x="219"/>
        <item x="235"/>
        <item x="189"/>
        <item x="221"/>
        <item x="238"/>
        <item x="120"/>
        <item x="234"/>
        <item x="118"/>
        <item x="241"/>
        <item x="96"/>
        <item x="69"/>
        <item x="243"/>
        <item x="97"/>
        <item x="239"/>
        <item x="248"/>
        <item x="121"/>
        <item x="98"/>
        <item x="249"/>
        <item x="173"/>
        <item x="251"/>
        <item x="233"/>
        <item x="236"/>
        <item x="240"/>
        <item x="237"/>
        <item x="244"/>
        <item x="245"/>
        <item x="250"/>
        <item x="246"/>
        <item x="247"/>
        <item x="253"/>
        <item x="252"/>
        <item x="254"/>
        <item x="256"/>
        <item x="255"/>
        <item x="242"/>
        <item x="25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1"/>
        <item x="0"/>
        <item x="6"/>
        <item x="4"/>
        <item x="3"/>
        <item x="2"/>
        <item x="5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6">
        <item m="1" x="25"/>
        <item x="16"/>
        <item x="22"/>
        <item x="3"/>
        <item x="2"/>
        <item x="7"/>
        <item x="9"/>
        <item x="10"/>
        <item x="13"/>
        <item x="0"/>
        <item x="23"/>
        <item x="1"/>
        <item x="6"/>
        <item x="15"/>
        <item x="11"/>
        <item x="21"/>
        <item x="12"/>
        <item x="18"/>
        <item x="19"/>
        <item x="14"/>
        <item x="8"/>
        <item x="20"/>
        <item x="17"/>
        <item x="4"/>
        <item x="5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4">
        <item h="1" sd="0" x="0"/>
        <item x="1"/>
        <item x="2"/>
        <item h="1" sd="0"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1"/>
    <field x="12"/>
  </rowFields>
  <rowItems count="35">
    <i>
      <x/>
      <x v="1"/>
    </i>
    <i r="1">
      <x v="4"/>
    </i>
    <i r="1">
      <x v="5"/>
    </i>
    <i r="1">
      <x v="6"/>
    </i>
    <i r="1">
      <x v="8"/>
    </i>
    <i r="1">
      <x v="11"/>
    </i>
    <i r="1">
      <x v="12"/>
    </i>
    <i r="1">
      <x v="13"/>
    </i>
    <i r="1">
      <x v="16"/>
    </i>
    <i r="1">
      <x v="19"/>
    </i>
    <i r="1">
      <x v="24"/>
    </i>
    <i>
      <x v="1"/>
      <x v="2"/>
    </i>
    <i r="1">
      <x v="6"/>
    </i>
    <i r="1">
      <x v="9"/>
    </i>
    <i r="1">
      <x v="11"/>
    </i>
    <i>
      <x v="2"/>
      <x v="4"/>
    </i>
    <i r="1">
      <x v="8"/>
    </i>
    <i r="1">
      <x v="19"/>
    </i>
    <i>
      <x v="3"/>
      <x v="4"/>
    </i>
    <i>
      <x v="4"/>
      <x v="23"/>
    </i>
    <i>
      <x v="5"/>
      <x v="3"/>
    </i>
    <i r="1">
      <x v="4"/>
    </i>
    <i r="1">
      <x v="10"/>
    </i>
    <i r="1">
      <x v="14"/>
    </i>
    <i r="1">
      <x v="19"/>
    </i>
    <i>
      <x v="6"/>
      <x v="7"/>
    </i>
    <i r="1">
      <x v="15"/>
    </i>
    <i r="1">
      <x v="17"/>
    </i>
    <i r="1">
      <x v="18"/>
    </i>
    <i r="1">
      <x v="20"/>
    </i>
    <i r="1">
      <x v="22"/>
    </i>
    <i>
      <x v="7"/>
      <x v="21"/>
    </i>
    <i>
      <x v="8"/>
      <x v="5"/>
    </i>
    <i r="1">
      <x v="15"/>
    </i>
    <i t="grand">
      <x/>
    </i>
  </rowItems>
  <colFields count="4">
    <field x="15"/>
    <field x="13"/>
    <field x="6"/>
    <field x="-2"/>
  </colFields>
  <colItems count="26">
    <i>
      <x v="1"/>
      <x v="4"/>
      <x v="1048832"/>
      <x/>
    </i>
    <i r="3" i="1">
      <x v="1"/>
    </i>
    <i r="1">
      <x v="5"/>
      <x v="1048832"/>
      <x/>
    </i>
    <i r="3" i="1">
      <x v="1"/>
    </i>
    <i r="1">
      <x v="6"/>
      <x v="1048832"/>
      <x/>
    </i>
    <i r="3" i="1">
      <x v="1"/>
    </i>
    <i r="1">
      <x v="7"/>
      <x v="1048832"/>
      <x/>
    </i>
    <i r="3" i="1">
      <x v="1"/>
    </i>
    <i r="1">
      <x v="8"/>
      <x v="1048832"/>
      <x/>
    </i>
    <i r="3" i="1">
      <x v="1"/>
    </i>
    <i r="1">
      <x v="9"/>
      <x v="1048832"/>
      <x/>
    </i>
    <i r="3" i="1">
      <x v="1"/>
    </i>
    <i r="1">
      <x v="10"/>
      <x v="1048832"/>
      <x/>
    </i>
    <i r="3" i="1">
      <x v="1"/>
    </i>
    <i r="1">
      <x v="11"/>
      <x v="1048832"/>
      <x/>
    </i>
    <i r="3" i="1">
      <x v="1"/>
    </i>
    <i r="1">
      <x v="12"/>
      <x v="1048832"/>
      <x/>
    </i>
    <i r="3" i="1">
      <x v="1"/>
    </i>
    <i>
      <x v="2"/>
      <x v="1"/>
      <x v="1048832"/>
      <x/>
    </i>
    <i r="3" i="1">
      <x v="1"/>
    </i>
    <i r="1">
      <x v="2"/>
      <x v="1048832"/>
      <x/>
    </i>
    <i r="3" i="1">
      <x v="1"/>
    </i>
    <i r="1">
      <x v="3"/>
      <x v="1048832"/>
      <x/>
    </i>
    <i r="3" i="1">
      <x v="1"/>
    </i>
    <i t="grand">
      <x/>
    </i>
    <i t="grand" i="1">
      <x/>
    </i>
  </colItems>
  <dataFields count="2">
    <dataField name="Onb" fld="6" subtotal="count" baseField="0" baseItem="0"/>
    <dataField name="PO" fld="7" baseField="0" baseItem="0"/>
  </dataFields>
  <formats count="78">
    <format dxfId="24">
      <pivotArea type="all" dataOnly="0" outline="0" fieldPosition="0"/>
    </format>
    <format dxfId="25">
      <pivotArea outline="0" collapsedLevelsAreSubtotals="1" fieldPosition="0"/>
    </format>
    <format dxfId="26">
      <pivotArea type="origin" dataOnly="0" labelOnly="1" outline="0" fieldPosition="0"/>
    </format>
    <format dxfId="27">
      <pivotArea field="15" type="button" dataOnly="0" labelOnly="1" outline="0" axis="axisCol" fieldPosition="0"/>
    </format>
    <format dxfId="28">
      <pivotArea field="13" type="button" dataOnly="0" labelOnly="1" outline="0" axis="axisCol" fieldPosition="1"/>
    </format>
    <format dxfId="29">
      <pivotArea field="6" type="button" dataOnly="0" labelOnly="1" outline="0" axis="axisCol" fieldPosition="2"/>
    </format>
    <format dxfId="30">
      <pivotArea field="-2" type="button" dataOnly="0" labelOnly="1" outline="0" axis="axisCol" fieldPosition="3"/>
    </format>
    <format dxfId="31">
      <pivotArea type="topRight" dataOnly="0" labelOnly="1" outline="0" fieldPosition="0"/>
    </format>
    <format dxfId="32">
      <pivotArea field="11" type="button" dataOnly="0" labelOnly="1" outline="0" axis="axisRow" fieldPosition="0"/>
    </format>
    <format dxfId="33">
      <pivotArea field="12" type="button" dataOnly="0" labelOnly="1" outline="0" axis="axisRow" fieldPosition="1"/>
    </format>
    <format dxfId="34">
      <pivotArea dataOnly="0" labelOnly="1" outline="0" fieldPosition="0">
        <references count="1">
          <reference field="11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5">
      <pivotArea dataOnly="0" labelOnly="1" grandRow="1" outline="0" fieldPosition="0"/>
    </format>
    <format dxfId="36">
      <pivotArea dataOnly="0" labelOnly="1" outline="0" fieldPosition="0">
        <references count="2">
          <reference field="11" count="1" selected="0">
            <x v="0"/>
          </reference>
          <reference field="12" count="12">
            <x v="0"/>
            <x v="1"/>
            <x v="4"/>
            <x v="5"/>
            <x v="6"/>
            <x v="8"/>
            <x v="11"/>
            <x v="12"/>
            <x v="13"/>
            <x v="16"/>
            <x v="19"/>
            <x v="24"/>
          </reference>
        </references>
      </pivotArea>
    </format>
    <format dxfId="37">
      <pivotArea dataOnly="0" labelOnly="1" outline="0" fieldPosition="0">
        <references count="2">
          <reference field="11" count="1" selected="0">
            <x v="1"/>
          </reference>
          <reference field="12" count="4">
            <x v="2"/>
            <x v="6"/>
            <x v="9"/>
            <x v="11"/>
          </reference>
        </references>
      </pivotArea>
    </format>
    <format dxfId="38">
      <pivotArea dataOnly="0" labelOnly="1" outline="0" fieldPosition="0">
        <references count="2">
          <reference field="11" count="1" selected="0">
            <x v="2"/>
          </reference>
          <reference field="12" count="3">
            <x v="4"/>
            <x v="8"/>
            <x v="19"/>
          </reference>
        </references>
      </pivotArea>
    </format>
    <format dxfId="39">
      <pivotArea dataOnly="0" labelOnly="1" outline="0" fieldPosition="0">
        <references count="2">
          <reference field="11" count="1" selected="0">
            <x v="3"/>
          </reference>
          <reference field="12" count="1">
            <x v="4"/>
          </reference>
        </references>
      </pivotArea>
    </format>
    <format dxfId="40">
      <pivotArea dataOnly="0" labelOnly="1" outline="0" fieldPosition="0">
        <references count="2">
          <reference field="11" count="1" selected="0">
            <x v="4"/>
          </reference>
          <reference field="12" count="1">
            <x v="23"/>
          </reference>
        </references>
      </pivotArea>
    </format>
    <format dxfId="41">
      <pivotArea dataOnly="0" labelOnly="1" outline="0" fieldPosition="0">
        <references count="2">
          <reference field="11" count="1" selected="0">
            <x v="5"/>
          </reference>
          <reference field="12" count="5">
            <x v="3"/>
            <x v="4"/>
            <x v="10"/>
            <x v="14"/>
            <x v="19"/>
          </reference>
        </references>
      </pivotArea>
    </format>
    <format dxfId="42">
      <pivotArea dataOnly="0" labelOnly="1" outline="0" fieldPosition="0">
        <references count="2">
          <reference field="11" count="1" selected="0">
            <x v="6"/>
          </reference>
          <reference field="12" count="6">
            <x v="7"/>
            <x v="15"/>
            <x v="17"/>
            <x v="18"/>
            <x v="20"/>
            <x v="22"/>
          </reference>
        </references>
      </pivotArea>
    </format>
    <format dxfId="43">
      <pivotArea dataOnly="0" labelOnly="1" outline="0" fieldPosition="0">
        <references count="2">
          <reference field="11" count="1" selected="0">
            <x v="7"/>
          </reference>
          <reference field="12" count="1">
            <x v="21"/>
          </reference>
        </references>
      </pivotArea>
    </format>
    <format dxfId="44">
      <pivotArea dataOnly="0" labelOnly="1" outline="0" fieldPosition="0">
        <references count="2">
          <reference field="11" count="1" selected="0">
            <x v="8"/>
          </reference>
          <reference field="12" count="2">
            <x v="5"/>
            <x v="15"/>
          </reference>
        </references>
      </pivotArea>
    </format>
    <format dxfId="45">
      <pivotArea dataOnly="0" labelOnly="1" outline="0" fieldPosition="0">
        <references count="1">
          <reference field="15" count="0"/>
        </references>
      </pivotArea>
    </format>
    <format dxfId="46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7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8">
      <pivotArea dataOnly="0" labelOnly="1" outline="0" fieldPosition="0">
        <references count="2">
          <reference field="13" count="9">
            <x v="4"/>
            <x v="5"/>
            <x v="6"/>
            <x v="7"/>
            <x v="8"/>
            <x v="9"/>
            <x v="10"/>
            <x v="11"/>
            <x v="12"/>
          </reference>
          <reference field="15" count="1" selected="0">
            <x v="1"/>
          </reference>
        </references>
      </pivotArea>
    </format>
    <format dxfId="49">
      <pivotArea dataOnly="0" labelOnly="1" outline="0" fieldPosition="0">
        <references count="2">
          <reference field="13" count="3">
            <x v="1"/>
            <x v="2"/>
            <x v="3"/>
          </reference>
          <reference field="15" count="1" selected="0">
            <x v="2"/>
          </reference>
        </references>
      </pivotArea>
    </format>
    <format dxfId="50">
      <pivotArea dataOnly="0" labelOnly="1" outline="0" fieldPosition="0">
        <references count="3">
          <reference field="6" count="1">
            <x v="1048832"/>
          </reference>
          <reference field="13" count="1" selected="0">
            <x v="4"/>
          </reference>
          <reference field="15" count="1" selected="0">
            <x v="1"/>
          </reference>
        </references>
      </pivotArea>
    </format>
    <format dxfId="51">
      <pivotArea dataOnly="0" labelOnly="1" outline="0" fieldPosition="0">
        <references count="3">
          <reference field="4294967294" count="2">
            <x v="0"/>
            <x v="1"/>
          </reference>
          <reference field="13" count="1" selected="0">
            <x v="4"/>
          </reference>
          <reference field="15" count="1" selected="0">
            <x v="1"/>
          </reference>
        </references>
      </pivotArea>
    </format>
    <format dxfId="52">
      <pivotArea dataOnly="0" labelOnly="1" outline="0" fieldPosition="0">
        <references count="3">
          <reference field="4294967294" count="2">
            <x v="0"/>
            <x v="1"/>
          </reference>
          <reference field="13" count="1" selected="0">
            <x v="5"/>
          </reference>
          <reference field="15" count="1" selected="0">
            <x v="1"/>
          </reference>
        </references>
      </pivotArea>
    </format>
    <format dxfId="53">
      <pivotArea dataOnly="0" labelOnly="1" outline="0" fieldPosition="0">
        <references count="3">
          <reference field="4294967294" count="2">
            <x v="0"/>
            <x v="1"/>
          </reference>
          <reference field="13" count="1" selected="0">
            <x v="6"/>
          </reference>
          <reference field="15" count="1" selected="0">
            <x v="1"/>
          </reference>
        </references>
      </pivotArea>
    </format>
    <format dxfId="54">
      <pivotArea dataOnly="0" labelOnly="1" outline="0" fieldPosition="0">
        <references count="3">
          <reference field="4294967294" count="2">
            <x v="0"/>
            <x v="1"/>
          </reference>
          <reference field="13" count="1" selected="0">
            <x v="7"/>
          </reference>
          <reference field="15" count="1" selected="0">
            <x v="1"/>
          </reference>
        </references>
      </pivotArea>
    </format>
    <format dxfId="55">
      <pivotArea dataOnly="0" labelOnly="1" outline="0" fieldPosition="0">
        <references count="3">
          <reference field="4294967294" count="2">
            <x v="0"/>
            <x v="1"/>
          </reference>
          <reference field="13" count="1" selected="0">
            <x v="8"/>
          </reference>
          <reference field="15" count="1" selected="0">
            <x v="1"/>
          </reference>
        </references>
      </pivotArea>
    </format>
    <format dxfId="56">
      <pivotArea dataOnly="0" labelOnly="1" outline="0" fieldPosition="0">
        <references count="3">
          <reference field="4294967294" count="2">
            <x v="0"/>
            <x v="1"/>
          </reference>
          <reference field="13" count="1" selected="0">
            <x v="9"/>
          </reference>
          <reference field="15" count="1" selected="0">
            <x v="1"/>
          </reference>
        </references>
      </pivotArea>
    </format>
    <format dxfId="57">
      <pivotArea dataOnly="0" labelOnly="1" outline="0" fieldPosition="0">
        <references count="3">
          <reference field="4294967294" count="2">
            <x v="0"/>
            <x v="1"/>
          </reference>
          <reference field="13" count="1" selected="0">
            <x v="10"/>
          </reference>
          <reference field="15" count="1" selected="0">
            <x v="1"/>
          </reference>
        </references>
      </pivotArea>
    </format>
    <format dxfId="58">
      <pivotArea dataOnly="0" labelOnly="1" outline="0" fieldPosition="0">
        <references count="3">
          <reference field="4294967294" count="2">
            <x v="0"/>
            <x v="1"/>
          </reference>
          <reference field="13" count="1" selected="0">
            <x v="11"/>
          </reference>
          <reference field="15" count="1" selected="0">
            <x v="1"/>
          </reference>
        </references>
      </pivotArea>
    </format>
    <format dxfId="59">
      <pivotArea dataOnly="0" labelOnly="1" outline="0" fieldPosition="0">
        <references count="3">
          <reference field="4294967294" count="2">
            <x v="0"/>
            <x v="1"/>
          </reference>
          <reference field="13" count="1" selected="0">
            <x v="12"/>
          </reference>
          <reference field="15" count="1" selected="0">
            <x v="1"/>
          </reference>
        </references>
      </pivotArea>
    </format>
    <format dxfId="60">
      <pivotArea dataOnly="0" labelOnly="1" outline="0" fieldPosition="0">
        <references count="3">
          <reference field="4294967294" count="2">
            <x v="0"/>
            <x v="1"/>
          </reference>
          <reference field="13" count="1" selected="0">
            <x v="1"/>
          </reference>
          <reference field="15" count="1" selected="0">
            <x v="2"/>
          </reference>
        </references>
      </pivotArea>
    </format>
    <format dxfId="61">
      <pivotArea dataOnly="0" labelOnly="1" outline="0" fieldPosition="0">
        <references count="3">
          <reference field="4294967294" count="2">
            <x v="0"/>
            <x v="1"/>
          </reference>
          <reference field="13" count="1" selected="0">
            <x v="2"/>
          </reference>
          <reference field="15" count="1" selected="0">
            <x v="2"/>
          </reference>
        </references>
      </pivotArea>
    </format>
    <format dxfId="62">
      <pivotArea dataOnly="0" labelOnly="1" outline="0" fieldPosition="0">
        <references count="3">
          <reference field="4294967294" count="2">
            <x v="0"/>
            <x v="1"/>
          </reference>
          <reference field="13" count="1" selected="0">
            <x v="3"/>
          </reference>
          <reference field="15" count="1" selected="0">
            <x v="2"/>
          </reference>
        </references>
      </pivotArea>
    </format>
    <format dxfId="63">
      <pivotArea type="all" dataOnly="0" outline="0" fieldPosition="0"/>
    </format>
    <format dxfId="64">
      <pivotArea outline="0" collapsedLevelsAreSubtotals="1" fieldPosition="0"/>
    </format>
    <format dxfId="65">
      <pivotArea type="origin" dataOnly="0" labelOnly="1" outline="0" fieldPosition="0"/>
    </format>
    <format dxfId="66">
      <pivotArea field="15" type="button" dataOnly="0" labelOnly="1" outline="0" axis="axisCol" fieldPosition="0"/>
    </format>
    <format dxfId="67">
      <pivotArea field="13" type="button" dataOnly="0" labelOnly="1" outline="0" axis="axisCol" fieldPosition="1"/>
    </format>
    <format dxfId="68">
      <pivotArea field="6" type="button" dataOnly="0" labelOnly="1" outline="0" axis="axisCol" fieldPosition="2"/>
    </format>
    <format dxfId="69">
      <pivotArea field="-2" type="button" dataOnly="0" labelOnly="1" outline="0" axis="axisCol" fieldPosition="3"/>
    </format>
    <format dxfId="70">
      <pivotArea type="topRight" dataOnly="0" labelOnly="1" outline="0" fieldPosition="0"/>
    </format>
    <format dxfId="71">
      <pivotArea field="11" type="button" dataOnly="0" labelOnly="1" outline="0" axis="axisRow" fieldPosition="0"/>
    </format>
    <format dxfId="72">
      <pivotArea field="12" type="button" dataOnly="0" labelOnly="1" outline="0" axis="axisRow" fieldPosition="1"/>
    </format>
    <format dxfId="73">
      <pivotArea dataOnly="0" labelOnly="1" outline="0" fieldPosition="0">
        <references count="1">
          <reference field="11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74">
      <pivotArea dataOnly="0" labelOnly="1" grandRow="1" outline="0" fieldPosition="0"/>
    </format>
    <format dxfId="75">
      <pivotArea dataOnly="0" labelOnly="1" outline="0" fieldPosition="0">
        <references count="2">
          <reference field="11" count="1" selected="0">
            <x v="0"/>
          </reference>
          <reference field="12" count="12">
            <x v="0"/>
            <x v="1"/>
            <x v="4"/>
            <x v="5"/>
            <x v="6"/>
            <x v="8"/>
            <x v="11"/>
            <x v="12"/>
            <x v="13"/>
            <x v="16"/>
            <x v="19"/>
            <x v="24"/>
          </reference>
        </references>
      </pivotArea>
    </format>
    <format dxfId="76">
      <pivotArea dataOnly="0" labelOnly="1" outline="0" fieldPosition="0">
        <references count="2">
          <reference field="11" count="1" selected="0">
            <x v="1"/>
          </reference>
          <reference field="12" count="4">
            <x v="2"/>
            <x v="6"/>
            <x v="9"/>
            <x v="11"/>
          </reference>
        </references>
      </pivotArea>
    </format>
    <format dxfId="77">
      <pivotArea dataOnly="0" labelOnly="1" outline="0" fieldPosition="0">
        <references count="2">
          <reference field="11" count="1" selected="0">
            <x v="2"/>
          </reference>
          <reference field="12" count="3">
            <x v="4"/>
            <x v="8"/>
            <x v="19"/>
          </reference>
        </references>
      </pivotArea>
    </format>
    <format dxfId="78">
      <pivotArea dataOnly="0" labelOnly="1" outline="0" fieldPosition="0">
        <references count="2">
          <reference field="11" count="1" selected="0">
            <x v="3"/>
          </reference>
          <reference field="12" count="1">
            <x v="4"/>
          </reference>
        </references>
      </pivotArea>
    </format>
    <format dxfId="79">
      <pivotArea dataOnly="0" labelOnly="1" outline="0" fieldPosition="0">
        <references count="2">
          <reference field="11" count="1" selected="0">
            <x v="4"/>
          </reference>
          <reference field="12" count="1">
            <x v="23"/>
          </reference>
        </references>
      </pivotArea>
    </format>
    <format dxfId="80">
      <pivotArea dataOnly="0" labelOnly="1" outline="0" fieldPosition="0">
        <references count="2">
          <reference field="11" count="1" selected="0">
            <x v="5"/>
          </reference>
          <reference field="12" count="5">
            <x v="3"/>
            <x v="4"/>
            <x v="10"/>
            <x v="14"/>
            <x v="19"/>
          </reference>
        </references>
      </pivotArea>
    </format>
    <format dxfId="81">
      <pivotArea dataOnly="0" labelOnly="1" outline="0" fieldPosition="0">
        <references count="2">
          <reference field="11" count="1" selected="0">
            <x v="6"/>
          </reference>
          <reference field="12" count="6">
            <x v="7"/>
            <x v="15"/>
            <x v="17"/>
            <x v="18"/>
            <x v="20"/>
            <x v="22"/>
          </reference>
        </references>
      </pivotArea>
    </format>
    <format dxfId="82">
      <pivotArea dataOnly="0" labelOnly="1" outline="0" fieldPosition="0">
        <references count="2">
          <reference field="11" count="1" selected="0">
            <x v="7"/>
          </reference>
          <reference field="12" count="1">
            <x v="21"/>
          </reference>
        </references>
      </pivotArea>
    </format>
    <format dxfId="83">
      <pivotArea dataOnly="0" labelOnly="1" outline="0" fieldPosition="0">
        <references count="2">
          <reference field="11" count="1" selected="0">
            <x v="8"/>
          </reference>
          <reference field="12" count="2">
            <x v="5"/>
            <x v="15"/>
          </reference>
        </references>
      </pivotArea>
    </format>
    <format dxfId="84">
      <pivotArea dataOnly="0" labelOnly="1" outline="0" fieldPosition="0">
        <references count="1">
          <reference field="15" count="0"/>
        </references>
      </pivotArea>
    </format>
    <format dxfId="85">
      <pivotArea field="1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6">
      <pivotArea field="1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87">
      <pivotArea dataOnly="0" labelOnly="1" outline="0" fieldPosition="0">
        <references count="2">
          <reference field="13" count="9">
            <x v="4"/>
            <x v="5"/>
            <x v="6"/>
            <x v="7"/>
            <x v="8"/>
            <x v="9"/>
            <x v="10"/>
            <x v="11"/>
            <x v="12"/>
          </reference>
          <reference field="15" count="1" selected="0">
            <x v="1"/>
          </reference>
        </references>
      </pivotArea>
    </format>
    <format dxfId="88">
      <pivotArea dataOnly="0" labelOnly="1" outline="0" fieldPosition="0">
        <references count="2">
          <reference field="13" count="3">
            <x v="1"/>
            <x v="2"/>
            <x v="3"/>
          </reference>
          <reference field="15" count="1" selected="0">
            <x v="2"/>
          </reference>
        </references>
      </pivotArea>
    </format>
    <format dxfId="89">
      <pivotArea dataOnly="0" labelOnly="1" outline="0" fieldPosition="0">
        <references count="3">
          <reference field="6" count="1">
            <x v="1048832"/>
          </reference>
          <reference field="13" count="1" selected="0">
            <x v="4"/>
          </reference>
          <reference field="15" count="1" selected="0">
            <x v="1"/>
          </reference>
        </references>
      </pivotArea>
    </format>
    <format dxfId="90">
      <pivotArea dataOnly="0" labelOnly="1" outline="0" fieldPosition="0">
        <references count="3">
          <reference field="4294967294" count="2">
            <x v="0"/>
            <x v="1"/>
          </reference>
          <reference field="13" count="1" selected="0">
            <x v="4"/>
          </reference>
          <reference field="15" count="1" selected="0">
            <x v="1"/>
          </reference>
        </references>
      </pivotArea>
    </format>
    <format dxfId="91">
      <pivotArea dataOnly="0" labelOnly="1" outline="0" fieldPosition="0">
        <references count="3">
          <reference field="4294967294" count="2">
            <x v="0"/>
            <x v="1"/>
          </reference>
          <reference field="13" count="1" selected="0">
            <x v="5"/>
          </reference>
          <reference field="15" count="1" selected="0">
            <x v="1"/>
          </reference>
        </references>
      </pivotArea>
    </format>
    <format dxfId="92">
      <pivotArea dataOnly="0" labelOnly="1" outline="0" fieldPosition="0">
        <references count="3">
          <reference field="4294967294" count="2">
            <x v="0"/>
            <x v="1"/>
          </reference>
          <reference field="13" count="1" selected="0">
            <x v="6"/>
          </reference>
          <reference field="15" count="1" selected="0">
            <x v="1"/>
          </reference>
        </references>
      </pivotArea>
    </format>
    <format dxfId="93">
      <pivotArea dataOnly="0" labelOnly="1" outline="0" fieldPosition="0">
        <references count="3">
          <reference field="4294967294" count="2">
            <x v="0"/>
            <x v="1"/>
          </reference>
          <reference field="13" count="1" selected="0">
            <x v="7"/>
          </reference>
          <reference field="15" count="1" selected="0">
            <x v="1"/>
          </reference>
        </references>
      </pivotArea>
    </format>
    <format dxfId="94">
      <pivotArea dataOnly="0" labelOnly="1" outline="0" fieldPosition="0">
        <references count="3">
          <reference field="4294967294" count="2">
            <x v="0"/>
            <x v="1"/>
          </reference>
          <reference field="13" count="1" selected="0">
            <x v="8"/>
          </reference>
          <reference field="15" count="1" selected="0">
            <x v="1"/>
          </reference>
        </references>
      </pivotArea>
    </format>
    <format dxfId="95">
      <pivotArea dataOnly="0" labelOnly="1" outline="0" fieldPosition="0">
        <references count="3">
          <reference field="4294967294" count="2">
            <x v="0"/>
            <x v="1"/>
          </reference>
          <reference field="13" count="1" selected="0">
            <x v="9"/>
          </reference>
          <reference field="15" count="1" selected="0">
            <x v="1"/>
          </reference>
        </references>
      </pivotArea>
    </format>
    <format dxfId="96">
      <pivotArea dataOnly="0" labelOnly="1" outline="0" fieldPosition="0">
        <references count="3">
          <reference field="4294967294" count="2">
            <x v="0"/>
            <x v="1"/>
          </reference>
          <reference field="13" count="1" selected="0">
            <x v="10"/>
          </reference>
          <reference field="15" count="1" selected="0">
            <x v="1"/>
          </reference>
        </references>
      </pivotArea>
    </format>
    <format dxfId="97">
      <pivotArea dataOnly="0" labelOnly="1" outline="0" fieldPosition="0">
        <references count="3">
          <reference field="4294967294" count="2">
            <x v="0"/>
            <x v="1"/>
          </reference>
          <reference field="13" count="1" selected="0">
            <x v="11"/>
          </reference>
          <reference field="15" count="1" selected="0">
            <x v="1"/>
          </reference>
        </references>
      </pivotArea>
    </format>
    <format dxfId="98">
      <pivotArea dataOnly="0" labelOnly="1" outline="0" fieldPosition="0">
        <references count="3">
          <reference field="4294967294" count="2">
            <x v="0"/>
            <x v="1"/>
          </reference>
          <reference field="13" count="1" selected="0">
            <x v="12"/>
          </reference>
          <reference field="15" count="1" selected="0">
            <x v="1"/>
          </reference>
        </references>
      </pivotArea>
    </format>
    <format dxfId="99">
      <pivotArea dataOnly="0" labelOnly="1" outline="0" fieldPosition="0">
        <references count="3">
          <reference field="4294967294" count="2">
            <x v="0"/>
            <x v="1"/>
          </reference>
          <reference field="13" count="1" selected="0">
            <x v="1"/>
          </reference>
          <reference field="15" count="1" selected="0">
            <x v="2"/>
          </reference>
        </references>
      </pivotArea>
    </format>
    <format dxfId="100">
      <pivotArea dataOnly="0" labelOnly="1" outline="0" fieldPosition="0">
        <references count="3">
          <reference field="4294967294" count="2">
            <x v="0"/>
            <x v="1"/>
          </reference>
          <reference field="13" count="1" selected="0">
            <x v="2"/>
          </reference>
          <reference field="15" count="1" selected="0">
            <x v="2"/>
          </reference>
        </references>
      </pivotArea>
    </format>
    <format dxfId="101">
      <pivotArea dataOnly="0" labelOnly="1" outline="0" fieldPosition="0">
        <references count="3">
          <reference field="4294967294" count="2">
            <x v="0"/>
            <x v="1"/>
          </reference>
          <reference field="13" count="1" selected="0">
            <x v="3"/>
          </reference>
          <reference field="15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E061EE-DB66-4C4A-9E1B-0C786AC1C639}" name="PivotTable1" cacheId="2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50" firstHeaderRow="1" firstDataRow="1" firstDataCol="1"/>
  <pivotFields count="5">
    <pivotField showAll="0"/>
    <pivotField showAll="0"/>
    <pivotField axis="axisRow" showAll="0">
      <items count="58">
        <item sd="0" m="1" x="28"/>
        <item sd="0" m="1" x="55"/>
        <item sd="0" m="1" x="50"/>
        <item sd="0" m="1" x="54"/>
        <item sd="0" x="0"/>
        <item sd="0" x="8"/>
        <item sd="0" m="1" x="40"/>
        <item sd="0" x="3"/>
        <item sd="0" x="11"/>
        <item sd="0" m="1" x="27"/>
        <item sd="0" x="7"/>
        <item sd="0" m="1" x="31"/>
        <item sd="0" x="23"/>
        <item sd="0" m="1" x="53"/>
        <item sd="0" m="1" x="43"/>
        <item sd="0" m="1" x="47"/>
        <item sd="0" x="20"/>
        <item sd="0" m="1" x="39"/>
        <item sd="0" m="1" x="51"/>
        <item sd="0" m="1" x="45"/>
        <item sd="0" m="1" x="33"/>
        <item sd="0" m="1" x="48"/>
        <item sd="0" x="18"/>
        <item sd="0" m="1" x="29"/>
        <item sd="0" x="9"/>
        <item m="1" x="36"/>
        <item sd="0" m="1" x="26"/>
        <item sd="0" m="1" x="52"/>
        <item sd="0" m="1" x="34"/>
        <item sd="0" m="1" x="56"/>
        <item sd="0" x="12"/>
        <item sd="0" m="1" x="42"/>
        <item sd="0" x="6"/>
        <item sd="0" m="1" x="35"/>
        <item sd="0" m="1" x="49"/>
        <item sd="0" x="1"/>
        <item m="1" x="30"/>
        <item m="1" x="32"/>
        <item x="19"/>
        <item x="21"/>
        <item m="1" x="37"/>
        <item m="1" x="38"/>
        <item m="1" x="41"/>
        <item m="1" x="44"/>
        <item m="1" x="46"/>
        <item x="2"/>
        <item x="4"/>
        <item x="13"/>
        <item x="15"/>
        <item x="16"/>
        <item x="17"/>
        <item x="14"/>
        <item x="24"/>
        <item x="25"/>
        <item x="5"/>
        <item x="10"/>
        <item x="22"/>
        <item t="default" sd="0"/>
      </items>
    </pivotField>
    <pivotField showAll="0"/>
    <pivotField axis="axisRow" showAll="0">
      <items count="16">
        <item x="9"/>
        <item x="3"/>
        <item x="2"/>
        <item x="0"/>
        <item m="1" x="11"/>
        <item m="1" x="14"/>
        <item x="5"/>
        <item m="1" x="13"/>
        <item x="4"/>
        <item x="1"/>
        <item m="1" x="12"/>
        <item x="7"/>
        <item x="8"/>
        <item x="10"/>
        <item x="6"/>
        <item t="default"/>
      </items>
    </pivotField>
  </pivotFields>
  <rowFields count="2">
    <field x="4"/>
    <field x="2"/>
  </rowFields>
  <rowItems count="47">
    <i>
      <x/>
    </i>
    <i r="1">
      <x v="35"/>
    </i>
    <i r="1">
      <x v="38"/>
    </i>
    <i>
      <x v="1"/>
    </i>
    <i r="1">
      <x v="7"/>
    </i>
    <i r="1">
      <x v="12"/>
    </i>
    <i r="1">
      <x v="38"/>
    </i>
    <i>
      <x v="2"/>
    </i>
    <i r="1">
      <x v="30"/>
    </i>
    <i r="1">
      <x v="32"/>
    </i>
    <i r="1">
      <x v="45"/>
    </i>
    <i r="1">
      <x v="46"/>
    </i>
    <i r="1">
      <x v="52"/>
    </i>
    <i>
      <x v="3"/>
    </i>
    <i r="1">
      <x v="4"/>
    </i>
    <i r="1">
      <x v="8"/>
    </i>
    <i r="1">
      <x v="16"/>
    </i>
    <i r="1">
      <x v="22"/>
    </i>
    <i r="1">
      <x v="45"/>
    </i>
    <i>
      <x v="6"/>
    </i>
    <i r="1">
      <x v="5"/>
    </i>
    <i>
      <x v="8"/>
    </i>
    <i r="1">
      <x v="10"/>
    </i>
    <i r="1">
      <x v="24"/>
    </i>
    <i r="1">
      <x v="35"/>
    </i>
    <i r="1">
      <x v="47"/>
    </i>
    <i r="1">
      <x v="51"/>
    </i>
    <i r="1">
      <x v="54"/>
    </i>
    <i>
      <x v="9"/>
    </i>
    <i r="1">
      <x v="32"/>
    </i>
    <i r="1">
      <x v="35"/>
    </i>
    <i r="1">
      <x v="51"/>
    </i>
    <i r="1">
      <x v="56"/>
    </i>
    <i>
      <x v="11"/>
    </i>
    <i r="1">
      <x v="16"/>
    </i>
    <i r="1">
      <x v="35"/>
    </i>
    <i r="1">
      <x v="39"/>
    </i>
    <i r="1">
      <x v="48"/>
    </i>
    <i r="1">
      <x v="49"/>
    </i>
    <i r="1">
      <x v="50"/>
    </i>
    <i>
      <x v="12"/>
    </i>
    <i r="1">
      <x v="30"/>
    </i>
    <i>
      <x v="13"/>
    </i>
    <i r="1">
      <x v="53"/>
    </i>
    <i>
      <x v="14"/>
    </i>
    <i r="1">
      <x v="5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C3A45D-90EF-473F-BEA4-D3913F86443B}" name="PivotTable2" cacheId="2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30" firstHeaderRow="1" firstDataRow="1" firstDataCol="1"/>
  <pivotFields count="5">
    <pivotField showAll="0"/>
    <pivotField showAll="0"/>
    <pivotField axis="axisRow" showAll="0">
      <items count="58">
        <item m="1" x="28"/>
        <item m="1" x="54"/>
        <item m="1" x="50"/>
        <item m="1" x="53"/>
        <item x="0"/>
        <item x="8"/>
        <item m="1" x="40"/>
        <item x="3"/>
        <item x="11"/>
        <item m="1" x="41"/>
        <item m="1" x="27"/>
        <item x="7"/>
        <item m="1" x="31"/>
        <item x="23"/>
        <item m="1" x="52"/>
        <item m="1" x="43"/>
        <item m="1" x="47"/>
        <item x="20"/>
        <item m="1" x="39"/>
        <item m="1" x="51"/>
        <item m="1" x="45"/>
        <item m="1" x="33"/>
        <item m="1" x="48"/>
        <item x="18"/>
        <item m="1" x="29"/>
        <item x="9"/>
        <item m="1" x="36"/>
        <item m="1" x="26"/>
        <item m="1" x="34"/>
        <item m="1" x="55"/>
        <item x="12"/>
        <item m="1" x="42"/>
        <item x="6"/>
        <item m="1" x="35"/>
        <item m="1" x="56"/>
        <item m="1" x="49"/>
        <item x="1"/>
        <item m="1" x="30"/>
        <item m="1" x="32"/>
        <item x="19"/>
        <item x="21"/>
        <item m="1" x="37"/>
        <item m="1" x="38"/>
        <item m="1" x="44"/>
        <item m="1" x="46"/>
        <item x="2"/>
        <item x="4"/>
        <item x="13"/>
        <item x="15"/>
        <item x="16"/>
        <item x="17"/>
        <item x="14"/>
        <item x="24"/>
        <item x="25"/>
        <item x="5"/>
        <item x="10"/>
        <item x="22"/>
        <item t="default"/>
      </items>
    </pivotField>
    <pivotField showAll="0"/>
    <pivotField showAll="0"/>
  </pivotFields>
  <rowFields count="1">
    <field x="2"/>
  </rowFields>
  <rowItems count="27">
    <i>
      <x v="4"/>
    </i>
    <i>
      <x v="5"/>
    </i>
    <i>
      <x v="7"/>
    </i>
    <i>
      <x v="8"/>
    </i>
    <i>
      <x v="11"/>
    </i>
    <i>
      <x v="13"/>
    </i>
    <i>
      <x v="17"/>
    </i>
    <i>
      <x v="23"/>
    </i>
    <i>
      <x v="25"/>
    </i>
    <i>
      <x v="30"/>
    </i>
    <i>
      <x v="32"/>
    </i>
    <i>
      <x v="36"/>
    </i>
    <i>
      <x v="39"/>
    </i>
    <i>
      <x v="40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3AE169-7104-4D9A-85D3-E92C3F5D32F1}" name="PivotTable3" cacheId="2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X5:X18" firstHeaderRow="1" firstDataRow="1" firstDataCol="1"/>
  <pivotFields count="1">
    <pivotField axis="axisRow" compact="0" outline="0" showAll="0">
      <items count="16">
        <item x="9"/>
        <item x="11"/>
        <item x="7"/>
        <item x="10"/>
        <item x="3"/>
        <item x="12"/>
        <item h="1" x="0"/>
        <item x="2"/>
        <item x="6"/>
        <item x="4"/>
        <item x="5"/>
        <item x="1"/>
        <item x="8"/>
        <item h="1" x="13"/>
        <item h="1" x="14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3D2E3-2D99-4263-9F2A-C4124EACB661}" name="PivotTable5" cacheId="2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F5:AG78" firstHeaderRow="1" firstDataRow="1" firstDataCol="2"/>
  <pivotFields count="2">
    <pivotField axis="axisRow" compact="0" outline="0" showAll="0">
      <items count="15">
        <item h="1" x="7"/>
        <item x="4"/>
        <item x="6"/>
        <item x="11"/>
        <item x="9"/>
        <item x="0"/>
        <item x="8"/>
        <item x="1"/>
        <item x="12"/>
        <item x="3"/>
        <item x="13"/>
        <item x="2"/>
        <item h="1" x="5"/>
        <item x="10"/>
        <item t="default"/>
      </items>
    </pivotField>
    <pivotField axis="axisRow" compact="0" outline="0" showAll="0">
      <items count="35">
        <item x="16"/>
        <item x="8"/>
        <item x="0"/>
        <item x="19"/>
        <item x="17"/>
        <item x="31"/>
        <item x="14"/>
        <item x="7"/>
        <item x="3"/>
        <item x="32"/>
        <item x="30"/>
        <item x="22"/>
        <item x="6"/>
        <item x="29"/>
        <item x="33"/>
        <item x="25"/>
        <item x="13"/>
        <item x="21"/>
        <item x="24"/>
        <item x="1"/>
        <item x="18"/>
        <item x="12"/>
        <item x="28"/>
        <item x="11"/>
        <item x="26"/>
        <item x="20"/>
        <item x="23"/>
        <item x="9"/>
        <item x="10"/>
        <item x="4"/>
        <item x="15"/>
        <item x="2"/>
        <item x="5"/>
        <item x="27"/>
        <item t="default"/>
      </items>
    </pivotField>
  </pivotFields>
  <rowFields count="2">
    <field x="0"/>
    <field x="1"/>
  </rowFields>
  <rowItems count="73">
    <i>
      <x v="1"/>
      <x v="7"/>
    </i>
    <i r="1">
      <x v="25"/>
    </i>
    <i t="default">
      <x v="1"/>
    </i>
    <i>
      <x v="2"/>
      <x v="1"/>
    </i>
    <i r="1">
      <x v="6"/>
    </i>
    <i r="1">
      <x v="13"/>
    </i>
    <i r="1">
      <x v="19"/>
    </i>
    <i r="1">
      <x v="27"/>
    </i>
    <i t="default">
      <x v="2"/>
    </i>
    <i>
      <x v="3"/>
      <x v="1"/>
    </i>
    <i r="1">
      <x v="6"/>
    </i>
    <i r="1">
      <x v="27"/>
    </i>
    <i t="default">
      <x v="3"/>
    </i>
    <i>
      <x v="4"/>
      <x v="7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1"/>
    </i>
    <i r="1">
      <x v="13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t="default">
      <x v="5"/>
    </i>
    <i>
      <x v="6"/>
      <x v="2"/>
    </i>
    <i r="1">
      <x v="4"/>
    </i>
    <i r="1">
      <x v="31"/>
    </i>
    <i t="default">
      <x v="6"/>
    </i>
    <i>
      <x v="7"/>
      <x v="1"/>
    </i>
    <i r="1">
      <x v="8"/>
    </i>
    <i r="1">
      <x v="9"/>
    </i>
    <i r="1">
      <x v="11"/>
    </i>
    <i r="1">
      <x v="15"/>
    </i>
    <i r="1">
      <x v="16"/>
    </i>
    <i r="1">
      <x v="18"/>
    </i>
    <i r="1">
      <x v="25"/>
    </i>
    <i t="default">
      <x v="7"/>
    </i>
    <i>
      <x v="8"/>
      <x v="4"/>
    </i>
    <i r="1">
      <x v="10"/>
    </i>
    <i t="default">
      <x v="8"/>
    </i>
    <i>
      <x v="9"/>
      <x v="12"/>
    </i>
    <i t="default">
      <x v="9"/>
    </i>
    <i>
      <x v="10"/>
      <x v="14"/>
    </i>
    <i t="default">
      <x v="10"/>
    </i>
    <i>
      <x v="11"/>
      <x v="12"/>
    </i>
    <i r="1">
      <x v="23"/>
    </i>
    <i r="1">
      <x v="26"/>
    </i>
    <i r="1">
      <x v="27"/>
    </i>
    <i r="1">
      <x v="29"/>
    </i>
    <i r="1">
      <x v="33"/>
    </i>
    <i t="default">
      <x v="11"/>
    </i>
    <i>
      <x v="13"/>
      <x v="33"/>
    </i>
    <i t="default">
      <x v="1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A99DA-2B56-45AC-A2E3-367879B50BDB}" name="PivotTable4" cacheId="2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20" firstHeaderRow="1" firstDataRow="1" firstDataCol="1"/>
  <pivotFields count="8">
    <pivotField dataField="1" compact="0" outline="0" showAll="0">
      <items count="264">
        <item x="144"/>
        <item x="225"/>
        <item x="0"/>
        <item x="1"/>
        <item x="23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39"/>
        <item x="19"/>
        <item x="20"/>
        <item x="21"/>
        <item x="251"/>
        <item x="22"/>
        <item x="23"/>
        <item x="24"/>
        <item x="25"/>
        <item x="26"/>
        <item x="240"/>
        <item x="27"/>
        <item x="28"/>
        <item x="29"/>
        <item x="30"/>
        <item x="31"/>
        <item x="32"/>
        <item x="33"/>
        <item x="34"/>
        <item x="253"/>
        <item x="35"/>
        <item x="36"/>
        <item x="37"/>
        <item x="38"/>
        <item x="39"/>
        <item x="40"/>
        <item x="242"/>
        <item x="41"/>
        <item x="42"/>
        <item x="43"/>
        <item x="44"/>
        <item x="45"/>
        <item x="46"/>
        <item x="47"/>
        <item x="244"/>
        <item x="48"/>
        <item x="49"/>
        <item x="50"/>
        <item x="51"/>
        <item x="52"/>
        <item x="53"/>
        <item x="54"/>
        <item x="55"/>
        <item x="56"/>
        <item x="57"/>
        <item x="58"/>
        <item x="235"/>
        <item x="59"/>
        <item x="60"/>
        <item x="61"/>
        <item x="62"/>
        <item x="63"/>
        <item x="64"/>
        <item x="236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258"/>
        <item x="90"/>
        <item x="91"/>
        <item x="92"/>
        <item x="93"/>
        <item x="94"/>
        <item x="95"/>
        <item x="96"/>
        <item x="97"/>
        <item x="98"/>
        <item x="99"/>
        <item x="100"/>
        <item x="243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238"/>
        <item x="260"/>
        <item x="134"/>
        <item x="135"/>
        <item x="250"/>
        <item x="136"/>
        <item x="137"/>
        <item x="138"/>
        <item x="257"/>
        <item x="139"/>
        <item x="140"/>
        <item x="141"/>
        <item x="142"/>
        <item x="143"/>
        <item x="145"/>
        <item x="259"/>
        <item x="146"/>
        <item x="147"/>
        <item x="148"/>
        <item x="149"/>
        <item x="150"/>
        <item x="254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252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241"/>
        <item x="256"/>
        <item x="262"/>
        <item x="185"/>
        <item x="186"/>
        <item x="245"/>
        <item x="248"/>
        <item x="249"/>
        <item x="246"/>
        <item x="247"/>
        <item x="187"/>
        <item x="261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5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6"/>
        <item x="227"/>
        <item x="228"/>
        <item x="229"/>
        <item x="230"/>
        <item x="231"/>
        <item x="232"/>
        <item x="234"/>
        <item x="23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8">
        <item x="9"/>
        <item x="10"/>
        <item x="13"/>
        <item x="5"/>
        <item x="12"/>
        <item x="2"/>
        <item x="8"/>
        <item x="14"/>
        <item x="11"/>
        <item x="1"/>
        <item x="4"/>
        <item x="3"/>
        <item x="6"/>
        <item x="0"/>
        <item x="7"/>
        <item x="15"/>
        <item x="16"/>
        <item t="default"/>
      </items>
    </pivotField>
    <pivotField compact="0" outline="0" showAll="0"/>
    <pivotField compact="0" outline="0" showAll="0"/>
  </pivotFields>
  <rowFields count="1">
    <field x="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unt of Clie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aranza.dubey@joulestowatts.com" TargetMode="External"/><Relationship Id="rId3" Type="http://schemas.openxmlformats.org/officeDocument/2006/relationships/hyperlink" Target="mailto:hashim.m@joulestowatts.com" TargetMode="External"/><Relationship Id="rId7" Type="http://schemas.openxmlformats.org/officeDocument/2006/relationships/hyperlink" Target="mailto:sushma.hegde@joulestowatts.com" TargetMode="External"/><Relationship Id="rId12" Type="http://schemas.openxmlformats.org/officeDocument/2006/relationships/hyperlink" Target="mailto:aamir.ahamad@joulestowatts.com" TargetMode="External"/><Relationship Id="rId2" Type="http://schemas.openxmlformats.org/officeDocument/2006/relationships/hyperlink" Target="mailto:shivam.p@joulestowatts.com" TargetMode="External"/><Relationship Id="rId1" Type="http://schemas.openxmlformats.org/officeDocument/2006/relationships/pivotTable" Target="../pivotTables/pivotTable3.xml"/><Relationship Id="rId6" Type="http://schemas.openxmlformats.org/officeDocument/2006/relationships/hyperlink" Target="mailto:soniya.sabnani@joulestowatts.com" TargetMode="External"/><Relationship Id="rId11" Type="http://schemas.openxmlformats.org/officeDocument/2006/relationships/hyperlink" Target="mailto:monisha.r@joulestowatts.com" TargetMode="External"/><Relationship Id="rId5" Type="http://schemas.openxmlformats.org/officeDocument/2006/relationships/hyperlink" Target="mailto:p.saravanan@joulestowatts.com" TargetMode="External"/><Relationship Id="rId10" Type="http://schemas.openxmlformats.org/officeDocument/2006/relationships/hyperlink" Target="mailto:sharique.ahmed@joulestowatts.com" TargetMode="External"/><Relationship Id="rId4" Type="http://schemas.openxmlformats.org/officeDocument/2006/relationships/hyperlink" Target="mailto:gourab.s@joulestowatts.com" TargetMode="External"/><Relationship Id="rId9" Type="http://schemas.openxmlformats.org/officeDocument/2006/relationships/hyperlink" Target="mailto:jawad.k@joulestowatts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6409-3574-49F2-B103-BB99714625CE}">
  <sheetPr codeName="Sheet1"/>
  <dimension ref="A3:AB42"/>
  <sheetViews>
    <sheetView workbookViewId="0"/>
  </sheetViews>
  <sheetFormatPr defaultRowHeight="15"/>
  <cols>
    <col min="1" max="1" width="25.5703125" bestFit="1" customWidth="1"/>
    <col min="2" max="2" width="20.28515625" bestFit="1" customWidth="1"/>
    <col min="3" max="26" width="23.42578125" bestFit="1" customWidth="1"/>
    <col min="27" max="27" width="9.5703125" bestFit="1" customWidth="1"/>
    <col min="28" max="28" width="12" bestFit="1" customWidth="1"/>
    <col min="29" max="29" width="25.5703125" bestFit="1" customWidth="1"/>
    <col min="30" max="30" width="21.42578125" bestFit="1" customWidth="1"/>
    <col min="31" max="31" width="26" bestFit="1" customWidth="1"/>
    <col min="32" max="32" width="21.85546875" bestFit="1" customWidth="1"/>
    <col min="33" max="33" width="16.7109375" bestFit="1" customWidth="1"/>
    <col min="34" max="34" width="20.85546875" bestFit="1" customWidth="1"/>
    <col min="35" max="35" width="16.7109375" bestFit="1" customWidth="1"/>
    <col min="36" max="36" width="20.85546875" bestFit="1" customWidth="1"/>
    <col min="37" max="37" width="16.7109375" bestFit="1" customWidth="1"/>
    <col min="38" max="38" width="20.85546875" bestFit="1" customWidth="1"/>
    <col min="39" max="39" width="16.7109375" bestFit="1" customWidth="1"/>
    <col min="40" max="40" width="20.85546875" bestFit="1" customWidth="1"/>
    <col min="41" max="41" width="16.7109375" bestFit="1" customWidth="1"/>
    <col min="42" max="42" width="20.85546875" bestFit="1" customWidth="1"/>
    <col min="43" max="43" width="16.7109375" bestFit="1" customWidth="1"/>
    <col min="44" max="44" width="24.42578125" bestFit="1" customWidth="1"/>
    <col min="45" max="45" width="20.28515625" bestFit="1" customWidth="1"/>
    <col min="46" max="46" width="20.85546875" bestFit="1" customWidth="1"/>
    <col min="47" max="47" width="16.7109375" bestFit="1" customWidth="1"/>
    <col min="48" max="48" width="20.85546875" bestFit="1" customWidth="1"/>
    <col min="49" max="49" width="16.7109375" bestFit="1" customWidth="1"/>
    <col min="50" max="50" width="20.85546875" bestFit="1" customWidth="1"/>
    <col min="51" max="51" width="16.7109375" bestFit="1" customWidth="1"/>
    <col min="52" max="52" width="20.85546875" bestFit="1" customWidth="1"/>
    <col min="53" max="53" width="16.7109375" bestFit="1" customWidth="1"/>
    <col min="54" max="54" width="20.85546875" bestFit="1" customWidth="1"/>
    <col min="55" max="55" width="16.7109375" bestFit="1" customWidth="1"/>
    <col min="56" max="56" width="20.85546875" bestFit="1" customWidth="1"/>
    <col min="57" max="57" width="16.7109375" bestFit="1" customWidth="1"/>
    <col min="58" max="58" width="20.85546875" bestFit="1" customWidth="1"/>
    <col min="59" max="59" width="16.7109375" bestFit="1" customWidth="1"/>
    <col min="60" max="60" width="20.85546875" bestFit="1" customWidth="1"/>
    <col min="61" max="61" width="16.7109375" bestFit="1" customWidth="1"/>
    <col min="62" max="62" width="25.5703125" bestFit="1" customWidth="1"/>
    <col min="63" max="63" width="21.42578125" bestFit="1" customWidth="1"/>
    <col min="64" max="64" width="20.85546875" bestFit="1" customWidth="1"/>
    <col min="65" max="65" width="16.7109375" bestFit="1" customWidth="1"/>
    <col min="66" max="66" width="26" bestFit="1" customWidth="1"/>
    <col min="67" max="67" width="21.85546875" bestFit="1" customWidth="1"/>
    <col min="68" max="68" width="9.42578125" bestFit="1" customWidth="1"/>
    <col min="69" max="73" width="8.42578125" bestFit="1" customWidth="1"/>
    <col min="74" max="89" width="9.42578125" bestFit="1" customWidth="1"/>
    <col min="90" max="96" width="8.42578125" bestFit="1" customWidth="1"/>
    <col min="97" max="111" width="9.42578125" bestFit="1" customWidth="1"/>
    <col min="112" max="117" width="8.42578125" bestFit="1" customWidth="1"/>
    <col min="118" max="137" width="9.42578125" bestFit="1" customWidth="1"/>
    <col min="138" max="151" width="10.42578125" bestFit="1" customWidth="1"/>
    <col min="152" max="158" width="9.42578125" bestFit="1" customWidth="1"/>
    <col min="159" max="173" width="10.42578125" bestFit="1" customWidth="1"/>
    <col min="174" max="179" width="9.42578125" bestFit="1" customWidth="1"/>
    <col min="180" max="193" width="10.42578125" bestFit="1" customWidth="1"/>
    <col min="194" max="200" width="8.42578125" bestFit="1" customWidth="1"/>
    <col min="201" max="216" width="9.42578125" bestFit="1" customWidth="1"/>
    <col min="217" max="223" width="8.42578125" bestFit="1" customWidth="1"/>
    <col min="224" max="237" width="9.42578125" bestFit="1" customWidth="1"/>
    <col min="238" max="243" width="8.42578125" bestFit="1" customWidth="1"/>
    <col min="244" max="258" width="9.42578125" bestFit="1" customWidth="1"/>
    <col min="259" max="259" width="7.28515625" bestFit="1" customWidth="1"/>
    <col min="260" max="260" width="11.28515625" bestFit="1" customWidth="1"/>
  </cols>
  <sheetData>
    <row r="3" spans="1:28">
      <c r="A3" s="2"/>
      <c r="B3" s="2"/>
      <c r="C3" s="8" t="s">
        <v>0</v>
      </c>
      <c r="D3" s="8" t="s">
        <v>1</v>
      </c>
      <c r="E3" s="8" t="s">
        <v>2</v>
      </c>
      <c r="F3" s="8" t="s">
        <v>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>
      <c r="A4" s="2"/>
      <c r="B4" s="2"/>
      <c r="C4" s="2" t="s">
        <v>4</v>
      </c>
      <c r="D4" s="2" t="s">
        <v>4</v>
      </c>
      <c r="E4" s="2" t="s">
        <v>4</v>
      </c>
      <c r="F4" s="2" t="s">
        <v>4</v>
      </c>
      <c r="G4" s="2" t="s">
        <v>4</v>
      </c>
      <c r="H4" s="2" t="s">
        <v>4</v>
      </c>
      <c r="I4" s="2" t="s">
        <v>4</v>
      </c>
      <c r="J4" s="2" t="s">
        <v>4</v>
      </c>
      <c r="K4" s="2" t="s">
        <v>4</v>
      </c>
      <c r="L4" s="2" t="s">
        <v>4</v>
      </c>
      <c r="M4" s="2" t="s">
        <v>4</v>
      </c>
      <c r="N4" s="2" t="s">
        <v>4</v>
      </c>
      <c r="O4" s="2" t="s">
        <v>4</v>
      </c>
      <c r="P4" s="2" t="s">
        <v>4</v>
      </c>
      <c r="Q4" s="2" t="s">
        <v>4</v>
      </c>
      <c r="R4" s="2" t="s">
        <v>4</v>
      </c>
      <c r="S4" s="2" t="s">
        <v>4</v>
      </c>
      <c r="T4" s="2" t="s">
        <v>4</v>
      </c>
      <c r="U4" s="2" t="s">
        <v>5</v>
      </c>
      <c r="V4" s="2" t="s">
        <v>5</v>
      </c>
      <c r="W4" s="2" t="s">
        <v>5</v>
      </c>
      <c r="X4" s="2" t="s">
        <v>5</v>
      </c>
      <c r="Y4" s="2" t="s">
        <v>5</v>
      </c>
      <c r="Z4" s="2" t="s">
        <v>5</v>
      </c>
      <c r="AA4" s="2" t="s">
        <v>6</v>
      </c>
      <c r="AB4" s="2" t="s">
        <v>7</v>
      </c>
    </row>
    <row r="5" spans="1:28">
      <c r="A5" s="2"/>
      <c r="B5" s="2"/>
      <c r="C5" s="2" t="s">
        <v>8</v>
      </c>
      <c r="D5" s="2" t="s">
        <v>8</v>
      </c>
      <c r="E5" s="2" t="s">
        <v>9</v>
      </c>
      <c r="F5" s="2" t="s">
        <v>9</v>
      </c>
      <c r="G5" s="2" t="s">
        <v>10</v>
      </c>
      <c r="H5" s="2" t="s">
        <v>10</v>
      </c>
      <c r="I5" s="2" t="s">
        <v>11</v>
      </c>
      <c r="J5" s="2" t="s">
        <v>11</v>
      </c>
      <c r="K5" s="2" t="s">
        <v>12</v>
      </c>
      <c r="L5" s="2" t="s">
        <v>12</v>
      </c>
      <c r="M5" s="2" t="s">
        <v>13</v>
      </c>
      <c r="N5" s="2" t="s">
        <v>13</v>
      </c>
      <c r="O5" s="2" t="s">
        <v>14</v>
      </c>
      <c r="P5" s="2" t="s">
        <v>14</v>
      </c>
      <c r="Q5" s="2" t="s">
        <v>15</v>
      </c>
      <c r="R5" s="2" t="s">
        <v>15</v>
      </c>
      <c r="S5" s="2" t="s">
        <v>16</v>
      </c>
      <c r="T5" s="2" t="s">
        <v>16</v>
      </c>
      <c r="U5" s="2" t="s">
        <v>17</v>
      </c>
      <c r="V5" s="2" t="s">
        <v>17</v>
      </c>
      <c r="W5" s="2" t="s">
        <v>18</v>
      </c>
      <c r="X5" s="2" t="s">
        <v>18</v>
      </c>
      <c r="Y5" s="2" t="s">
        <v>19</v>
      </c>
      <c r="Z5" s="2" t="s">
        <v>19</v>
      </c>
      <c r="AA5" s="2"/>
      <c r="AB5" s="2"/>
    </row>
    <row r="6" spans="1:2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>
      <c r="A7" s="8" t="s">
        <v>20</v>
      </c>
      <c r="B7" s="8" t="s">
        <v>21</v>
      </c>
      <c r="C7" s="2" t="s">
        <v>22</v>
      </c>
      <c r="D7" s="2" t="s">
        <v>23</v>
      </c>
      <c r="E7" s="2" t="s">
        <v>22</v>
      </c>
      <c r="F7" s="2" t="s">
        <v>23</v>
      </c>
      <c r="G7" s="2" t="s">
        <v>22</v>
      </c>
      <c r="H7" s="2" t="s">
        <v>23</v>
      </c>
      <c r="I7" s="2" t="s">
        <v>22</v>
      </c>
      <c r="J7" s="2" t="s">
        <v>23</v>
      </c>
      <c r="K7" s="2" t="s">
        <v>22</v>
      </c>
      <c r="L7" s="2" t="s">
        <v>23</v>
      </c>
      <c r="M7" s="2" t="s">
        <v>22</v>
      </c>
      <c r="N7" s="2" t="s">
        <v>23</v>
      </c>
      <c r="O7" s="2" t="s">
        <v>22</v>
      </c>
      <c r="P7" s="2" t="s">
        <v>23</v>
      </c>
      <c r="Q7" s="2" t="s">
        <v>22</v>
      </c>
      <c r="R7" s="2" t="s">
        <v>23</v>
      </c>
      <c r="S7" s="2" t="s">
        <v>22</v>
      </c>
      <c r="T7" s="2" t="s">
        <v>23</v>
      </c>
      <c r="U7" s="2" t="s">
        <v>22</v>
      </c>
      <c r="V7" s="2" t="s">
        <v>23</v>
      </c>
      <c r="W7" s="2" t="s">
        <v>22</v>
      </c>
      <c r="X7" s="2" t="s">
        <v>23</v>
      </c>
      <c r="Y7" s="2" t="s">
        <v>22</v>
      </c>
      <c r="Z7" s="2" t="s">
        <v>23</v>
      </c>
      <c r="AA7" s="2"/>
      <c r="AB7" s="2"/>
    </row>
    <row r="8" spans="1:28">
      <c r="A8" s="2" t="s">
        <v>24</v>
      </c>
      <c r="B8" s="2" t="s">
        <v>24</v>
      </c>
      <c r="C8" s="2"/>
      <c r="D8" s="2"/>
      <c r="E8" s="2">
        <v>3</v>
      </c>
      <c r="F8" s="2">
        <v>515580.8</v>
      </c>
      <c r="G8" s="2">
        <v>1</v>
      </c>
      <c r="H8" s="2">
        <v>60000</v>
      </c>
      <c r="I8" s="2">
        <v>3</v>
      </c>
      <c r="J8" s="2">
        <v>316000</v>
      </c>
      <c r="K8" s="2">
        <v>1</v>
      </c>
      <c r="L8" s="2">
        <v>295334</v>
      </c>
      <c r="M8" s="2">
        <v>1</v>
      </c>
      <c r="N8" s="2">
        <v>200000</v>
      </c>
      <c r="O8" s="2"/>
      <c r="P8" s="2"/>
      <c r="Q8" s="2">
        <v>3</v>
      </c>
      <c r="R8" s="2">
        <v>1087788</v>
      </c>
      <c r="S8" s="2">
        <v>5</v>
      </c>
      <c r="T8" s="2">
        <v>1457358</v>
      </c>
      <c r="U8" s="2">
        <v>2</v>
      </c>
      <c r="V8" s="2">
        <v>108500</v>
      </c>
      <c r="W8" s="2">
        <v>2</v>
      </c>
      <c r="X8" s="2">
        <v>477750</v>
      </c>
      <c r="Y8" s="2">
        <v>3</v>
      </c>
      <c r="Z8" s="2">
        <v>882537.6</v>
      </c>
      <c r="AA8" s="2">
        <v>24</v>
      </c>
      <c r="AB8" s="2">
        <v>5400848.3999999994</v>
      </c>
    </row>
    <row r="9" spans="1:28">
      <c r="A9" s="2" t="s">
        <v>24</v>
      </c>
      <c r="B9" s="2" t="s">
        <v>25</v>
      </c>
      <c r="C9" s="2">
        <v>7</v>
      </c>
      <c r="D9" s="2">
        <v>513882</v>
      </c>
      <c r="E9" s="2">
        <v>3</v>
      </c>
      <c r="F9" s="2">
        <v>312601</v>
      </c>
      <c r="G9" s="2">
        <v>2</v>
      </c>
      <c r="H9" s="2">
        <v>326383</v>
      </c>
      <c r="I9" s="2">
        <v>2</v>
      </c>
      <c r="J9" s="2">
        <v>225767</v>
      </c>
      <c r="K9" s="2"/>
      <c r="L9" s="2"/>
      <c r="M9" s="2">
        <v>1</v>
      </c>
      <c r="N9" s="2">
        <v>69467</v>
      </c>
      <c r="O9" s="2"/>
      <c r="P9" s="2"/>
      <c r="Q9" s="2">
        <v>2</v>
      </c>
      <c r="R9" s="2">
        <v>229775</v>
      </c>
      <c r="S9" s="2">
        <v>1</v>
      </c>
      <c r="T9" s="2">
        <v>101294</v>
      </c>
      <c r="U9" s="2"/>
      <c r="V9" s="2"/>
      <c r="W9" s="2">
        <v>2</v>
      </c>
      <c r="X9" s="2">
        <v>234801.2</v>
      </c>
      <c r="Y9" s="2">
        <v>1</v>
      </c>
      <c r="Z9" s="2">
        <v>169167</v>
      </c>
      <c r="AA9" s="2">
        <v>21</v>
      </c>
      <c r="AB9" s="2">
        <v>2183137.2000000002</v>
      </c>
    </row>
    <row r="10" spans="1:28">
      <c r="A10" s="2" t="s">
        <v>24</v>
      </c>
      <c r="B10" s="2" t="s">
        <v>26</v>
      </c>
      <c r="C10" s="2">
        <v>6</v>
      </c>
      <c r="D10" s="2">
        <v>844122.72</v>
      </c>
      <c r="E10" s="2">
        <v>2</v>
      </c>
      <c r="F10" s="2">
        <v>269438.40000000002</v>
      </c>
      <c r="G10" s="2">
        <v>3</v>
      </c>
      <c r="H10" s="2">
        <v>261776</v>
      </c>
      <c r="I10" s="2">
        <v>7</v>
      </c>
      <c r="J10" s="2">
        <v>686149.60999999987</v>
      </c>
      <c r="K10" s="2">
        <v>13</v>
      </c>
      <c r="L10" s="2">
        <v>13000</v>
      </c>
      <c r="M10" s="2">
        <v>28</v>
      </c>
      <c r="N10" s="2">
        <v>500734.25</v>
      </c>
      <c r="O10" s="2">
        <v>8</v>
      </c>
      <c r="P10" s="2">
        <v>618647.22</v>
      </c>
      <c r="Q10" s="2">
        <v>4</v>
      </c>
      <c r="R10" s="2">
        <v>250770.98</v>
      </c>
      <c r="S10" s="2">
        <v>1</v>
      </c>
      <c r="T10" s="2">
        <v>113272.32000000001</v>
      </c>
      <c r="U10" s="2">
        <v>5</v>
      </c>
      <c r="V10" s="2">
        <v>569016</v>
      </c>
      <c r="W10" s="2">
        <v>3</v>
      </c>
      <c r="X10" s="2">
        <v>257324</v>
      </c>
      <c r="Y10" s="2">
        <v>2</v>
      </c>
      <c r="Z10" s="2">
        <v>275352</v>
      </c>
      <c r="AA10" s="2">
        <v>82</v>
      </c>
      <c r="AB10" s="2">
        <v>4659603.5</v>
      </c>
    </row>
    <row r="11" spans="1:28">
      <c r="A11" s="2" t="s">
        <v>24</v>
      </c>
      <c r="B11" s="2" t="s">
        <v>27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>
        <v>1</v>
      </c>
      <c r="P11" s="2">
        <v>268800</v>
      </c>
      <c r="Q11" s="2">
        <v>1</v>
      </c>
      <c r="R11" s="2">
        <v>25872</v>
      </c>
      <c r="S11" s="2">
        <v>2</v>
      </c>
      <c r="T11" s="2">
        <v>63672</v>
      </c>
      <c r="U11" s="2"/>
      <c r="V11" s="2"/>
      <c r="W11" s="2"/>
      <c r="X11" s="2"/>
      <c r="Y11" s="2"/>
      <c r="Z11" s="2"/>
      <c r="AA11" s="2">
        <v>4</v>
      </c>
      <c r="AB11" s="2">
        <v>358344</v>
      </c>
    </row>
    <row r="12" spans="1:28">
      <c r="A12" s="2" t="s">
        <v>24</v>
      </c>
      <c r="B12" s="2" t="s">
        <v>28</v>
      </c>
      <c r="C12" s="2"/>
      <c r="D12" s="2"/>
      <c r="E12" s="2"/>
      <c r="F12" s="2"/>
      <c r="G12" s="2"/>
      <c r="H12" s="2"/>
      <c r="I12" s="2">
        <v>2</v>
      </c>
      <c r="J12" s="2">
        <v>168438</v>
      </c>
      <c r="K12" s="2">
        <v>3</v>
      </c>
      <c r="L12" s="2">
        <v>348220</v>
      </c>
      <c r="M12" s="2">
        <v>1</v>
      </c>
      <c r="N12" s="2">
        <v>96860</v>
      </c>
      <c r="O12" s="2"/>
      <c r="P12" s="2"/>
      <c r="Q12" s="2">
        <v>2</v>
      </c>
      <c r="R12" s="2">
        <v>146265.5</v>
      </c>
      <c r="S12" s="2"/>
      <c r="T12" s="2"/>
      <c r="U12" s="2">
        <v>1</v>
      </c>
      <c r="V12" s="2">
        <v>135360</v>
      </c>
      <c r="W12" s="2">
        <v>2</v>
      </c>
      <c r="X12" s="2">
        <v>303501</v>
      </c>
      <c r="Y12" s="2"/>
      <c r="Z12" s="2"/>
      <c r="AA12" s="2">
        <v>11</v>
      </c>
      <c r="AB12" s="2">
        <v>1198644.5</v>
      </c>
    </row>
    <row r="13" spans="1:28">
      <c r="A13" s="2" t="s">
        <v>24</v>
      </c>
      <c r="B13" s="2" t="s">
        <v>29</v>
      </c>
      <c r="C13" s="2"/>
      <c r="D13" s="2"/>
      <c r="E13" s="2">
        <v>87</v>
      </c>
      <c r="F13" s="2">
        <v>2937219.5</v>
      </c>
      <c r="G13" s="2">
        <v>59</v>
      </c>
      <c r="H13" s="2">
        <v>1900135</v>
      </c>
      <c r="I13" s="2">
        <v>100</v>
      </c>
      <c r="J13" s="2">
        <v>3325104.5</v>
      </c>
      <c r="K13" s="2">
        <v>185</v>
      </c>
      <c r="L13" s="2">
        <v>5080110.5</v>
      </c>
      <c r="M13" s="2">
        <v>108</v>
      </c>
      <c r="N13" s="2">
        <v>2868877.5</v>
      </c>
      <c r="O13" s="2">
        <v>2</v>
      </c>
      <c r="P13" s="2">
        <v>53550</v>
      </c>
      <c r="Q13" s="2"/>
      <c r="R13" s="2"/>
      <c r="S13" s="2"/>
      <c r="T13" s="2"/>
      <c r="U13" s="2">
        <v>42</v>
      </c>
      <c r="V13" s="2">
        <v>1162034.5</v>
      </c>
      <c r="W13" s="2"/>
      <c r="X13" s="2"/>
      <c r="Y13" s="2"/>
      <c r="Z13" s="2"/>
      <c r="AA13" s="2">
        <v>583</v>
      </c>
      <c r="AB13" s="2">
        <v>17327031.5</v>
      </c>
    </row>
    <row r="14" spans="1:28">
      <c r="A14" s="2" t="s">
        <v>24</v>
      </c>
      <c r="B14" s="2" t="s">
        <v>30</v>
      </c>
      <c r="C14" s="2">
        <v>6</v>
      </c>
      <c r="D14" s="2">
        <v>1248152.71</v>
      </c>
      <c r="E14" s="2">
        <v>5</v>
      </c>
      <c r="F14" s="2">
        <v>1206403.94</v>
      </c>
      <c r="G14" s="2">
        <v>7</v>
      </c>
      <c r="H14" s="2">
        <v>1383349.75</v>
      </c>
      <c r="I14" s="2">
        <v>5</v>
      </c>
      <c r="J14" s="2">
        <v>1374383.3</v>
      </c>
      <c r="K14" s="2">
        <v>4</v>
      </c>
      <c r="L14" s="2">
        <v>862068.32</v>
      </c>
      <c r="M14" s="2">
        <v>3</v>
      </c>
      <c r="N14" s="2">
        <v>841379.31</v>
      </c>
      <c r="O14" s="2">
        <v>8</v>
      </c>
      <c r="P14" s="2">
        <v>1798029.5500000003</v>
      </c>
      <c r="Q14" s="2">
        <v>3</v>
      </c>
      <c r="R14" s="2">
        <v>416748.78</v>
      </c>
      <c r="S14" s="2">
        <v>1</v>
      </c>
      <c r="T14" s="2">
        <v>295566.5</v>
      </c>
      <c r="U14" s="2">
        <v>3</v>
      </c>
      <c r="V14" s="2">
        <v>741379.32</v>
      </c>
      <c r="W14" s="2">
        <v>4</v>
      </c>
      <c r="X14" s="2">
        <v>1152558.03</v>
      </c>
      <c r="Y14" s="2">
        <v>2</v>
      </c>
      <c r="Z14" s="2">
        <v>344696.55</v>
      </c>
      <c r="AA14" s="2">
        <v>51</v>
      </c>
      <c r="AB14" s="2">
        <v>11664716.060000001</v>
      </c>
    </row>
    <row r="15" spans="1:28">
      <c r="A15" s="2" t="s">
        <v>24</v>
      </c>
      <c r="B15" s="2" t="s">
        <v>31</v>
      </c>
      <c r="C15" s="2"/>
      <c r="D15" s="2"/>
      <c r="E15" s="2"/>
      <c r="F15" s="2"/>
      <c r="G15" s="2">
        <v>1</v>
      </c>
      <c r="H15" s="2">
        <v>250740</v>
      </c>
      <c r="I15" s="2"/>
      <c r="J15" s="2"/>
      <c r="K15" s="2"/>
      <c r="L15" s="2"/>
      <c r="M15" s="2"/>
      <c r="N15" s="2"/>
      <c r="O15" s="2">
        <v>2</v>
      </c>
      <c r="P15" s="2">
        <v>534912</v>
      </c>
      <c r="Q15" s="2">
        <v>6</v>
      </c>
      <c r="R15" s="2">
        <v>1930698</v>
      </c>
      <c r="S15" s="2">
        <v>4</v>
      </c>
      <c r="T15" s="2">
        <v>844158</v>
      </c>
      <c r="U15" s="2">
        <v>3</v>
      </c>
      <c r="V15" s="2">
        <v>570015.6</v>
      </c>
      <c r="W15" s="2">
        <v>4</v>
      </c>
      <c r="X15" s="2">
        <v>1270416</v>
      </c>
      <c r="Y15" s="2">
        <v>2</v>
      </c>
      <c r="Z15" s="2">
        <v>660282</v>
      </c>
      <c r="AA15" s="2">
        <v>22</v>
      </c>
      <c r="AB15" s="2">
        <v>6061221.5999999996</v>
      </c>
    </row>
    <row r="16" spans="1:28">
      <c r="A16" s="2" t="s">
        <v>24</v>
      </c>
      <c r="B16" s="2" t="s">
        <v>32</v>
      </c>
      <c r="C16" s="2">
        <v>1</v>
      </c>
      <c r="D16" s="2">
        <v>43500</v>
      </c>
      <c r="E16" s="2">
        <v>2</v>
      </c>
      <c r="F16" s="2">
        <v>56000</v>
      </c>
      <c r="G16" s="2"/>
      <c r="H16" s="2"/>
      <c r="I16" s="2">
        <v>1</v>
      </c>
      <c r="J16" s="2">
        <v>268000</v>
      </c>
      <c r="K16" s="2"/>
      <c r="L16" s="2"/>
      <c r="M16" s="2">
        <v>1</v>
      </c>
      <c r="N16" s="2">
        <v>110000</v>
      </c>
      <c r="O16" s="2">
        <v>4</v>
      </c>
      <c r="P16" s="2">
        <v>290999.99</v>
      </c>
      <c r="Q16" s="2">
        <v>3</v>
      </c>
      <c r="R16" s="2">
        <v>494000</v>
      </c>
      <c r="S16" s="2">
        <v>2</v>
      </c>
      <c r="T16" s="2">
        <v>372000</v>
      </c>
      <c r="U16" s="2">
        <v>2</v>
      </c>
      <c r="V16" s="2">
        <v>403000</v>
      </c>
      <c r="W16" s="2">
        <v>2</v>
      </c>
      <c r="X16" s="2">
        <v>278542</v>
      </c>
      <c r="Y16" s="2">
        <v>1</v>
      </c>
      <c r="Z16" s="2">
        <v>29932</v>
      </c>
      <c r="AA16" s="2">
        <v>19</v>
      </c>
      <c r="AB16" s="2">
        <v>2345973.9900000002</v>
      </c>
    </row>
    <row r="17" spans="1:28">
      <c r="A17" s="2" t="s">
        <v>24</v>
      </c>
      <c r="B17" s="2" t="s">
        <v>33</v>
      </c>
      <c r="C17" s="2"/>
      <c r="D17" s="2"/>
      <c r="E17" s="2">
        <v>1</v>
      </c>
      <c r="F17" s="2">
        <v>183000</v>
      </c>
      <c r="G17" s="2"/>
      <c r="H17" s="2"/>
      <c r="I17" s="2"/>
      <c r="J17" s="2"/>
      <c r="K17" s="2">
        <v>1</v>
      </c>
      <c r="L17" s="2">
        <v>42000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>
        <v>2</v>
      </c>
      <c r="AB17" s="2">
        <v>225000</v>
      </c>
    </row>
    <row r="18" spans="1:28">
      <c r="A18" s="2" t="s">
        <v>24</v>
      </c>
      <c r="B18" s="2" t="s">
        <v>34</v>
      </c>
      <c r="C18" s="2">
        <v>1</v>
      </c>
      <c r="D18" s="2">
        <v>116700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>
        <v>1</v>
      </c>
      <c r="AB18" s="2">
        <v>116700</v>
      </c>
    </row>
    <row r="19" spans="1:28">
      <c r="A19" s="2" t="s">
        <v>35</v>
      </c>
      <c r="B19" s="2" t="s">
        <v>35</v>
      </c>
      <c r="C19" s="2"/>
      <c r="D19" s="2"/>
      <c r="E19" s="2"/>
      <c r="F19" s="2"/>
      <c r="G19" s="2"/>
      <c r="H19" s="2"/>
      <c r="I19" s="2">
        <v>2</v>
      </c>
      <c r="J19" s="2">
        <v>55000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>
        <v>2</v>
      </c>
      <c r="Z19" s="2">
        <v>55000</v>
      </c>
      <c r="AA19" s="2">
        <v>4</v>
      </c>
      <c r="AB19" s="2">
        <v>110000</v>
      </c>
    </row>
    <row r="20" spans="1:28">
      <c r="A20" s="2" t="s">
        <v>35</v>
      </c>
      <c r="B20" s="2" t="s">
        <v>27</v>
      </c>
      <c r="C20" s="2">
        <v>19</v>
      </c>
      <c r="D20" s="2">
        <v>548765</v>
      </c>
      <c r="E20" s="2">
        <v>39</v>
      </c>
      <c r="F20" s="2">
        <v>1130800</v>
      </c>
      <c r="G20" s="2">
        <v>61</v>
      </c>
      <c r="H20" s="2">
        <v>1899140</v>
      </c>
      <c r="I20" s="2">
        <v>88</v>
      </c>
      <c r="J20" s="2">
        <v>2954420</v>
      </c>
      <c r="K20" s="2">
        <v>100</v>
      </c>
      <c r="L20" s="2">
        <v>3603720.99</v>
      </c>
      <c r="M20" s="2">
        <v>79</v>
      </c>
      <c r="N20" s="2">
        <v>2689489</v>
      </c>
      <c r="O20" s="2">
        <v>64</v>
      </c>
      <c r="P20" s="2">
        <v>1746546</v>
      </c>
      <c r="Q20" s="2">
        <v>49</v>
      </c>
      <c r="R20" s="2">
        <v>1720781</v>
      </c>
      <c r="S20" s="2">
        <v>50</v>
      </c>
      <c r="T20" s="2">
        <v>1681919.9799999997</v>
      </c>
      <c r="U20" s="2">
        <v>49</v>
      </c>
      <c r="V20" s="2">
        <v>1704722</v>
      </c>
      <c r="W20" s="2">
        <v>50</v>
      </c>
      <c r="X20" s="2">
        <v>2088663</v>
      </c>
      <c r="Y20" s="2">
        <v>57</v>
      </c>
      <c r="Z20" s="2">
        <v>2394990.6600000006</v>
      </c>
      <c r="AA20" s="2">
        <v>705</v>
      </c>
      <c r="AB20" s="2">
        <v>24163957.630000006</v>
      </c>
    </row>
    <row r="21" spans="1:28">
      <c r="A21" s="2" t="s">
        <v>35</v>
      </c>
      <c r="B21" s="2" t="s">
        <v>36</v>
      </c>
      <c r="C21" s="2">
        <v>27</v>
      </c>
      <c r="D21" s="2">
        <v>928125</v>
      </c>
      <c r="E21" s="2">
        <v>9</v>
      </c>
      <c r="F21" s="2">
        <v>305116.67</v>
      </c>
      <c r="G21" s="2">
        <v>20</v>
      </c>
      <c r="H21" s="2">
        <v>718373.9</v>
      </c>
      <c r="I21" s="2">
        <v>29</v>
      </c>
      <c r="J21" s="2">
        <v>1020124.99</v>
      </c>
      <c r="K21" s="2">
        <v>2</v>
      </c>
      <c r="L21" s="2">
        <v>70975</v>
      </c>
      <c r="M21" s="2">
        <v>9</v>
      </c>
      <c r="N21" s="2">
        <v>345750</v>
      </c>
      <c r="O21" s="2">
        <v>2</v>
      </c>
      <c r="P21" s="2">
        <v>50000</v>
      </c>
      <c r="Q21" s="2">
        <v>43</v>
      </c>
      <c r="R21" s="2">
        <v>1404725</v>
      </c>
      <c r="S21" s="2">
        <v>5</v>
      </c>
      <c r="T21" s="2">
        <v>174100</v>
      </c>
      <c r="U21" s="2">
        <v>8</v>
      </c>
      <c r="V21" s="2">
        <v>275000</v>
      </c>
      <c r="W21" s="2">
        <v>5</v>
      </c>
      <c r="X21" s="2">
        <v>163000</v>
      </c>
      <c r="Y21" s="2">
        <v>7</v>
      </c>
      <c r="Z21" s="2">
        <v>200000</v>
      </c>
      <c r="AA21" s="2">
        <v>166</v>
      </c>
      <c r="AB21" s="2">
        <v>5655290.5599999996</v>
      </c>
    </row>
    <row r="22" spans="1:28">
      <c r="A22" s="2" t="s">
        <v>35</v>
      </c>
      <c r="B22" s="2" t="s">
        <v>29</v>
      </c>
      <c r="C22" s="2">
        <v>5</v>
      </c>
      <c r="D22" s="2">
        <v>212415</v>
      </c>
      <c r="E22" s="2">
        <v>5</v>
      </c>
      <c r="F22" s="2">
        <v>169932</v>
      </c>
      <c r="G22" s="2">
        <v>3</v>
      </c>
      <c r="H22" s="2">
        <v>127449</v>
      </c>
      <c r="I22" s="2">
        <v>1</v>
      </c>
      <c r="J22" s="2">
        <v>45517.5</v>
      </c>
      <c r="K22" s="2">
        <v>2</v>
      </c>
      <c r="L22" s="2">
        <v>91035</v>
      </c>
      <c r="M22" s="2">
        <v>5</v>
      </c>
      <c r="N22" s="2">
        <v>227587</v>
      </c>
      <c r="O22" s="2">
        <v>2</v>
      </c>
      <c r="P22" s="2">
        <v>91034.5</v>
      </c>
      <c r="Q22" s="2">
        <v>6</v>
      </c>
      <c r="R22" s="2">
        <v>273104.5</v>
      </c>
      <c r="S22" s="2">
        <v>8</v>
      </c>
      <c r="T22" s="2">
        <v>364136.5</v>
      </c>
      <c r="U22" s="2">
        <v>10</v>
      </c>
      <c r="V22" s="2">
        <v>455170.5</v>
      </c>
      <c r="W22" s="2">
        <v>6</v>
      </c>
      <c r="X22" s="2">
        <v>273102</v>
      </c>
      <c r="Y22" s="2">
        <v>1</v>
      </c>
      <c r="Z22" s="2">
        <v>45517</v>
      </c>
      <c r="AA22" s="2">
        <v>54</v>
      </c>
      <c r="AB22" s="2">
        <v>2376000.5</v>
      </c>
    </row>
    <row r="23" spans="1:28">
      <c r="A23" s="2" t="s">
        <v>37</v>
      </c>
      <c r="B23" s="2" t="s">
        <v>25</v>
      </c>
      <c r="C23" s="2"/>
      <c r="D23" s="2"/>
      <c r="E23" s="2">
        <v>2</v>
      </c>
      <c r="F23" s="2">
        <v>224700</v>
      </c>
      <c r="G23" s="2">
        <v>5</v>
      </c>
      <c r="H23" s="2">
        <v>531300</v>
      </c>
      <c r="I23" s="2">
        <v>3</v>
      </c>
      <c r="J23" s="2">
        <v>261969</v>
      </c>
      <c r="K23" s="2">
        <v>9</v>
      </c>
      <c r="L23" s="2">
        <v>867950.4</v>
      </c>
      <c r="M23" s="2">
        <v>1</v>
      </c>
      <c r="N23" s="2">
        <v>88200</v>
      </c>
      <c r="O23" s="2">
        <v>4</v>
      </c>
      <c r="P23" s="2">
        <v>447900</v>
      </c>
      <c r="Q23" s="2">
        <v>4</v>
      </c>
      <c r="R23" s="2">
        <v>577500</v>
      </c>
      <c r="S23" s="2">
        <v>4</v>
      </c>
      <c r="T23" s="2">
        <v>432600</v>
      </c>
      <c r="U23" s="2">
        <v>1</v>
      </c>
      <c r="V23" s="2">
        <v>119700</v>
      </c>
      <c r="W23" s="2">
        <v>4</v>
      </c>
      <c r="X23" s="2">
        <v>412900</v>
      </c>
      <c r="Y23" s="2">
        <v>1</v>
      </c>
      <c r="Z23" s="2">
        <v>88200</v>
      </c>
      <c r="AA23" s="2">
        <v>38</v>
      </c>
      <c r="AB23" s="2">
        <v>4052919.4000000004</v>
      </c>
    </row>
    <row r="24" spans="1:28">
      <c r="A24" s="2" t="s">
        <v>37</v>
      </c>
      <c r="B24" s="2" t="s">
        <v>28</v>
      </c>
      <c r="C24" s="2"/>
      <c r="D24" s="2"/>
      <c r="E24" s="2"/>
      <c r="F24" s="2"/>
      <c r="G24" s="2"/>
      <c r="H24" s="2"/>
      <c r="I24" s="2">
        <v>1</v>
      </c>
      <c r="J24" s="2">
        <v>88200</v>
      </c>
      <c r="K24" s="2">
        <v>1</v>
      </c>
      <c r="L24" s="2">
        <v>157500</v>
      </c>
      <c r="M24" s="2"/>
      <c r="N24" s="2"/>
      <c r="O24" s="2">
        <v>1</v>
      </c>
      <c r="P24" s="2">
        <v>88200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>
        <v>3</v>
      </c>
      <c r="AB24" s="2">
        <v>333900</v>
      </c>
    </row>
    <row r="25" spans="1:28">
      <c r="A25" s="2" t="s">
        <v>37</v>
      </c>
      <c r="B25" s="2" t="s">
        <v>33</v>
      </c>
      <c r="C25" s="2">
        <v>1</v>
      </c>
      <c r="D25" s="2">
        <v>186900</v>
      </c>
      <c r="E25" s="2">
        <v>3</v>
      </c>
      <c r="F25" s="2">
        <v>388416</v>
      </c>
      <c r="G25" s="2">
        <v>2</v>
      </c>
      <c r="H25" s="2">
        <v>280560</v>
      </c>
      <c r="I25" s="2">
        <v>6</v>
      </c>
      <c r="J25" s="2">
        <v>883911</v>
      </c>
      <c r="K25" s="2">
        <v>3</v>
      </c>
      <c r="L25" s="2">
        <v>440455.26</v>
      </c>
      <c r="M25" s="2">
        <v>1</v>
      </c>
      <c r="N25" s="2">
        <v>150088.26</v>
      </c>
      <c r="O25" s="2">
        <v>2</v>
      </c>
      <c r="P25" s="2">
        <v>301392</v>
      </c>
      <c r="Q25" s="2"/>
      <c r="R25" s="2"/>
      <c r="S25" s="2"/>
      <c r="T25" s="2"/>
      <c r="U25" s="2"/>
      <c r="V25" s="2"/>
      <c r="W25" s="2">
        <v>3</v>
      </c>
      <c r="X25" s="2">
        <v>469476</v>
      </c>
      <c r="Y25" s="2">
        <v>2</v>
      </c>
      <c r="Z25" s="2">
        <v>306591.59999999998</v>
      </c>
      <c r="AA25" s="2">
        <v>23</v>
      </c>
      <c r="AB25" s="2">
        <v>3407790.1199999996</v>
      </c>
    </row>
    <row r="26" spans="1:28">
      <c r="A26" s="2" t="s">
        <v>38</v>
      </c>
      <c r="B26" s="2" t="s">
        <v>25</v>
      </c>
      <c r="C26" s="2">
        <v>7</v>
      </c>
      <c r="D26" s="2">
        <v>474600</v>
      </c>
      <c r="E26" s="2">
        <v>3</v>
      </c>
      <c r="F26" s="2">
        <v>172200</v>
      </c>
      <c r="G26" s="2">
        <v>4</v>
      </c>
      <c r="H26" s="2">
        <v>224700</v>
      </c>
      <c r="I26" s="2">
        <v>2</v>
      </c>
      <c r="J26" s="2">
        <v>136500</v>
      </c>
      <c r="K26" s="2">
        <v>2</v>
      </c>
      <c r="L26" s="2">
        <v>79800</v>
      </c>
      <c r="M26" s="2">
        <v>1</v>
      </c>
      <c r="N26" s="2">
        <v>84000</v>
      </c>
      <c r="O26" s="2">
        <v>1</v>
      </c>
      <c r="P26" s="2">
        <v>52500</v>
      </c>
      <c r="Q26" s="2">
        <v>1</v>
      </c>
      <c r="R26" s="2">
        <v>39900</v>
      </c>
      <c r="S26" s="2"/>
      <c r="T26" s="2"/>
      <c r="U26" s="2">
        <v>8</v>
      </c>
      <c r="V26" s="2">
        <v>419475</v>
      </c>
      <c r="W26" s="2">
        <v>4</v>
      </c>
      <c r="X26" s="2">
        <v>202608</v>
      </c>
      <c r="Y26" s="2">
        <v>2</v>
      </c>
      <c r="Z26" s="2">
        <v>69153</v>
      </c>
      <c r="AA26" s="2">
        <v>35</v>
      </c>
      <c r="AB26" s="2">
        <v>1955436</v>
      </c>
    </row>
    <row r="27" spans="1:28">
      <c r="A27" s="2" t="s">
        <v>39</v>
      </c>
      <c r="B27" s="2" t="s">
        <v>40</v>
      </c>
      <c r="C27" s="2">
        <v>5</v>
      </c>
      <c r="D27" s="2">
        <v>673029</v>
      </c>
      <c r="E27" s="2">
        <v>1</v>
      </c>
      <c r="F27" s="2">
        <v>125685</v>
      </c>
      <c r="G27" s="2"/>
      <c r="H27" s="2"/>
      <c r="I27" s="2">
        <v>2</v>
      </c>
      <c r="J27" s="2">
        <v>300699</v>
      </c>
      <c r="K27" s="2"/>
      <c r="L27" s="2"/>
      <c r="M27" s="2">
        <v>3</v>
      </c>
      <c r="N27" s="2">
        <v>73710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>
        <v>11</v>
      </c>
      <c r="AB27" s="2">
        <v>1173123</v>
      </c>
    </row>
    <row r="28" spans="1:28">
      <c r="A28" s="2" t="s">
        <v>41</v>
      </c>
      <c r="B28" s="2" t="s">
        <v>42</v>
      </c>
      <c r="C28" s="2">
        <v>15</v>
      </c>
      <c r="D28" s="2">
        <v>1689944</v>
      </c>
      <c r="E28" s="2">
        <v>23</v>
      </c>
      <c r="F28" s="2">
        <v>2295345.9</v>
      </c>
      <c r="G28" s="2">
        <v>19</v>
      </c>
      <c r="H28" s="2">
        <v>2386449.6900000004</v>
      </c>
      <c r="I28" s="2">
        <v>55</v>
      </c>
      <c r="J28" s="2">
        <v>4402313.8</v>
      </c>
      <c r="K28" s="2">
        <v>27</v>
      </c>
      <c r="L28" s="2">
        <v>2179682.86</v>
      </c>
      <c r="M28" s="2">
        <v>19</v>
      </c>
      <c r="N28" s="2">
        <v>2241003.9000000004</v>
      </c>
      <c r="O28" s="2">
        <v>17</v>
      </c>
      <c r="P28" s="2">
        <v>2588240.1</v>
      </c>
      <c r="Q28" s="2">
        <v>22</v>
      </c>
      <c r="R28" s="2">
        <v>2890233.9</v>
      </c>
      <c r="S28" s="2">
        <v>11</v>
      </c>
      <c r="T28" s="2">
        <v>1368846.8</v>
      </c>
      <c r="U28" s="2">
        <v>14</v>
      </c>
      <c r="V28" s="2">
        <v>1749800</v>
      </c>
      <c r="W28" s="2">
        <v>15</v>
      </c>
      <c r="X28" s="2">
        <v>2062008.3</v>
      </c>
      <c r="Y28" s="2">
        <v>13</v>
      </c>
      <c r="Z28" s="2">
        <v>1184110.8</v>
      </c>
      <c r="AA28" s="2">
        <v>250</v>
      </c>
      <c r="AB28" s="2">
        <v>27037980.050000008</v>
      </c>
    </row>
    <row r="29" spans="1:28">
      <c r="A29" s="2" t="s">
        <v>41</v>
      </c>
      <c r="B29" s="2" t="s">
        <v>25</v>
      </c>
      <c r="C29" s="2"/>
      <c r="D29" s="2"/>
      <c r="E29" s="2"/>
      <c r="F29" s="2"/>
      <c r="G29" s="2">
        <v>4</v>
      </c>
      <c r="H29" s="2">
        <v>277200</v>
      </c>
      <c r="I29" s="2">
        <v>5</v>
      </c>
      <c r="J29" s="2">
        <v>735840</v>
      </c>
      <c r="K29" s="2">
        <v>4</v>
      </c>
      <c r="L29" s="2">
        <v>246960</v>
      </c>
      <c r="M29" s="2">
        <v>3</v>
      </c>
      <c r="N29" s="2">
        <v>184800</v>
      </c>
      <c r="O29" s="2">
        <v>1</v>
      </c>
      <c r="P29" s="2">
        <v>72240</v>
      </c>
      <c r="Q29" s="2"/>
      <c r="R29" s="2"/>
      <c r="S29" s="2"/>
      <c r="T29" s="2"/>
      <c r="U29" s="2">
        <v>1</v>
      </c>
      <c r="V29" s="2">
        <v>50400</v>
      </c>
      <c r="W29" s="2">
        <v>1</v>
      </c>
      <c r="X29" s="2">
        <v>50400</v>
      </c>
      <c r="Y29" s="2">
        <v>2</v>
      </c>
      <c r="Z29" s="2">
        <v>445200</v>
      </c>
      <c r="AA29" s="2">
        <v>21</v>
      </c>
      <c r="AB29" s="2">
        <v>2063040</v>
      </c>
    </row>
    <row r="30" spans="1:28">
      <c r="A30" s="2" t="s">
        <v>41</v>
      </c>
      <c r="B30" s="2" t="s">
        <v>43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>
        <v>1</v>
      </c>
      <c r="X30" s="2">
        <v>157500</v>
      </c>
      <c r="Y30" s="2"/>
      <c r="Z30" s="2"/>
      <c r="AA30" s="2">
        <v>1</v>
      </c>
      <c r="AB30" s="2">
        <v>157500</v>
      </c>
    </row>
    <row r="31" spans="1:28">
      <c r="A31" s="2" t="s">
        <v>41</v>
      </c>
      <c r="B31" s="2" t="s">
        <v>41</v>
      </c>
      <c r="C31" s="2">
        <v>1</v>
      </c>
      <c r="D31" s="2">
        <v>150000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>
        <v>1</v>
      </c>
      <c r="P31" s="2">
        <v>83583.33</v>
      </c>
      <c r="Q31" s="2">
        <v>2</v>
      </c>
      <c r="R31" s="2">
        <v>472000</v>
      </c>
      <c r="S31" s="2"/>
      <c r="T31" s="2"/>
      <c r="U31" s="2">
        <v>1</v>
      </c>
      <c r="V31" s="2">
        <v>122917</v>
      </c>
      <c r="W31" s="2"/>
      <c r="X31" s="2"/>
      <c r="Y31" s="2"/>
      <c r="Z31" s="2"/>
      <c r="AA31" s="2">
        <v>5</v>
      </c>
      <c r="AB31" s="2">
        <v>828500.33000000007</v>
      </c>
    </row>
    <row r="32" spans="1:28">
      <c r="A32" s="2" t="s">
        <v>41</v>
      </c>
      <c r="B32" s="2" t="s">
        <v>33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>
        <v>1</v>
      </c>
      <c r="R32" s="2">
        <v>160000</v>
      </c>
      <c r="S32" s="2">
        <v>1</v>
      </c>
      <c r="T32" s="2">
        <v>34000</v>
      </c>
      <c r="U32" s="2"/>
      <c r="V32" s="2"/>
      <c r="W32" s="2"/>
      <c r="X32" s="2"/>
      <c r="Y32" s="2">
        <v>3</v>
      </c>
      <c r="Z32" s="2">
        <v>513988</v>
      </c>
      <c r="AA32" s="2">
        <v>5</v>
      </c>
      <c r="AB32" s="2">
        <v>707988</v>
      </c>
    </row>
    <row r="33" spans="1:28">
      <c r="A33" s="2" t="s">
        <v>44</v>
      </c>
      <c r="B33" s="2" t="s">
        <v>45</v>
      </c>
      <c r="C33" s="2">
        <v>30</v>
      </c>
      <c r="D33" s="2">
        <v>6849694.6799999997</v>
      </c>
      <c r="E33" s="2">
        <v>20</v>
      </c>
      <c r="F33" s="2">
        <v>6367800</v>
      </c>
      <c r="G33" s="2">
        <v>22</v>
      </c>
      <c r="H33" s="2">
        <v>4959175</v>
      </c>
      <c r="I33" s="2">
        <v>26</v>
      </c>
      <c r="J33" s="2">
        <v>7229846.2400000002</v>
      </c>
      <c r="K33" s="2">
        <v>19</v>
      </c>
      <c r="L33" s="2">
        <v>5680316.6600000001</v>
      </c>
      <c r="M33" s="2">
        <v>10</v>
      </c>
      <c r="N33" s="2">
        <v>2984393.18</v>
      </c>
      <c r="O33" s="2">
        <v>19</v>
      </c>
      <c r="P33" s="2">
        <v>4320715.42</v>
      </c>
      <c r="Q33" s="2">
        <v>17</v>
      </c>
      <c r="R33" s="2">
        <v>4935231.13</v>
      </c>
      <c r="S33" s="2">
        <v>11</v>
      </c>
      <c r="T33" s="2">
        <v>3285516</v>
      </c>
      <c r="U33" s="2">
        <v>15</v>
      </c>
      <c r="V33" s="2">
        <v>4698691.2</v>
      </c>
      <c r="W33" s="2">
        <v>23</v>
      </c>
      <c r="X33" s="2">
        <v>7243581.5199999996</v>
      </c>
      <c r="Y33" s="2">
        <v>35</v>
      </c>
      <c r="Z33" s="2">
        <v>9508552.1999999993</v>
      </c>
      <c r="AA33" s="2">
        <v>247</v>
      </c>
      <c r="AB33" s="2">
        <v>68063513.229999989</v>
      </c>
    </row>
    <row r="34" spans="1:28">
      <c r="A34" s="2" t="s">
        <v>44</v>
      </c>
      <c r="B34" s="2" t="s">
        <v>46</v>
      </c>
      <c r="C34" s="2"/>
      <c r="D34" s="2"/>
      <c r="E34" s="2"/>
      <c r="F34" s="2"/>
      <c r="G34" s="2">
        <v>15</v>
      </c>
      <c r="H34" s="2">
        <v>444849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>
        <v>15</v>
      </c>
      <c r="AB34" s="2">
        <v>444849</v>
      </c>
    </row>
    <row r="35" spans="1:28">
      <c r="A35" s="2" t="s">
        <v>44</v>
      </c>
      <c r="B35" s="2" t="s">
        <v>47</v>
      </c>
      <c r="C35" s="2"/>
      <c r="D35" s="2"/>
      <c r="E35" s="2"/>
      <c r="F35" s="2"/>
      <c r="G35" s="2">
        <v>1</v>
      </c>
      <c r="H35" s="2">
        <v>54080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>
        <v>1</v>
      </c>
      <c r="AB35" s="2">
        <v>54080</v>
      </c>
    </row>
    <row r="36" spans="1:28">
      <c r="A36" s="2" t="s">
        <v>44</v>
      </c>
      <c r="B36" s="2" t="s">
        <v>44</v>
      </c>
      <c r="C36" s="2"/>
      <c r="D36" s="2"/>
      <c r="E36" s="2"/>
      <c r="F36" s="2"/>
      <c r="G36" s="2"/>
      <c r="H36" s="2"/>
      <c r="I36" s="2">
        <v>1</v>
      </c>
      <c r="J36" s="2">
        <v>400000</v>
      </c>
      <c r="K36" s="2">
        <v>1</v>
      </c>
      <c r="L36" s="2">
        <v>305450</v>
      </c>
      <c r="M36" s="2"/>
      <c r="N36" s="2"/>
      <c r="O36" s="2"/>
      <c r="P36" s="2"/>
      <c r="Q36" s="2"/>
      <c r="R36" s="2"/>
      <c r="S36" s="2"/>
      <c r="T36" s="2"/>
      <c r="U36" s="2">
        <v>33</v>
      </c>
      <c r="V36" s="2">
        <v>3335000</v>
      </c>
      <c r="W36" s="2"/>
      <c r="X36" s="2"/>
      <c r="Y36" s="2"/>
      <c r="Z36" s="2"/>
      <c r="AA36" s="2">
        <v>35</v>
      </c>
      <c r="AB36" s="2">
        <v>4040450</v>
      </c>
    </row>
    <row r="37" spans="1:28">
      <c r="A37" s="2" t="s">
        <v>44</v>
      </c>
      <c r="B37" s="2" t="s">
        <v>48</v>
      </c>
      <c r="C37" s="2">
        <v>5</v>
      </c>
      <c r="D37" s="2">
        <v>1305120</v>
      </c>
      <c r="E37" s="2">
        <v>6</v>
      </c>
      <c r="F37" s="2">
        <v>2230714</v>
      </c>
      <c r="G37" s="2">
        <v>3</v>
      </c>
      <c r="H37" s="2">
        <v>1103928</v>
      </c>
      <c r="I37" s="2">
        <v>1</v>
      </c>
      <c r="J37" s="2">
        <v>160000</v>
      </c>
      <c r="K37" s="2">
        <v>1</v>
      </c>
      <c r="L37" s="2">
        <v>242500</v>
      </c>
      <c r="M37" s="2">
        <v>3</v>
      </c>
      <c r="N37" s="2">
        <v>1004901.69</v>
      </c>
      <c r="O37" s="2"/>
      <c r="P37" s="2"/>
      <c r="Q37" s="2">
        <v>4</v>
      </c>
      <c r="R37" s="2">
        <v>873083.33</v>
      </c>
      <c r="S37" s="2">
        <v>15</v>
      </c>
      <c r="T37" s="2">
        <v>1798699.95</v>
      </c>
      <c r="U37" s="2">
        <v>4</v>
      </c>
      <c r="V37" s="2">
        <v>819399.9</v>
      </c>
      <c r="W37" s="2">
        <v>10</v>
      </c>
      <c r="X37" s="2">
        <v>665026.52</v>
      </c>
      <c r="Y37" s="2">
        <v>5</v>
      </c>
      <c r="Z37" s="2">
        <v>689663</v>
      </c>
      <c r="AA37" s="2">
        <v>57</v>
      </c>
      <c r="AB37" s="2">
        <v>10893036.390000001</v>
      </c>
    </row>
    <row r="38" spans="1:28">
      <c r="A38" s="2" t="s">
        <v>44</v>
      </c>
      <c r="B38" s="2" t="s">
        <v>49</v>
      </c>
      <c r="C38" s="2"/>
      <c r="D38" s="2"/>
      <c r="E38" s="2"/>
      <c r="F38" s="2"/>
      <c r="G38" s="2">
        <v>1</v>
      </c>
      <c r="H38" s="2">
        <v>184000</v>
      </c>
      <c r="I38" s="2">
        <v>2</v>
      </c>
      <c r="J38" s="2">
        <v>307650</v>
      </c>
      <c r="K38" s="2">
        <v>3</v>
      </c>
      <c r="L38" s="2">
        <v>320833.17000000004</v>
      </c>
      <c r="M38" s="2"/>
      <c r="N38" s="2"/>
      <c r="O38" s="2">
        <v>2</v>
      </c>
      <c r="P38" s="2">
        <v>137291.70000000001</v>
      </c>
      <c r="Q38" s="2"/>
      <c r="R38" s="2"/>
      <c r="S38" s="2">
        <v>1</v>
      </c>
      <c r="T38" s="2">
        <v>229910</v>
      </c>
      <c r="U38" s="2">
        <v>2</v>
      </c>
      <c r="V38" s="2">
        <v>426974</v>
      </c>
      <c r="W38" s="2">
        <v>2</v>
      </c>
      <c r="X38" s="2">
        <v>439845</v>
      </c>
      <c r="Y38" s="2"/>
      <c r="Z38" s="2"/>
      <c r="AA38" s="2">
        <v>13</v>
      </c>
      <c r="AB38" s="2">
        <v>2046503.87</v>
      </c>
    </row>
    <row r="39" spans="1:28">
      <c r="A39" s="2" t="s">
        <v>50</v>
      </c>
      <c r="B39" s="2" t="s">
        <v>51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>
        <v>1</v>
      </c>
      <c r="T39" s="2">
        <v>104166.67</v>
      </c>
      <c r="U39" s="2">
        <v>1</v>
      </c>
      <c r="V39" s="2">
        <v>155000</v>
      </c>
      <c r="W39" s="2">
        <v>1</v>
      </c>
      <c r="X39" s="2">
        <v>97500</v>
      </c>
      <c r="Y39" s="2">
        <v>1</v>
      </c>
      <c r="Z39" s="2">
        <v>54166.67</v>
      </c>
      <c r="AA39" s="2">
        <v>4</v>
      </c>
      <c r="AB39" s="2">
        <v>410833.33999999997</v>
      </c>
    </row>
    <row r="40" spans="1:28">
      <c r="A40" s="2" t="s">
        <v>52</v>
      </c>
      <c r="B40" s="2" t="s">
        <v>26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>
        <v>8</v>
      </c>
      <c r="N40" s="2">
        <v>4900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>
        <v>8</v>
      </c>
      <c r="AB40" s="2">
        <v>4900</v>
      </c>
    </row>
    <row r="41" spans="1:28">
      <c r="A41" s="2" t="s">
        <v>52</v>
      </c>
      <c r="B41" s="2" t="s">
        <v>46</v>
      </c>
      <c r="C41" s="2"/>
      <c r="D41" s="2"/>
      <c r="E41" s="2"/>
      <c r="F41" s="2"/>
      <c r="G41" s="2"/>
      <c r="H41" s="2"/>
      <c r="I41" s="2"/>
      <c r="J41" s="2"/>
      <c r="K41" s="2">
        <v>1</v>
      </c>
      <c r="L41" s="2">
        <v>250000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>
        <v>1</v>
      </c>
      <c r="AB41" s="2">
        <v>250000</v>
      </c>
    </row>
    <row r="42" spans="1:28">
      <c r="A42" s="2" t="s">
        <v>53</v>
      </c>
      <c r="B42" s="2"/>
      <c r="C42" s="2">
        <v>136</v>
      </c>
      <c r="D42" s="2">
        <v>15784950.109999999</v>
      </c>
      <c r="E42" s="2">
        <v>214</v>
      </c>
      <c r="F42" s="2">
        <v>18890953.210000001</v>
      </c>
      <c r="G42" s="2">
        <v>233</v>
      </c>
      <c r="H42" s="2">
        <v>17373588.340000004</v>
      </c>
      <c r="I42" s="2">
        <v>344</v>
      </c>
      <c r="J42" s="2">
        <v>25345833.940000001</v>
      </c>
      <c r="K42" s="2">
        <v>382</v>
      </c>
      <c r="L42" s="2">
        <v>21177912.160000004</v>
      </c>
      <c r="M42" s="2">
        <v>285</v>
      </c>
      <c r="N42" s="2">
        <v>14766141.090000002</v>
      </c>
      <c r="O42" s="2">
        <v>141</v>
      </c>
      <c r="P42" s="2">
        <v>13544581.810000001</v>
      </c>
      <c r="Q42" s="2">
        <v>173</v>
      </c>
      <c r="R42" s="2">
        <v>17928477.120000001</v>
      </c>
      <c r="S42" s="2">
        <v>123</v>
      </c>
      <c r="T42" s="2">
        <v>12721216.720000001</v>
      </c>
      <c r="U42" s="2">
        <v>205</v>
      </c>
      <c r="V42" s="2">
        <v>18021555.02</v>
      </c>
      <c r="W42" s="2">
        <v>144</v>
      </c>
      <c r="X42" s="2">
        <v>18300502.569999993</v>
      </c>
      <c r="Y42" s="2">
        <v>142</v>
      </c>
      <c r="Z42" s="2">
        <v>17917100.080000002</v>
      </c>
      <c r="AA42" s="2">
        <v>2522</v>
      </c>
      <c r="AB42" s="2">
        <v>211772812.17000005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A2314-6FFC-4AF1-86EE-D4019D886298}">
  <sheetPr codeName="Sheet2"/>
  <dimension ref="A2:AB40"/>
  <sheetViews>
    <sheetView workbookViewId="0"/>
  </sheetViews>
  <sheetFormatPr defaultRowHeight="15"/>
  <cols>
    <col min="1" max="1" width="24.28515625" bestFit="1" customWidth="1"/>
    <col min="2" max="2" width="20.28515625" bestFit="1" customWidth="1"/>
    <col min="3" max="3" width="5" bestFit="1" customWidth="1"/>
    <col min="4" max="4" width="12" bestFit="1" customWidth="1"/>
    <col min="5" max="5" width="4.7109375" bestFit="1" customWidth="1"/>
    <col min="6" max="6" width="12" bestFit="1" customWidth="1"/>
    <col min="7" max="7" width="4.7109375" bestFit="1" customWidth="1"/>
    <col min="8" max="8" width="12" bestFit="1" customWidth="1"/>
    <col min="9" max="9" width="4.7109375" bestFit="1" customWidth="1"/>
    <col min="10" max="10" width="12" bestFit="1" customWidth="1"/>
    <col min="11" max="11" width="4.7109375" bestFit="1" customWidth="1"/>
    <col min="12" max="12" width="12" bestFit="1" customWidth="1"/>
    <col min="13" max="13" width="4.7109375" bestFit="1" customWidth="1"/>
    <col min="14" max="14" width="12" bestFit="1" customWidth="1"/>
    <col min="15" max="15" width="4.7109375" bestFit="1" customWidth="1"/>
    <col min="16" max="16" width="12" bestFit="1" customWidth="1"/>
    <col min="17" max="17" width="4.7109375" bestFit="1" customWidth="1"/>
    <col min="18" max="18" width="12" bestFit="1" customWidth="1"/>
    <col min="19" max="19" width="4.7109375" bestFit="1" customWidth="1"/>
    <col min="20" max="20" width="12" bestFit="1" customWidth="1"/>
    <col min="21" max="21" width="5" bestFit="1" customWidth="1"/>
    <col min="22" max="22" width="12" bestFit="1" customWidth="1"/>
    <col min="23" max="23" width="4.7109375" bestFit="1" customWidth="1"/>
    <col min="24" max="24" width="12" bestFit="1" customWidth="1"/>
    <col min="25" max="25" width="4.7109375" bestFit="1" customWidth="1"/>
    <col min="26" max="26" width="12" bestFit="1" customWidth="1"/>
    <col min="27" max="27" width="9.5703125" bestFit="1" customWidth="1"/>
    <col min="28" max="28" width="12" bestFit="1" customWidth="1"/>
  </cols>
  <sheetData>
    <row r="2" spans="1:28">
      <c r="C2" s="9" t="s">
        <v>4</v>
      </c>
      <c r="U2" s="7" t="s">
        <v>5</v>
      </c>
    </row>
    <row r="3" spans="1:28">
      <c r="C3" s="7" t="s">
        <v>8</v>
      </c>
      <c r="D3" s="7" t="s">
        <v>8</v>
      </c>
      <c r="E3" s="7" t="s">
        <v>9</v>
      </c>
      <c r="F3" s="7" t="s">
        <v>9</v>
      </c>
      <c r="G3" s="7" t="s">
        <v>10</v>
      </c>
      <c r="H3" s="7" t="s">
        <v>10</v>
      </c>
      <c r="I3" s="7" t="s">
        <v>11</v>
      </c>
      <c r="J3" s="7" t="s">
        <v>11</v>
      </c>
      <c r="K3" s="7" t="s">
        <v>12</v>
      </c>
      <c r="L3" s="7" t="s">
        <v>12</v>
      </c>
      <c r="M3" s="7" t="s">
        <v>13</v>
      </c>
      <c r="N3" s="7" t="s">
        <v>13</v>
      </c>
      <c r="O3" s="7" t="s">
        <v>14</v>
      </c>
      <c r="P3" s="7" t="s">
        <v>14</v>
      </c>
      <c r="Q3" s="7" t="s">
        <v>15</v>
      </c>
      <c r="R3" s="7" t="s">
        <v>15</v>
      </c>
      <c r="S3" s="7" t="s">
        <v>16</v>
      </c>
      <c r="T3" s="7" t="s">
        <v>16</v>
      </c>
      <c r="U3" s="7" t="s">
        <v>17</v>
      </c>
      <c r="V3" s="7" t="s">
        <v>17</v>
      </c>
      <c r="W3" s="7" t="s">
        <v>18</v>
      </c>
      <c r="X3" s="7" t="s">
        <v>18</v>
      </c>
      <c r="Y3" s="7" t="s">
        <v>19</v>
      </c>
      <c r="Z3" s="7" t="s">
        <v>19</v>
      </c>
      <c r="AA3" s="7" t="s">
        <v>6</v>
      </c>
      <c r="AB3" s="7" t="s">
        <v>7</v>
      </c>
    </row>
    <row r="4" spans="1:28">
      <c r="A4" s="7" t="s">
        <v>20</v>
      </c>
      <c r="B4" s="7" t="s">
        <v>21</v>
      </c>
      <c r="C4" s="7" t="s">
        <v>22</v>
      </c>
      <c r="D4" s="7" t="s">
        <v>23</v>
      </c>
      <c r="E4" s="7" t="s">
        <v>22</v>
      </c>
      <c r="F4" s="7" t="s">
        <v>23</v>
      </c>
      <c r="G4" s="7" t="s">
        <v>22</v>
      </c>
      <c r="H4" s="7" t="s">
        <v>23</v>
      </c>
      <c r="I4" s="7" t="s">
        <v>22</v>
      </c>
      <c r="J4" s="7" t="s">
        <v>23</v>
      </c>
      <c r="K4" s="7" t="s">
        <v>22</v>
      </c>
      <c r="L4" s="7" t="s">
        <v>23</v>
      </c>
      <c r="M4" s="7" t="s">
        <v>22</v>
      </c>
      <c r="N4" s="7" t="s">
        <v>23</v>
      </c>
      <c r="O4" s="7" t="s">
        <v>22</v>
      </c>
      <c r="P4" s="7" t="s">
        <v>23</v>
      </c>
      <c r="Q4" s="7" t="s">
        <v>22</v>
      </c>
      <c r="R4" s="7" t="s">
        <v>23</v>
      </c>
      <c r="S4" s="7" t="s">
        <v>22</v>
      </c>
      <c r="T4" s="7" t="s">
        <v>23</v>
      </c>
      <c r="U4" s="7" t="s">
        <v>22</v>
      </c>
      <c r="V4" s="7" t="s">
        <v>23</v>
      </c>
      <c r="W4" s="7" t="s">
        <v>22</v>
      </c>
      <c r="X4" s="7" t="s">
        <v>23</v>
      </c>
      <c r="Y4" s="7" t="s">
        <v>22</v>
      </c>
      <c r="Z4" s="7" t="s">
        <v>23</v>
      </c>
      <c r="AA4" s="2"/>
      <c r="AB4" s="2"/>
    </row>
    <row r="5" spans="1:28">
      <c r="A5" s="2" t="s">
        <v>24</v>
      </c>
      <c r="B5" s="2" t="s">
        <v>54</v>
      </c>
      <c r="C5" s="2"/>
      <c r="D5" s="2"/>
      <c r="E5" s="2">
        <v>1</v>
      </c>
      <c r="F5" s="2">
        <v>230680.8</v>
      </c>
      <c r="G5" s="2"/>
      <c r="H5" s="2"/>
      <c r="I5" s="2"/>
      <c r="J5" s="2"/>
      <c r="K5" s="2"/>
      <c r="L5" s="2"/>
      <c r="M5" s="2"/>
      <c r="N5" s="2"/>
      <c r="O5" s="2"/>
      <c r="P5" s="2"/>
      <c r="Q5" s="2">
        <v>3</v>
      </c>
      <c r="R5" s="2">
        <v>1087788</v>
      </c>
      <c r="S5" s="2">
        <v>4</v>
      </c>
      <c r="T5" s="2">
        <v>1362354</v>
      </c>
      <c r="U5" s="2"/>
      <c r="V5" s="2"/>
      <c r="W5" s="2">
        <v>1</v>
      </c>
      <c r="X5" s="2">
        <v>367752</v>
      </c>
      <c r="Y5" s="2">
        <v>3</v>
      </c>
      <c r="Z5" s="2">
        <v>882537.6</v>
      </c>
      <c r="AA5" s="2">
        <v>12</v>
      </c>
      <c r="AB5" s="2">
        <v>3931112.4</v>
      </c>
    </row>
    <row r="6" spans="1:28">
      <c r="A6" s="2" t="s">
        <v>24</v>
      </c>
      <c r="B6" s="2" t="s">
        <v>24</v>
      </c>
      <c r="C6" s="2"/>
      <c r="D6" s="2"/>
      <c r="E6" s="2">
        <v>2</v>
      </c>
      <c r="F6" s="2">
        <v>284900</v>
      </c>
      <c r="G6" s="2">
        <v>1</v>
      </c>
      <c r="H6" s="2">
        <v>60000</v>
      </c>
      <c r="I6" s="2">
        <v>3</v>
      </c>
      <c r="J6" s="2">
        <v>316000</v>
      </c>
      <c r="K6" s="2">
        <v>1</v>
      </c>
      <c r="L6" s="2">
        <v>295334</v>
      </c>
      <c r="M6" s="2">
        <v>1</v>
      </c>
      <c r="N6" s="2">
        <v>200000</v>
      </c>
      <c r="O6" s="2"/>
      <c r="P6" s="2"/>
      <c r="Q6" s="2"/>
      <c r="R6" s="2"/>
      <c r="S6" s="2">
        <v>1</v>
      </c>
      <c r="T6" s="2">
        <v>95004</v>
      </c>
      <c r="U6" s="2">
        <v>2</v>
      </c>
      <c r="V6" s="2">
        <v>108500</v>
      </c>
      <c r="W6" s="2">
        <v>1</v>
      </c>
      <c r="X6" s="2">
        <v>109998</v>
      </c>
      <c r="Y6" s="2"/>
      <c r="Z6" s="2"/>
      <c r="AA6" s="2">
        <v>12</v>
      </c>
      <c r="AB6" s="2">
        <v>1469736</v>
      </c>
    </row>
    <row r="7" spans="1:28">
      <c r="A7" s="2" t="s">
        <v>24</v>
      </c>
      <c r="B7" s="2" t="s">
        <v>25</v>
      </c>
      <c r="C7" s="2">
        <v>7</v>
      </c>
      <c r="D7" s="2">
        <v>513882</v>
      </c>
      <c r="E7" s="2">
        <v>3</v>
      </c>
      <c r="F7" s="2">
        <v>312601</v>
      </c>
      <c r="G7" s="2">
        <v>2</v>
      </c>
      <c r="H7" s="2">
        <v>326383</v>
      </c>
      <c r="I7" s="2">
        <v>2</v>
      </c>
      <c r="J7" s="2">
        <v>225767</v>
      </c>
      <c r="K7" s="2"/>
      <c r="L7" s="2"/>
      <c r="M7" s="2">
        <v>1</v>
      </c>
      <c r="N7" s="2">
        <v>69467</v>
      </c>
      <c r="O7" s="2"/>
      <c r="P7" s="2"/>
      <c r="Q7" s="2">
        <v>2</v>
      </c>
      <c r="R7" s="2">
        <v>229775</v>
      </c>
      <c r="S7" s="2">
        <v>1</v>
      </c>
      <c r="T7" s="2">
        <v>101294</v>
      </c>
      <c r="U7" s="2"/>
      <c r="V7" s="2"/>
      <c r="W7" s="2">
        <v>2</v>
      </c>
      <c r="X7" s="2">
        <v>234801.2</v>
      </c>
      <c r="Y7" s="2">
        <v>1</v>
      </c>
      <c r="Z7" s="2">
        <v>169167</v>
      </c>
      <c r="AA7" s="2">
        <v>21</v>
      </c>
      <c r="AB7" s="2">
        <v>2183137.2000000002</v>
      </c>
    </row>
    <row r="8" spans="1:28">
      <c r="A8" s="2" t="s">
        <v>24</v>
      </c>
      <c r="B8" s="2" t="s">
        <v>26</v>
      </c>
      <c r="C8" s="2">
        <v>6</v>
      </c>
      <c r="D8" s="2">
        <v>844122.72</v>
      </c>
      <c r="E8" s="2">
        <v>2</v>
      </c>
      <c r="F8" s="2">
        <v>269438.40000000002</v>
      </c>
      <c r="G8" s="2">
        <v>3</v>
      </c>
      <c r="H8" s="2">
        <v>261776</v>
      </c>
      <c r="I8" s="2">
        <v>7</v>
      </c>
      <c r="J8" s="2">
        <v>686149.60999999987</v>
      </c>
      <c r="K8" s="2">
        <v>13</v>
      </c>
      <c r="L8" s="2">
        <v>13000</v>
      </c>
      <c r="M8" s="2">
        <v>28</v>
      </c>
      <c r="N8" s="2">
        <v>500734.25</v>
      </c>
      <c r="O8" s="2">
        <v>8</v>
      </c>
      <c r="P8" s="2">
        <v>618647.22</v>
      </c>
      <c r="Q8" s="2">
        <v>4</v>
      </c>
      <c r="R8" s="2">
        <v>250770.98</v>
      </c>
      <c r="S8" s="2">
        <v>1</v>
      </c>
      <c r="T8" s="2">
        <v>113272.32000000001</v>
      </c>
      <c r="U8" s="2">
        <v>5</v>
      </c>
      <c r="V8" s="2">
        <v>569016</v>
      </c>
      <c r="W8" s="2">
        <v>3</v>
      </c>
      <c r="X8" s="2">
        <v>257324</v>
      </c>
      <c r="Y8" s="2">
        <v>2</v>
      </c>
      <c r="Z8" s="2">
        <v>275352</v>
      </c>
      <c r="AA8" s="2">
        <v>82</v>
      </c>
      <c r="AB8" s="2">
        <v>4659603.5</v>
      </c>
    </row>
    <row r="9" spans="1:28">
      <c r="A9" s="2" t="s">
        <v>24</v>
      </c>
      <c r="B9" s="2" t="s">
        <v>27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>
        <v>1</v>
      </c>
      <c r="P9" s="2">
        <v>268800</v>
      </c>
      <c r="Q9" s="2">
        <v>1</v>
      </c>
      <c r="R9" s="2">
        <v>25872</v>
      </c>
      <c r="S9" s="2">
        <v>2</v>
      </c>
      <c r="T9" s="2">
        <v>63672</v>
      </c>
      <c r="U9" s="2"/>
      <c r="V9" s="2"/>
      <c r="W9" s="2"/>
      <c r="X9" s="2"/>
      <c r="Y9" s="2"/>
      <c r="Z9" s="2"/>
      <c r="AA9" s="2">
        <v>4</v>
      </c>
      <c r="AB9" s="2">
        <v>358344</v>
      </c>
    </row>
    <row r="10" spans="1:28">
      <c r="A10" s="2" t="s">
        <v>24</v>
      </c>
      <c r="B10" s="2" t="s">
        <v>28</v>
      </c>
      <c r="C10" s="2"/>
      <c r="D10" s="2"/>
      <c r="E10" s="2"/>
      <c r="F10" s="2"/>
      <c r="G10" s="2"/>
      <c r="H10" s="2"/>
      <c r="I10" s="2">
        <v>2</v>
      </c>
      <c r="J10" s="2">
        <v>168438</v>
      </c>
      <c r="K10" s="2">
        <v>3</v>
      </c>
      <c r="L10" s="2">
        <v>348220</v>
      </c>
      <c r="M10" s="2">
        <v>1</v>
      </c>
      <c r="N10" s="2">
        <v>96860</v>
      </c>
      <c r="O10" s="2"/>
      <c r="P10" s="2"/>
      <c r="Q10" s="2">
        <v>2</v>
      </c>
      <c r="R10" s="2">
        <v>146265.5</v>
      </c>
      <c r="S10" s="2"/>
      <c r="T10" s="2"/>
      <c r="U10" s="2">
        <v>1</v>
      </c>
      <c r="V10" s="2">
        <v>135360</v>
      </c>
      <c r="W10" s="2">
        <v>2</v>
      </c>
      <c r="X10" s="2">
        <v>303501</v>
      </c>
      <c r="Y10" s="2"/>
      <c r="Z10" s="2"/>
      <c r="AA10" s="2">
        <v>11</v>
      </c>
      <c r="AB10" s="2">
        <v>1198644.5</v>
      </c>
    </row>
    <row r="11" spans="1:28">
      <c r="A11" s="2" t="s">
        <v>24</v>
      </c>
      <c r="B11" s="2" t="s">
        <v>29</v>
      </c>
      <c r="C11" s="2"/>
      <c r="D11" s="2"/>
      <c r="E11" s="2">
        <v>87</v>
      </c>
      <c r="F11" s="2">
        <v>2937219.5</v>
      </c>
      <c r="G11" s="2">
        <v>59</v>
      </c>
      <c r="H11" s="2">
        <v>1900135</v>
      </c>
      <c r="I11" s="2">
        <v>100</v>
      </c>
      <c r="J11" s="2">
        <v>3325104.5</v>
      </c>
      <c r="K11" s="2">
        <v>185</v>
      </c>
      <c r="L11" s="2">
        <v>5080110.5</v>
      </c>
      <c r="M11" s="2">
        <v>108</v>
      </c>
      <c r="N11" s="2">
        <v>2868877.5</v>
      </c>
      <c r="O11" s="2">
        <v>2</v>
      </c>
      <c r="P11" s="2">
        <v>53550</v>
      </c>
      <c r="Q11" s="2"/>
      <c r="R11" s="2"/>
      <c r="S11" s="2"/>
      <c r="T11" s="2"/>
      <c r="U11" s="2">
        <v>42</v>
      </c>
      <c r="V11" s="2">
        <v>1162034.5</v>
      </c>
      <c r="W11" s="2"/>
      <c r="X11" s="2"/>
      <c r="Y11" s="2"/>
      <c r="Z11" s="2"/>
      <c r="AA11" s="2">
        <v>583</v>
      </c>
      <c r="AB11" s="2">
        <v>17327031.5</v>
      </c>
    </row>
    <row r="12" spans="1:28">
      <c r="A12" s="2" t="s">
        <v>24</v>
      </c>
      <c r="B12" s="2" t="s">
        <v>30</v>
      </c>
      <c r="C12" s="2">
        <v>6</v>
      </c>
      <c r="D12" s="2">
        <v>1248152.71</v>
      </c>
      <c r="E12" s="2">
        <v>5</v>
      </c>
      <c r="F12" s="2">
        <v>1206403.94</v>
      </c>
      <c r="G12" s="2">
        <v>7</v>
      </c>
      <c r="H12" s="2">
        <v>1383349.75</v>
      </c>
      <c r="I12" s="2">
        <v>5</v>
      </c>
      <c r="J12" s="2">
        <v>1374383.3</v>
      </c>
      <c r="K12" s="2">
        <v>4</v>
      </c>
      <c r="L12" s="2">
        <v>862068.32</v>
      </c>
      <c r="M12" s="2">
        <v>3</v>
      </c>
      <c r="N12" s="2">
        <v>841379.31</v>
      </c>
      <c r="O12" s="2">
        <v>8</v>
      </c>
      <c r="P12" s="2">
        <v>1798029.5500000003</v>
      </c>
      <c r="Q12" s="2">
        <v>3</v>
      </c>
      <c r="R12" s="2">
        <v>416748.78</v>
      </c>
      <c r="S12" s="2">
        <v>1</v>
      </c>
      <c r="T12" s="2">
        <v>295566.5</v>
      </c>
      <c r="U12" s="2">
        <v>3</v>
      </c>
      <c r="V12" s="2">
        <v>741379.32</v>
      </c>
      <c r="W12" s="2">
        <v>4</v>
      </c>
      <c r="X12" s="2">
        <v>1152558.03</v>
      </c>
      <c r="Y12" s="2">
        <v>2</v>
      </c>
      <c r="Z12" s="2">
        <v>344696.55</v>
      </c>
      <c r="AA12" s="2">
        <v>51</v>
      </c>
      <c r="AB12" s="2">
        <v>11664716.060000001</v>
      </c>
    </row>
    <row r="13" spans="1:28">
      <c r="A13" s="2" t="s">
        <v>24</v>
      </c>
      <c r="B13" s="2" t="s">
        <v>31</v>
      </c>
      <c r="C13" s="2"/>
      <c r="D13" s="2"/>
      <c r="E13" s="2"/>
      <c r="F13" s="2"/>
      <c r="G13" s="2">
        <v>1</v>
      </c>
      <c r="H13" s="2">
        <v>250740</v>
      </c>
      <c r="I13" s="2"/>
      <c r="J13" s="2"/>
      <c r="K13" s="2"/>
      <c r="L13" s="2"/>
      <c r="M13" s="2"/>
      <c r="N13" s="2"/>
      <c r="O13" s="2">
        <v>2</v>
      </c>
      <c r="P13" s="2">
        <v>534912</v>
      </c>
      <c r="Q13" s="2">
        <v>6</v>
      </c>
      <c r="R13" s="2">
        <v>1930698</v>
      </c>
      <c r="S13" s="2">
        <v>4</v>
      </c>
      <c r="T13" s="2">
        <v>844158</v>
      </c>
      <c r="U13" s="2">
        <v>3</v>
      </c>
      <c r="V13" s="2">
        <v>570015.6</v>
      </c>
      <c r="W13" s="2">
        <v>4</v>
      </c>
      <c r="X13" s="2">
        <v>1270416</v>
      </c>
      <c r="Y13" s="2">
        <v>2</v>
      </c>
      <c r="Z13" s="2">
        <v>660282</v>
      </c>
      <c r="AA13" s="2">
        <v>22</v>
      </c>
      <c r="AB13" s="2">
        <v>6061221.5999999996</v>
      </c>
    </row>
    <row r="14" spans="1:28">
      <c r="A14" s="2" t="s">
        <v>24</v>
      </c>
      <c r="B14" s="2" t="s">
        <v>32</v>
      </c>
      <c r="C14" s="2">
        <v>1</v>
      </c>
      <c r="D14" s="2">
        <v>43500</v>
      </c>
      <c r="E14" s="2">
        <v>2</v>
      </c>
      <c r="F14" s="2">
        <v>56000</v>
      </c>
      <c r="G14" s="2"/>
      <c r="H14" s="2"/>
      <c r="I14" s="2">
        <v>1</v>
      </c>
      <c r="J14" s="2">
        <v>268000</v>
      </c>
      <c r="K14" s="2"/>
      <c r="L14" s="2"/>
      <c r="M14" s="2">
        <v>1</v>
      </c>
      <c r="N14" s="2">
        <v>110000</v>
      </c>
      <c r="O14" s="2">
        <v>4</v>
      </c>
      <c r="P14" s="2">
        <v>290999.99</v>
      </c>
      <c r="Q14" s="2">
        <v>3</v>
      </c>
      <c r="R14" s="2">
        <v>494000</v>
      </c>
      <c r="S14" s="2">
        <v>2</v>
      </c>
      <c r="T14" s="2">
        <v>372000</v>
      </c>
      <c r="U14" s="2">
        <v>2</v>
      </c>
      <c r="V14" s="2">
        <v>403000</v>
      </c>
      <c r="W14" s="2">
        <v>2</v>
      </c>
      <c r="X14" s="2">
        <v>278542</v>
      </c>
      <c r="Y14" s="2">
        <v>1</v>
      </c>
      <c r="Z14" s="2">
        <v>29932</v>
      </c>
      <c r="AA14" s="2">
        <v>19</v>
      </c>
      <c r="AB14" s="2">
        <v>2345973.9900000002</v>
      </c>
    </row>
    <row r="15" spans="1:28">
      <c r="A15" s="2" t="s">
        <v>24</v>
      </c>
      <c r="B15" s="2" t="s">
        <v>33</v>
      </c>
      <c r="C15" s="2"/>
      <c r="D15" s="2"/>
      <c r="E15" s="2">
        <v>1</v>
      </c>
      <c r="F15" s="2">
        <v>183000</v>
      </c>
      <c r="G15" s="2"/>
      <c r="H15" s="2"/>
      <c r="I15" s="2"/>
      <c r="J15" s="2"/>
      <c r="K15" s="2">
        <v>1</v>
      </c>
      <c r="L15" s="2">
        <v>42000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>
        <v>2</v>
      </c>
      <c r="AB15" s="2">
        <v>225000</v>
      </c>
    </row>
    <row r="16" spans="1:28">
      <c r="A16" s="2" t="s">
        <v>24</v>
      </c>
      <c r="B16" s="2" t="s">
        <v>34</v>
      </c>
      <c r="C16" s="2">
        <v>1</v>
      </c>
      <c r="D16" s="2">
        <v>116700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>
        <v>1</v>
      </c>
      <c r="AB16" s="2">
        <v>116700</v>
      </c>
    </row>
    <row r="17" spans="1:28">
      <c r="A17" s="2" t="s">
        <v>35</v>
      </c>
      <c r="B17" s="2" t="s">
        <v>35</v>
      </c>
      <c r="C17" s="2"/>
      <c r="D17" s="2"/>
      <c r="E17" s="2"/>
      <c r="F17" s="2"/>
      <c r="G17" s="2"/>
      <c r="H17" s="2"/>
      <c r="I17" s="2">
        <v>2</v>
      </c>
      <c r="J17" s="2">
        <v>55000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>
        <v>2</v>
      </c>
      <c r="Z17" s="2">
        <v>55000</v>
      </c>
      <c r="AA17" s="2">
        <v>4</v>
      </c>
      <c r="AB17" s="2">
        <v>110000</v>
      </c>
    </row>
    <row r="18" spans="1:28">
      <c r="A18" s="2" t="s">
        <v>35</v>
      </c>
      <c r="B18" s="2" t="s">
        <v>27</v>
      </c>
      <c r="C18" s="2">
        <v>19</v>
      </c>
      <c r="D18" s="2">
        <v>548765</v>
      </c>
      <c r="E18" s="2">
        <v>39</v>
      </c>
      <c r="F18" s="2">
        <v>1130800</v>
      </c>
      <c r="G18" s="2">
        <v>61</v>
      </c>
      <c r="H18" s="2">
        <v>1899140</v>
      </c>
      <c r="I18" s="2">
        <v>88</v>
      </c>
      <c r="J18" s="2">
        <v>2954420</v>
      </c>
      <c r="K18" s="2">
        <v>100</v>
      </c>
      <c r="L18" s="2">
        <v>3603720.99</v>
      </c>
      <c r="M18" s="2">
        <v>79</v>
      </c>
      <c r="N18" s="2">
        <v>2689489</v>
      </c>
      <c r="O18" s="2">
        <v>64</v>
      </c>
      <c r="P18" s="2">
        <v>1746546</v>
      </c>
      <c r="Q18" s="2">
        <v>49</v>
      </c>
      <c r="R18" s="2">
        <v>1720781</v>
      </c>
      <c r="S18" s="2">
        <v>50</v>
      </c>
      <c r="T18" s="2">
        <v>1681919.9799999997</v>
      </c>
      <c r="U18" s="2">
        <v>49</v>
      </c>
      <c r="V18" s="2">
        <v>1704722</v>
      </c>
      <c r="W18" s="2">
        <v>50</v>
      </c>
      <c r="X18" s="2">
        <v>2088663</v>
      </c>
      <c r="Y18" s="2">
        <v>57</v>
      </c>
      <c r="Z18" s="2">
        <v>2394990.6600000006</v>
      </c>
      <c r="AA18" s="2">
        <v>705</v>
      </c>
      <c r="AB18" s="2">
        <v>24163957.630000006</v>
      </c>
    </row>
    <row r="19" spans="1:28">
      <c r="A19" s="2" t="s">
        <v>35</v>
      </c>
      <c r="B19" s="2" t="s">
        <v>36</v>
      </c>
      <c r="C19" s="2">
        <v>27</v>
      </c>
      <c r="D19" s="2">
        <v>928125</v>
      </c>
      <c r="E19" s="2">
        <v>9</v>
      </c>
      <c r="F19" s="2">
        <v>305116.67</v>
      </c>
      <c r="G19" s="2">
        <v>20</v>
      </c>
      <c r="H19" s="2">
        <v>718373.9</v>
      </c>
      <c r="I19" s="2">
        <v>29</v>
      </c>
      <c r="J19" s="2">
        <v>1020124.99</v>
      </c>
      <c r="K19" s="2">
        <v>2</v>
      </c>
      <c r="L19" s="2">
        <v>70975</v>
      </c>
      <c r="M19" s="2">
        <v>9</v>
      </c>
      <c r="N19" s="2">
        <v>345750</v>
      </c>
      <c r="O19" s="2">
        <v>2</v>
      </c>
      <c r="P19" s="2">
        <v>50000</v>
      </c>
      <c r="Q19" s="2">
        <v>43</v>
      </c>
      <c r="R19" s="2">
        <v>1404725</v>
      </c>
      <c r="S19" s="2">
        <v>5</v>
      </c>
      <c r="T19" s="2">
        <v>174100</v>
      </c>
      <c r="U19" s="2">
        <v>8</v>
      </c>
      <c r="V19" s="2">
        <v>275000</v>
      </c>
      <c r="W19" s="2">
        <v>5</v>
      </c>
      <c r="X19" s="2">
        <v>163000</v>
      </c>
      <c r="Y19" s="2">
        <v>7</v>
      </c>
      <c r="Z19" s="2">
        <v>200000</v>
      </c>
      <c r="AA19" s="2">
        <v>166</v>
      </c>
      <c r="AB19" s="2">
        <v>5655290.5599999996</v>
      </c>
    </row>
    <row r="20" spans="1:28">
      <c r="A20" s="2" t="s">
        <v>35</v>
      </c>
      <c r="B20" s="2" t="s">
        <v>29</v>
      </c>
      <c r="C20" s="2">
        <v>5</v>
      </c>
      <c r="D20" s="2">
        <v>212415</v>
      </c>
      <c r="E20" s="2">
        <v>5</v>
      </c>
      <c r="F20" s="2">
        <v>169932</v>
      </c>
      <c r="G20" s="2">
        <v>3</v>
      </c>
      <c r="H20" s="2">
        <v>127449</v>
      </c>
      <c r="I20" s="2">
        <v>1</v>
      </c>
      <c r="J20" s="2">
        <v>45517.5</v>
      </c>
      <c r="K20" s="2">
        <v>2</v>
      </c>
      <c r="L20" s="2">
        <v>91035</v>
      </c>
      <c r="M20" s="2">
        <v>5</v>
      </c>
      <c r="N20" s="2">
        <v>227587</v>
      </c>
      <c r="O20" s="2">
        <v>2</v>
      </c>
      <c r="P20" s="2">
        <v>91034.5</v>
      </c>
      <c r="Q20" s="2">
        <v>6</v>
      </c>
      <c r="R20" s="2">
        <v>273104.5</v>
      </c>
      <c r="S20" s="2">
        <v>8</v>
      </c>
      <c r="T20" s="2">
        <v>364136.5</v>
      </c>
      <c r="U20" s="2">
        <v>10</v>
      </c>
      <c r="V20" s="2">
        <v>455170.5</v>
      </c>
      <c r="W20" s="2">
        <v>6</v>
      </c>
      <c r="X20" s="2">
        <v>273102</v>
      </c>
      <c r="Y20" s="2">
        <v>1</v>
      </c>
      <c r="Z20" s="2">
        <v>45517</v>
      </c>
      <c r="AA20" s="2">
        <v>54</v>
      </c>
      <c r="AB20" s="2">
        <v>2376000.5</v>
      </c>
    </row>
    <row r="21" spans="1:28">
      <c r="A21" s="2" t="s">
        <v>37</v>
      </c>
      <c r="B21" s="2" t="s">
        <v>25</v>
      </c>
      <c r="C21" s="2"/>
      <c r="D21" s="2"/>
      <c r="E21" s="2">
        <v>2</v>
      </c>
      <c r="F21" s="2">
        <v>224700</v>
      </c>
      <c r="G21" s="2">
        <v>5</v>
      </c>
      <c r="H21" s="2">
        <v>531300</v>
      </c>
      <c r="I21" s="2">
        <v>3</v>
      </c>
      <c r="J21" s="2">
        <v>261969</v>
      </c>
      <c r="K21" s="2">
        <v>9</v>
      </c>
      <c r="L21" s="2">
        <v>867950.4</v>
      </c>
      <c r="M21" s="2">
        <v>1</v>
      </c>
      <c r="N21" s="2">
        <v>88200</v>
      </c>
      <c r="O21" s="2">
        <v>4</v>
      </c>
      <c r="P21" s="2">
        <v>447900</v>
      </c>
      <c r="Q21" s="2">
        <v>4</v>
      </c>
      <c r="R21" s="2">
        <v>577500</v>
      </c>
      <c r="S21" s="2">
        <v>4</v>
      </c>
      <c r="T21" s="2">
        <v>432600</v>
      </c>
      <c r="U21" s="2">
        <v>1</v>
      </c>
      <c r="V21" s="2">
        <v>119700</v>
      </c>
      <c r="W21" s="2">
        <v>4</v>
      </c>
      <c r="X21" s="2">
        <v>412900</v>
      </c>
      <c r="Y21" s="2">
        <v>1</v>
      </c>
      <c r="Z21" s="2">
        <v>88200</v>
      </c>
      <c r="AA21" s="2">
        <v>38</v>
      </c>
      <c r="AB21" s="2">
        <v>4052919.4000000004</v>
      </c>
    </row>
    <row r="22" spans="1:28">
      <c r="A22" s="2" t="s">
        <v>37</v>
      </c>
      <c r="B22" s="2" t="s">
        <v>28</v>
      </c>
      <c r="C22" s="2"/>
      <c r="D22" s="2"/>
      <c r="E22" s="2"/>
      <c r="F22" s="2"/>
      <c r="G22" s="2"/>
      <c r="H22" s="2"/>
      <c r="I22" s="2">
        <v>1</v>
      </c>
      <c r="J22" s="2">
        <v>88200</v>
      </c>
      <c r="K22" s="2">
        <v>1</v>
      </c>
      <c r="L22" s="2">
        <v>157500</v>
      </c>
      <c r="M22" s="2"/>
      <c r="N22" s="2"/>
      <c r="O22" s="2">
        <v>1</v>
      </c>
      <c r="P22" s="2">
        <v>88200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>
        <v>3</v>
      </c>
      <c r="AB22" s="2">
        <v>333900</v>
      </c>
    </row>
    <row r="23" spans="1:28">
      <c r="A23" s="2" t="s">
        <v>37</v>
      </c>
      <c r="B23" s="2" t="s">
        <v>33</v>
      </c>
      <c r="C23" s="2">
        <v>1</v>
      </c>
      <c r="D23" s="2">
        <v>186900</v>
      </c>
      <c r="E23" s="2">
        <v>3</v>
      </c>
      <c r="F23" s="2">
        <v>388416</v>
      </c>
      <c r="G23" s="2">
        <v>2</v>
      </c>
      <c r="H23" s="2">
        <v>280560</v>
      </c>
      <c r="I23" s="2">
        <v>6</v>
      </c>
      <c r="J23" s="2">
        <v>883911</v>
      </c>
      <c r="K23" s="2">
        <v>3</v>
      </c>
      <c r="L23" s="2">
        <v>440455.26</v>
      </c>
      <c r="M23" s="2">
        <v>1</v>
      </c>
      <c r="N23" s="2">
        <v>150088.26</v>
      </c>
      <c r="O23" s="2">
        <v>2</v>
      </c>
      <c r="P23" s="2">
        <v>301392</v>
      </c>
      <c r="Q23" s="2"/>
      <c r="R23" s="2"/>
      <c r="S23" s="2"/>
      <c r="T23" s="2"/>
      <c r="U23" s="2"/>
      <c r="V23" s="2"/>
      <c r="W23" s="2">
        <v>3</v>
      </c>
      <c r="X23" s="2">
        <v>469476</v>
      </c>
      <c r="Y23" s="2">
        <v>2</v>
      </c>
      <c r="Z23" s="2">
        <v>306591.59999999998</v>
      </c>
      <c r="AA23" s="2">
        <v>23</v>
      </c>
      <c r="AB23" s="2">
        <v>3407790.1199999996</v>
      </c>
    </row>
    <row r="24" spans="1:28">
      <c r="A24" s="2" t="s">
        <v>38</v>
      </c>
      <c r="B24" s="2" t="s">
        <v>25</v>
      </c>
      <c r="C24" s="2">
        <v>7</v>
      </c>
      <c r="D24" s="2">
        <v>474600</v>
      </c>
      <c r="E24" s="2">
        <v>3</v>
      </c>
      <c r="F24" s="2">
        <v>172200</v>
      </c>
      <c r="G24" s="2">
        <v>4</v>
      </c>
      <c r="H24" s="2">
        <v>224700</v>
      </c>
      <c r="I24" s="2">
        <v>2</v>
      </c>
      <c r="J24" s="2">
        <v>136500</v>
      </c>
      <c r="K24" s="2">
        <v>2</v>
      </c>
      <c r="L24" s="2">
        <v>79800</v>
      </c>
      <c r="M24" s="2">
        <v>1</v>
      </c>
      <c r="N24" s="2">
        <v>84000</v>
      </c>
      <c r="O24" s="2">
        <v>1</v>
      </c>
      <c r="P24" s="2">
        <v>52500</v>
      </c>
      <c r="Q24" s="2">
        <v>1</v>
      </c>
      <c r="R24" s="2">
        <v>39900</v>
      </c>
      <c r="S24" s="2"/>
      <c r="T24" s="2"/>
      <c r="U24" s="2">
        <v>8</v>
      </c>
      <c r="V24" s="2">
        <v>419475</v>
      </c>
      <c r="W24" s="2">
        <v>4</v>
      </c>
      <c r="X24" s="2">
        <v>202608</v>
      </c>
      <c r="Y24" s="2">
        <v>2</v>
      </c>
      <c r="Z24" s="2">
        <v>69153</v>
      </c>
      <c r="AA24" s="2">
        <v>35</v>
      </c>
      <c r="AB24" s="2">
        <v>1955436</v>
      </c>
    </row>
    <row r="25" spans="1:28">
      <c r="A25" s="2" t="s">
        <v>39</v>
      </c>
      <c r="B25" s="2" t="s">
        <v>40</v>
      </c>
      <c r="C25" s="2">
        <v>5</v>
      </c>
      <c r="D25" s="2">
        <v>673029</v>
      </c>
      <c r="E25" s="2">
        <v>1</v>
      </c>
      <c r="F25" s="2">
        <v>125685</v>
      </c>
      <c r="G25" s="2"/>
      <c r="H25" s="2"/>
      <c r="I25" s="2">
        <v>2</v>
      </c>
      <c r="J25" s="2">
        <v>300699</v>
      </c>
      <c r="K25" s="2"/>
      <c r="L25" s="2"/>
      <c r="M25" s="2">
        <v>3</v>
      </c>
      <c r="N25" s="2">
        <v>73710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>
        <v>11</v>
      </c>
      <c r="AB25" s="2">
        <v>1173123</v>
      </c>
    </row>
    <row r="26" spans="1:28">
      <c r="A26" s="2" t="s">
        <v>41</v>
      </c>
      <c r="B26" s="2" t="s">
        <v>42</v>
      </c>
      <c r="C26" s="2">
        <v>15</v>
      </c>
      <c r="D26" s="2">
        <v>1689944</v>
      </c>
      <c r="E26" s="2">
        <v>23</v>
      </c>
      <c r="F26" s="2">
        <v>2295345.9</v>
      </c>
      <c r="G26" s="2">
        <v>19</v>
      </c>
      <c r="H26" s="2">
        <v>2386449.6900000004</v>
      </c>
      <c r="I26" s="2">
        <v>55</v>
      </c>
      <c r="J26" s="2">
        <v>4402313.8</v>
      </c>
      <c r="K26" s="2">
        <v>27</v>
      </c>
      <c r="L26" s="2">
        <v>2179682.86</v>
      </c>
      <c r="M26" s="2">
        <v>19</v>
      </c>
      <c r="N26" s="2">
        <v>2241003.9000000004</v>
      </c>
      <c r="O26" s="2">
        <v>17</v>
      </c>
      <c r="P26" s="2">
        <v>2588240.1</v>
      </c>
      <c r="Q26" s="2">
        <v>22</v>
      </c>
      <c r="R26" s="2">
        <v>2890233.9</v>
      </c>
      <c r="S26" s="2">
        <v>11</v>
      </c>
      <c r="T26" s="2">
        <v>1368846.8</v>
      </c>
      <c r="U26" s="2">
        <v>14</v>
      </c>
      <c r="V26" s="2">
        <v>1749800</v>
      </c>
      <c r="W26" s="2">
        <v>15</v>
      </c>
      <c r="X26" s="2">
        <v>2062008.3</v>
      </c>
      <c r="Y26" s="2">
        <v>13</v>
      </c>
      <c r="Z26" s="2">
        <v>1184110.8</v>
      </c>
      <c r="AA26" s="2">
        <v>250</v>
      </c>
      <c r="AB26" s="2">
        <v>27037980.050000008</v>
      </c>
    </row>
    <row r="27" spans="1:28">
      <c r="A27" s="2" t="s">
        <v>41</v>
      </c>
      <c r="B27" s="2" t="s">
        <v>25</v>
      </c>
      <c r="C27" s="2"/>
      <c r="D27" s="2"/>
      <c r="E27" s="2"/>
      <c r="F27" s="2"/>
      <c r="G27" s="2">
        <v>4</v>
      </c>
      <c r="H27" s="2">
        <v>277200</v>
      </c>
      <c r="I27" s="2">
        <v>5</v>
      </c>
      <c r="J27" s="2">
        <v>735840</v>
      </c>
      <c r="K27" s="2">
        <v>4</v>
      </c>
      <c r="L27" s="2">
        <v>246960</v>
      </c>
      <c r="M27" s="2">
        <v>3</v>
      </c>
      <c r="N27" s="2">
        <v>184800</v>
      </c>
      <c r="O27" s="2">
        <v>1</v>
      </c>
      <c r="P27" s="2">
        <v>72240</v>
      </c>
      <c r="Q27" s="2"/>
      <c r="R27" s="2"/>
      <c r="S27" s="2"/>
      <c r="T27" s="2"/>
      <c r="U27" s="2">
        <v>1</v>
      </c>
      <c r="V27" s="2">
        <v>50400</v>
      </c>
      <c r="W27" s="2">
        <v>1</v>
      </c>
      <c r="X27" s="2">
        <v>50400</v>
      </c>
      <c r="Y27" s="2">
        <v>2</v>
      </c>
      <c r="Z27" s="2">
        <v>445200</v>
      </c>
      <c r="AA27" s="2">
        <v>21</v>
      </c>
      <c r="AB27" s="2">
        <v>2063040</v>
      </c>
    </row>
    <row r="28" spans="1:28">
      <c r="A28" s="2" t="s">
        <v>41</v>
      </c>
      <c r="B28" s="2" t="s">
        <v>43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>
        <v>1</v>
      </c>
      <c r="X28" s="2">
        <v>157500</v>
      </c>
      <c r="Y28" s="2"/>
      <c r="Z28" s="2"/>
      <c r="AA28" s="2">
        <v>1</v>
      </c>
      <c r="AB28" s="2">
        <v>157500</v>
      </c>
    </row>
    <row r="29" spans="1:28">
      <c r="A29" s="2" t="s">
        <v>41</v>
      </c>
      <c r="B29" s="2" t="s">
        <v>41</v>
      </c>
      <c r="C29" s="2">
        <v>1</v>
      </c>
      <c r="D29" s="2">
        <v>150000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>
        <v>1</v>
      </c>
      <c r="P29" s="2">
        <v>83583.33</v>
      </c>
      <c r="Q29" s="2">
        <v>2</v>
      </c>
      <c r="R29" s="2">
        <v>472000</v>
      </c>
      <c r="S29" s="2"/>
      <c r="T29" s="2"/>
      <c r="U29" s="2">
        <v>1</v>
      </c>
      <c r="V29" s="2">
        <v>122917</v>
      </c>
      <c r="W29" s="2"/>
      <c r="X29" s="2"/>
      <c r="Y29" s="2"/>
      <c r="Z29" s="2"/>
      <c r="AA29" s="2">
        <v>5</v>
      </c>
      <c r="AB29" s="2">
        <v>828500.33000000007</v>
      </c>
    </row>
    <row r="30" spans="1:28">
      <c r="A30" s="2" t="s">
        <v>41</v>
      </c>
      <c r="B30" s="2" t="s">
        <v>33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>
        <v>1</v>
      </c>
      <c r="R30" s="2">
        <v>160000</v>
      </c>
      <c r="S30" s="2">
        <v>1</v>
      </c>
      <c r="T30" s="2">
        <v>34000</v>
      </c>
      <c r="U30" s="2"/>
      <c r="V30" s="2"/>
      <c r="W30" s="2"/>
      <c r="X30" s="2"/>
      <c r="Y30" s="2">
        <v>3</v>
      </c>
      <c r="Z30" s="2">
        <v>513988</v>
      </c>
      <c r="AA30" s="2">
        <v>5</v>
      </c>
      <c r="AB30" s="2">
        <v>707988</v>
      </c>
    </row>
    <row r="31" spans="1:28">
      <c r="A31" s="2" t="s">
        <v>44</v>
      </c>
      <c r="B31" s="2" t="s">
        <v>45</v>
      </c>
      <c r="C31" s="2">
        <v>30</v>
      </c>
      <c r="D31" s="2">
        <v>6849694.6799999997</v>
      </c>
      <c r="E31" s="2">
        <v>20</v>
      </c>
      <c r="F31" s="2">
        <v>6367800</v>
      </c>
      <c r="G31" s="2">
        <v>22</v>
      </c>
      <c r="H31" s="2">
        <v>4959175</v>
      </c>
      <c r="I31" s="2">
        <v>26</v>
      </c>
      <c r="J31" s="2">
        <v>7229846.2400000002</v>
      </c>
      <c r="K31" s="2">
        <v>19</v>
      </c>
      <c r="L31" s="2">
        <v>5680316.6600000001</v>
      </c>
      <c r="M31" s="2">
        <v>10</v>
      </c>
      <c r="N31" s="2">
        <v>2984393.18</v>
      </c>
      <c r="O31" s="2">
        <v>19</v>
      </c>
      <c r="P31" s="2">
        <v>4320715.42</v>
      </c>
      <c r="Q31" s="2">
        <v>17</v>
      </c>
      <c r="R31" s="2">
        <v>4935231.13</v>
      </c>
      <c r="S31" s="2">
        <v>11</v>
      </c>
      <c r="T31" s="2">
        <v>3285516</v>
      </c>
      <c r="U31" s="2">
        <v>15</v>
      </c>
      <c r="V31" s="2">
        <v>4698691.2</v>
      </c>
      <c r="W31" s="2">
        <v>23</v>
      </c>
      <c r="X31" s="2">
        <v>7243581.5199999996</v>
      </c>
      <c r="Y31" s="2">
        <v>35</v>
      </c>
      <c r="Z31" s="2">
        <v>9508552.1999999993</v>
      </c>
      <c r="AA31" s="2">
        <v>247</v>
      </c>
      <c r="AB31" s="2">
        <v>68063513.229999989</v>
      </c>
    </row>
    <row r="32" spans="1:28">
      <c r="A32" s="2" t="s">
        <v>44</v>
      </c>
      <c r="B32" s="2" t="s">
        <v>46</v>
      </c>
      <c r="C32" s="2"/>
      <c r="D32" s="2"/>
      <c r="E32" s="2"/>
      <c r="F32" s="2"/>
      <c r="G32" s="2">
        <v>15</v>
      </c>
      <c r="H32" s="2">
        <v>444849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>
        <v>15</v>
      </c>
      <c r="AB32" s="2">
        <v>444849</v>
      </c>
    </row>
    <row r="33" spans="1:28">
      <c r="A33" s="2" t="s">
        <v>44</v>
      </c>
      <c r="B33" s="2" t="s">
        <v>44</v>
      </c>
      <c r="C33" s="2"/>
      <c r="D33" s="2"/>
      <c r="E33" s="2"/>
      <c r="F33" s="2"/>
      <c r="G33" s="2">
        <v>1</v>
      </c>
      <c r="H33" s="2">
        <v>54080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>
        <v>1</v>
      </c>
      <c r="AB33" s="2">
        <v>54080</v>
      </c>
    </row>
    <row r="34" spans="1:28">
      <c r="A34" s="2" t="s">
        <v>44</v>
      </c>
      <c r="B34" s="2" t="s">
        <v>44</v>
      </c>
      <c r="C34" s="2"/>
      <c r="D34" s="2"/>
      <c r="E34" s="2"/>
      <c r="F34" s="2"/>
      <c r="G34" s="2"/>
      <c r="H34" s="2"/>
      <c r="I34" s="2">
        <v>1</v>
      </c>
      <c r="J34" s="2">
        <v>400000</v>
      </c>
      <c r="K34" s="2">
        <v>1</v>
      </c>
      <c r="L34" s="2">
        <v>305450</v>
      </c>
      <c r="M34" s="2"/>
      <c r="N34" s="2"/>
      <c r="O34" s="2"/>
      <c r="P34" s="2"/>
      <c r="Q34" s="2"/>
      <c r="R34" s="2"/>
      <c r="S34" s="2"/>
      <c r="T34" s="2"/>
      <c r="U34" s="2">
        <v>33</v>
      </c>
      <c r="V34" s="2">
        <v>3335000</v>
      </c>
      <c r="W34" s="2"/>
      <c r="X34" s="2"/>
      <c r="Y34" s="2"/>
      <c r="Z34" s="2"/>
      <c r="AA34" s="2">
        <v>35</v>
      </c>
      <c r="AB34" s="2">
        <v>4040450</v>
      </c>
    </row>
    <row r="35" spans="1:28">
      <c r="A35" s="2" t="s">
        <v>44</v>
      </c>
      <c r="B35" s="2" t="s">
        <v>48</v>
      </c>
      <c r="C35" s="2">
        <v>5</v>
      </c>
      <c r="D35" s="2">
        <v>1305120</v>
      </c>
      <c r="E35" s="2">
        <v>6</v>
      </c>
      <c r="F35" s="2">
        <v>2230714</v>
      </c>
      <c r="G35" s="2">
        <v>3</v>
      </c>
      <c r="H35" s="2">
        <v>1103928</v>
      </c>
      <c r="I35" s="2">
        <v>1</v>
      </c>
      <c r="J35" s="2">
        <v>160000</v>
      </c>
      <c r="K35" s="2">
        <v>1</v>
      </c>
      <c r="L35" s="2">
        <v>242500</v>
      </c>
      <c r="M35" s="2">
        <v>3</v>
      </c>
      <c r="N35" s="2">
        <v>1004901.69</v>
      </c>
      <c r="O35" s="2"/>
      <c r="P35" s="2"/>
      <c r="Q35" s="2">
        <v>4</v>
      </c>
      <c r="R35" s="2">
        <v>873083.33</v>
      </c>
      <c r="S35" s="2">
        <v>15</v>
      </c>
      <c r="T35" s="2">
        <v>1798699.95</v>
      </c>
      <c r="U35" s="2">
        <v>4</v>
      </c>
      <c r="V35" s="2">
        <v>819399.9</v>
      </c>
      <c r="W35" s="2">
        <v>10</v>
      </c>
      <c r="X35" s="2">
        <v>665026.52</v>
      </c>
      <c r="Y35" s="2">
        <v>5</v>
      </c>
      <c r="Z35" s="2">
        <v>689663</v>
      </c>
      <c r="AA35" s="2">
        <v>57</v>
      </c>
      <c r="AB35" s="2">
        <v>10893036.390000001</v>
      </c>
    </row>
    <row r="36" spans="1:28">
      <c r="A36" s="2" t="s">
        <v>44</v>
      </c>
      <c r="B36" s="2" t="s">
        <v>49</v>
      </c>
      <c r="C36" s="2"/>
      <c r="D36" s="2"/>
      <c r="E36" s="2"/>
      <c r="F36" s="2"/>
      <c r="G36" s="2">
        <v>1</v>
      </c>
      <c r="H36" s="2">
        <v>184000</v>
      </c>
      <c r="I36" s="2">
        <v>2</v>
      </c>
      <c r="J36" s="2">
        <v>307650</v>
      </c>
      <c r="K36" s="2">
        <v>3</v>
      </c>
      <c r="L36" s="2">
        <v>320833.17000000004</v>
      </c>
      <c r="M36" s="2"/>
      <c r="N36" s="2"/>
      <c r="O36" s="2">
        <v>2</v>
      </c>
      <c r="P36" s="2">
        <v>137291.70000000001</v>
      </c>
      <c r="Q36" s="2"/>
      <c r="R36" s="2"/>
      <c r="S36" s="2">
        <v>1</v>
      </c>
      <c r="T36" s="2">
        <v>229910</v>
      </c>
      <c r="U36" s="2">
        <v>2</v>
      </c>
      <c r="V36" s="2">
        <v>426974</v>
      </c>
      <c r="W36" s="2">
        <v>2</v>
      </c>
      <c r="X36" s="2">
        <v>439845</v>
      </c>
      <c r="Y36" s="2"/>
      <c r="Z36" s="2"/>
      <c r="AA36" s="2">
        <v>13</v>
      </c>
      <c r="AB36" s="2">
        <v>2046503.87</v>
      </c>
    </row>
    <row r="37" spans="1:28">
      <c r="A37" s="2" t="s">
        <v>50</v>
      </c>
      <c r="B37" s="2" t="s">
        <v>51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>
        <v>1</v>
      </c>
      <c r="T37" s="2">
        <v>104166.67</v>
      </c>
      <c r="U37" s="2">
        <v>1</v>
      </c>
      <c r="V37" s="2">
        <v>155000</v>
      </c>
      <c r="W37" s="2">
        <v>1</v>
      </c>
      <c r="X37" s="2">
        <v>97500</v>
      </c>
      <c r="Y37" s="2">
        <v>1</v>
      </c>
      <c r="Z37" s="2">
        <v>54166.67</v>
      </c>
      <c r="AA37" s="2">
        <v>4</v>
      </c>
      <c r="AB37" s="2">
        <v>410833.33999999997</v>
      </c>
    </row>
    <row r="38" spans="1:28">
      <c r="A38" s="2" t="s">
        <v>52</v>
      </c>
      <c r="B38" s="2" t="s">
        <v>26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>
        <v>8</v>
      </c>
      <c r="N38" s="2">
        <v>4900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>
        <v>8</v>
      </c>
      <c r="AB38" s="2">
        <v>4900</v>
      </c>
    </row>
    <row r="39" spans="1:28">
      <c r="A39" s="2" t="s">
        <v>52</v>
      </c>
      <c r="B39" s="2" t="s">
        <v>46</v>
      </c>
      <c r="C39" s="2"/>
      <c r="D39" s="2"/>
      <c r="E39" s="2"/>
      <c r="F39" s="2"/>
      <c r="G39" s="2"/>
      <c r="H39" s="2"/>
      <c r="I39" s="2"/>
      <c r="J39" s="2"/>
      <c r="K39" s="2">
        <v>1</v>
      </c>
      <c r="L39" s="2">
        <v>250000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>
        <v>1</v>
      </c>
      <c r="AB39" s="2">
        <v>250000</v>
      </c>
    </row>
    <row r="40" spans="1:28">
      <c r="A40" s="6" t="s">
        <v>53</v>
      </c>
      <c r="B40" s="6"/>
      <c r="C40" s="6">
        <v>136</v>
      </c>
      <c r="D40" s="6">
        <v>15784950.109999999</v>
      </c>
      <c r="E40" s="6">
        <v>214</v>
      </c>
      <c r="F40" s="6">
        <v>18890953.210000001</v>
      </c>
      <c r="G40" s="6">
        <v>233</v>
      </c>
      <c r="H40" s="6">
        <v>17373588.340000004</v>
      </c>
      <c r="I40" s="6">
        <v>344</v>
      </c>
      <c r="J40" s="6">
        <v>25345833.940000001</v>
      </c>
      <c r="K40" s="6">
        <v>382</v>
      </c>
      <c r="L40" s="6">
        <v>21177912.160000004</v>
      </c>
      <c r="M40" s="6">
        <v>285</v>
      </c>
      <c r="N40" s="6">
        <v>14766141.090000002</v>
      </c>
      <c r="O40" s="6">
        <v>141</v>
      </c>
      <c r="P40" s="6">
        <v>13544581.810000001</v>
      </c>
      <c r="Q40" s="6">
        <v>173</v>
      </c>
      <c r="R40" s="6">
        <v>17928477.120000001</v>
      </c>
      <c r="S40" s="6">
        <v>123</v>
      </c>
      <c r="T40" s="6">
        <v>12721216.720000001</v>
      </c>
      <c r="U40" s="6">
        <v>205</v>
      </c>
      <c r="V40" s="6">
        <v>18021555.02</v>
      </c>
      <c r="W40" s="6">
        <v>144</v>
      </c>
      <c r="X40" s="6">
        <v>18300502.569999993</v>
      </c>
      <c r="Y40" s="6">
        <v>142</v>
      </c>
      <c r="Z40" s="6">
        <v>17917100.080000002</v>
      </c>
      <c r="AA40" s="6">
        <v>2522</v>
      </c>
      <c r="AB40" s="6">
        <v>211772812.17000005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251C-7C39-4698-B189-251AD1405A6E}">
  <sheetPr codeName="Sheet3"/>
  <dimension ref="A1:M2523"/>
  <sheetViews>
    <sheetView workbookViewId="0"/>
  </sheetViews>
  <sheetFormatPr defaultRowHeight="15"/>
  <cols>
    <col min="1" max="1" width="32.28515625" bestFit="1" customWidth="1"/>
    <col min="2" max="2" width="25.28515625" bestFit="1" customWidth="1"/>
    <col min="3" max="3" width="20.7109375" bestFit="1" customWidth="1"/>
    <col min="4" max="4" width="45.140625" bestFit="1" customWidth="1"/>
    <col min="5" max="5" width="15" bestFit="1" customWidth="1"/>
    <col min="6" max="6" width="12.5703125" bestFit="1" customWidth="1"/>
    <col min="7" max="7" width="12.28515625" bestFit="1" customWidth="1"/>
    <col min="8" max="9" width="10" bestFit="1" customWidth="1"/>
    <col min="10" max="10" width="37" bestFit="1" customWidth="1"/>
    <col min="11" max="11" width="6.7109375" bestFit="1" customWidth="1"/>
    <col min="12" max="12" width="24.28515625" bestFit="1" customWidth="1"/>
    <col min="13" max="13" width="16.5703125" bestFit="1" customWidth="1"/>
  </cols>
  <sheetData>
    <row r="1" spans="1:13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2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20</v>
      </c>
      <c r="M1" s="1" t="s">
        <v>21</v>
      </c>
    </row>
    <row r="2" spans="1:13">
      <c r="A2" t="s">
        <v>65</v>
      </c>
      <c r="B2" t="s">
        <v>66</v>
      </c>
      <c r="C2" t="s">
        <v>67</v>
      </c>
      <c r="D2" t="s">
        <v>68</v>
      </c>
      <c r="E2">
        <v>6</v>
      </c>
      <c r="F2" t="s">
        <v>69</v>
      </c>
      <c r="G2" s="10">
        <v>45041</v>
      </c>
      <c r="H2">
        <v>34375</v>
      </c>
      <c r="I2">
        <v>6875</v>
      </c>
      <c r="J2" t="s">
        <v>70</v>
      </c>
      <c r="K2">
        <v>6</v>
      </c>
      <c r="L2" t="s">
        <v>35</v>
      </c>
      <c r="M2" t="s">
        <v>36</v>
      </c>
    </row>
    <row r="3" spans="1:13">
      <c r="A3" t="s">
        <v>71</v>
      </c>
      <c r="B3" t="s">
        <v>72</v>
      </c>
      <c r="C3" t="s">
        <v>67</v>
      </c>
      <c r="D3" t="s">
        <v>73</v>
      </c>
      <c r="E3">
        <v>1</v>
      </c>
      <c r="F3" t="s">
        <v>74</v>
      </c>
      <c r="G3" s="10">
        <v>45056</v>
      </c>
      <c r="H3">
        <v>42483</v>
      </c>
      <c r="I3">
        <v>4983</v>
      </c>
      <c r="J3" t="s">
        <v>75</v>
      </c>
      <c r="K3">
        <v>5</v>
      </c>
      <c r="L3" t="s">
        <v>35</v>
      </c>
      <c r="M3" t="s">
        <v>29</v>
      </c>
    </row>
    <row r="4" spans="1:13">
      <c r="A4" t="s">
        <v>76</v>
      </c>
      <c r="B4" t="s">
        <v>72</v>
      </c>
      <c r="C4" t="s">
        <v>67</v>
      </c>
      <c r="D4" t="s">
        <v>77</v>
      </c>
      <c r="E4">
        <v>1</v>
      </c>
      <c r="F4" t="s">
        <v>78</v>
      </c>
      <c r="G4" s="10">
        <v>45054</v>
      </c>
      <c r="H4">
        <v>42483</v>
      </c>
      <c r="I4">
        <v>7483</v>
      </c>
      <c r="J4" t="s">
        <v>75</v>
      </c>
      <c r="K4">
        <v>5</v>
      </c>
      <c r="L4" t="s">
        <v>35</v>
      </c>
      <c r="M4" t="s">
        <v>29</v>
      </c>
    </row>
    <row r="5" spans="1:13">
      <c r="A5" t="s">
        <v>65</v>
      </c>
      <c r="B5" t="s">
        <v>66</v>
      </c>
      <c r="C5" t="s">
        <v>67</v>
      </c>
      <c r="D5" t="s">
        <v>79</v>
      </c>
      <c r="E5">
        <v>1</v>
      </c>
      <c r="F5" t="s">
        <v>80</v>
      </c>
      <c r="G5" s="10">
        <v>45019</v>
      </c>
      <c r="H5">
        <v>42483</v>
      </c>
      <c r="I5">
        <v>7483</v>
      </c>
      <c r="J5" t="s">
        <v>75</v>
      </c>
      <c r="K5">
        <v>6</v>
      </c>
      <c r="L5" t="s">
        <v>35</v>
      </c>
      <c r="M5" t="s">
        <v>29</v>
      </c>
    </row>
    <row r="6" spans="1:13">
      <c r="A6" t="s">
        <v>81</v>
      </c>
      <c r="B6" t="s">
        <v>82</v>
      </c>
      <c r="C6" t="s">
        <v>28</v>
      </c>
      <c r="D6" t="s">
        <v>83</v>
      </c>
      <c r="E6">
        <v>2</v>
      </c>
      <c r="F6" t="s">
        <v>84</v>
      </c>
      <c r="G6" s="10">
        <v>45058</v>
      </c>
      <c r="H6">
        <v>78150</v>
      </c>
      <c r="I6">
        <v>3150</v>
      </c>
      <c r="J6" t="s">
        <v>85</v>
      </c>
      <c r="K6">
        <v>5</v>
      </c>
      <c r="L6" t="s">
        <v>24</v>
      </c>
      <c r="M6" t="s">
        <v>25</v>
      </c>
    </row>
    <row r="7" spans="1:13">
      <c r="A7" t="s">
        <v>86</v>
      </c>
      <c r="B7" t="s">
        <v>82</v>
      </c>
      <c r="C7" t="s">
        <v>28</v>
      </c>
      <c r="D7" t="s">
        <v>87</v>
      </c>
      <c r="E7">
        <v>2</v>
      </c>
      <c r="F7" t="s">
        <v>88</v>
      </c>
      <c r="G7" s="10">
        <v>45026</v>
      </c>
      <c r="H7">
        <v>52100</v>
      </c>
      <c r="I7">
        <v>2100</v>
      </c>
      <c r="J7" t="s">
        <v>85</v>
      </c>
      <c r="K7">
        <v>5</v>
      </c>
      <c r="L7" t="s">
        <v>24</v>
      </c>
      <c r="M7" t="s">
        <v>25</v>
      </c>
    </row>
    <row r="8" spans="1:13">
      <c r="A8" t="s">
        <v>89</v>
      </c>
      <c r="B8" t="s">
        <v>72</v>
      </c>
      <c r="C8" t="s">
        <v>67</v>
      </c>
      <c r="D8" t="s">
        <v>90</v>
      </c>
      <c r="E8">
        <v>1</v>
      </c>
      <c r="F8" t="s">
        <v>91</v>
      </c>
      <c r="G8" s="10">
        <v>45054</v>
      </c>
      <c r="H8">
        <v>42483</v>
      </c>
      <c r="I8">
        <v>4983</v>
      </c>
      <c r="J8" t="s">
        <v>75</v>
      </c>
      <c r="K8">
        <v>5</v>
      </c>
      <c r="L8" t="s">
        <v>35</v>
      </c>
      <c r="M8" t="s">
        <v>29</v>
      </c>
    </row>
    <row r="9" spans="1:13">
      <c r="A9" t="s">
        <v>92</v>
      </c>
      <c r="B9" t="s">
        <v>93</v>
      </c>
      <c r="C9" t="s">
        <v>94</v>
      </c>
      <c r="D9" t="s">
        <v>95</v>
      </c>
      <c r="E9">
        <v>2</v>
      </c>
      <c r="F9" t="s">
        <v>96</v>
      </c>
      <c r="G9" s="10">
        <v>45020</v>
      </c>
      <c r="H9">
        <v>157500</v>
      </c>
      <c r="I9">
        <v>49166.67</v>
      </c>
      <c r="J9" t="s">
        <v>97</v>
      </c>
      <c r="K9">
        <v>6</v>
      </c>
      <c r="L9" t="s">
        <v>41</v>
      </c>
      <c r="M9" t="s">
        <v>42</v>
      </c>
    </row>
    <row r="10" spans="1:13">
      <c r="A10" t="s">
        <v>36</v>
      </c>
      <c r="B10" t="s">
        <v>98</v>
      </c>
      <c r="C10" t="s">
        <v>36</v>
      </c>
      <c r="D10" t="s">
        <v>99</v>
      </c>
      <c r="E10">
        <v>2</v>
      </c>
      <c r="F10" t="s">
        <v>100</v>
      </c>
      <c r="G10" s="10">
        <v>45092</v>
      </c>
      <c r="H10">
        <v>51999.9</v>
      </c>
      <c r="I10">
        <v>8666.9</v>
      </c>
      <c r="J10" t="s">
        <v>70</v>
      </c>
      <c r="K10">
        <v>6</v>
      </c>
      <c r="L10" t="s">
        <v>35</v>
      </c>
      <c r="M10" t="s">
        <v>36</v>
      </c>
    </row>
    <row r="11" spans="1:13">
      <c r="A11" t="s">
        <v>101</v>
      </c>
      <c r="B11" t="s">
        <v>102</v>
      </c>
      <c r="C11" t="s">
        <v>103</v>
      </c>
      <c r="D11" t="s">
        <v>104</v>
      </c>
      <c r="E11">
        <v>2</v>
      </c>
      <c r="F11" t="s">
        <v>105</v>
      </c>
      <c r="G11" s="10">
        <v>45019</v>
      </c>
      <c r="H11">
        <v>81837</v>
      </c>
      <c r="I11">
        <v>15171</v>
      </c>
      <c r="J11" t="s">
        <v>106</v>
      </c>
      <c r="K11">
        <v>6</v>
      </c>
      <c r="L11" t="s">
        <v>39</v>
      </c>
      <c r="M11" t="s">
        <v>40</v>
      </c>
    </row>
    <row r="12" spans="1:13">
      <c r="A12" t="s">
        <v>107</v>
      </c>
      <c r="B12" t="s">
        <v>108</v>
      </c>
      <c r="C12" t="s">
        <v>103</v>
      </c>
      <c r="D12" t="s">
        <v>109</v>
      </c>
      <c r="E12">
        <v>1</v>
      </c>
      <c r="F12" t="s">
        <v>110</v>
      </c>
      <c r="G12" s="10">
        <v>45019</v>
      </c>
      <c r="H12">
        <v>42483</v>
      </c>
      <c r="I12">
        <v>7483</v>
      </c>
      <c r="J12" t="s">
        <v>75</v>
      </c>
      <c r="K12">
        <v>5</v>
      </c>
      <c r="L12" t="s">
        <v>35</v>
      </c>
      <c r="M12" t="s">
        <v>29</v>
      </c>
    </row>
    <row r="13" spans="1:13">
      <c r="A13" t="s">
        <v>111</v>
      </c>
      <c r="B13" t="s">
        <v>112</v>
      </c>
      <c r="C13" t="s">
        <v>113</v>
      </c>
      <c r="D13" t="s">
        <v>114</v>
      </c>
      <c r="E13">
        <v>2</v>
      </c>
      <c r="F13" t="s">
        <v>115</v>
      </c>
      <c r="G13" s="10">
        <v>45033</v>
      </c>
      <c r="H13">
        <v>116700</v>
      </c>
      <c r="I13">
        <v>25034</v>
      </c>
      <c r="J13" t="s">
        <v>116</v>
      </c>
      <c r="K13">
        <v>6</v>
      </c>
      <c r="L13" t="s">
        <v>24</v>
      </c>
      <c r="M13" t="s">
        <v>34</v>
      </c>
    </row>
    <row r="14" spans="1:13">
      <c r="A14" t="s">
        <v>117</v>
      </c>
      <c r="B14" t="s">
        <v>118</v>
      </c>
      <c r="C14" t="s">
        <v>98</v>
      </c>
      <c r="D14" t="s">
        <v>119</v>
      </c>
      <c r="E14">
        <v>1</v>
      </c>
      <c r="F14" t="s">
        <v>120</v>
      </c>
      <c r="G14" s="10">
        <v>45019</v>
      </c>
      <c r="H14">
        <v>118226.6</v>
      </c>
      <c r="I14">
        <v>9893.6</v>
      </c>
      <c r="J14" t="s">
        <v>121</v>
      </c>
      <c r="K14">
        <v>6</v>
      </c>
      <c r="L14" t="s">
        <v>24</v>
      </c>
      <c r="M14" t="s">
        <v>30</v>
      </c>
    </row>
    <row r="15" spans="1:13">
      <c r="A15" t="s">
        <v>122</v>
      </c>
      <c r="B15" t="s">
        <v>123</v>
      </c>
      <c r="C15" t="s">
        <v>28</v>
      </c>
      <c r="D15" t="s">
        <v>124</v>
      </c>
      <c r="E15">
        <v>2</v>
      </c>
      <c r="F15" t="s">
        <v>125</v>
      </c>
      <c r="G15" s="10">
        <v>45022</v>
      </c>
      <c r="H15">
        <v>132617.51999999999</v>
      </c>
      <c r="I15">
        <v>32617.52</v>
      </c>
      <c r="J15" t="s">
        <v>126</v>
      </c>
      <c r="K15">
        <v>6</v>
      </c>
      <c r="L15" t="s">
        <v>24</v>
      </c>
      <c r="M15" t="s">
        <v>26</v>
      </c>
    </row>
    <row r="16" spans="1:13">
      <c r="A16" t="s">
        <v>127</v>
      </c>
      <c r="B16" t="s">
        <v>93</v>
      </c>
      <c r="C16" t="s">
        <v>94</v>
      </c>
      <c r="D16" t="s">
        <v>128</v>
      </c>
      <c r="E16">
        <v>2</v>
      </c>
      <c r="F16" t="s">
        <v>129</v>
      </c>
      <c r="G16" s="10">
        <v>45026</v>
      </c>
      <c r="H16">
        <v>178500</v>
      </c>
      <c r="I16">
        <v>53500</v>
      </c>
      <c r="J16" t="s">
        <v>97</v>
      </c>
      <c r="K16">
        <v>6</v>
      </c>
      <c r="L16" t="s">
        <v>41</v>
      </c>
      <c r="M16" t="s">
        <v>42</v>
      </c>
    </row>
    <row r="17" spans="1:13">
      <c r="A17" t="s">
        <v>130</v>
      </c>
      <c r="B17" t="s">
        <v>82</v>
      </c>
      <c r="C17" t="s">
        <v>28</v>
      </c>
      <c r="D17" t="s">
        <v>131</v>
      </c>
      <c r="E17">
        <v>2</v>
      </c>
      <c r="F17" t="s">
        <v>132</v>
      </c>
      <c r="G17" s="10">
        <v>45019</v>
      </c>
      <c r="H17">
        <v>132617.51999999999</v>
      </c>
      <c r="I17">
        <v>52617.52</v>
      </c>
      <c r="J17" t="s">
        <v>126</v>
      </c>
      <c r="K17">
        <v>5</v>
      </c>
      <c r="L17" t="s">
        <v>24</v>
      </c>
      <c r="M17" t="s">
        <v>26</v>
      </c>
    </row>
    <row r="18" spans="1:13">
      <c r="A18" t="s">
        <v>133</v>
      </c>
      <c r="B18" t="s">
        <v>82</v>
      </c>
      <c r="C18" t="s">
        <v>28</v>
      </c>
      <c r="D18" t="s">
        <v>134</v>
      </c>
      <c r="E18">
        <v>2</v>
      </c>
      <c r="F18" t="s">
        <v>135</v>
      </c>
      <c r="G18" s="10">
        <v>45028</v>
      </c>
      <c r="H18">
        <v>99859</v>
      </c>
      <c r="I18">
        <v>4026</v>
      </c>
      <c r="J18" t="s">
        <v>85</v>
      </c>
      <c r="K18">
        <v>5</v>
      </c>
      <c r="L18" t="s">
        <v>24</v>
      </c>
      <c r="M18" t="s">
        <v>25</v>
      </c>
    </row>
    <row r="19" spans="1:13">
      <c r="A19" t="s">
        <v>136</v>
      </c>
      <c r="B19" t="s">
        <v>117</v>
      </c>
      <c r="C19" t="s">
        <v>137</v>
      </c>
      <c r="D19" t="s">
        <v>138</v>
      </c>
      <c r="E19">
        <v>1</v>
      </c>
      <c r="F19" t="s">
        <v>139</v>
      </c>
      <c r="G19" s="10">
        <v>45019</v>
      </c>
      <c r="H19">
        <v>315270.94</v>
      </c>
      <c r="I19">
        <v>31937.94</v>
      </c>
      <c r="J19" t="s">
        <v>121</v>
      </c>
      <c r="K19">
        <v>6</v>
      </c>
      <c r="L19" t="s">
        <v>24</v>
      </c>
      <c r="M19" t="s">
        <v>30</v>
      </c>
    </row>
    <row r="20" spans="1:13">
      <c r="A20" t="s">
        <v>140</v>
      </c>
      <c r="B20" t="s">
        <v>141</v>
      </c>
      <c r="C20" t="s">
        <v>67</v>
      </c>
      <c r="D20" t="s">
        <v>142</v>
      </c>
      <c r="E20">
        <v>1</v>
      </c>
      <c r="F20" t="s">
        <v>143</v>
      </c>
      <c r="G20" s="10">
        <v>45026</v>
      </c>
      <c r="H20">
        <v>67200</v>
      </c>
      <c r="I20">
        <v>13034</v>
      </c>
      <c r="J20" t="s">
        <v>144</v>
      </c>
      <c r="K20">
        <v>5</v>
      </c>
      <c r="L20" t="s">
        <v>38</v>
      </c>
      <c r="M20" t="s">
        <v>25</v>
      </c>
    </row>
    <row r="21" spans="1:13">
      <c r="A21" t="s">
        <v>145</v>
      </c>
      <c r="B21" t="s">
        <v>146</v>
      </c>
      <c r="C21" t="s">
        <v>98</v>
      </c>
      <c r="D21" t="s">
        <v>147</v>
      </c>
      <c r="E21">
        <v>2</v>
      </c>
      <c r="F21" t="s">
        <v>148</v>
      </c>
      <c r="G21" s="10">
        <v>45021</v>
      </c>
      <c r="H21">
        <v>282240</v>
      </c>
      <c r="I21">
        <v>169740</v>
      </c>
      <c r="J21" t="s">
        <v>149</v>
      </c>
      <c r="K21">
        <v>6</v>
      </c>
      <c r="L21" t="s">
        <v>44</v>
      </c>
      <c r="M21" t="s">
        <v>48</v>
      </c>
    </row>
    <row r="22" spans="1:13">
      <c r="A22" t="s">
        <v>150</v>
      </c>
      <c r="B22" t="s">
        <v>117</v>
      </c>
      <c r="C22" t="s">
        <v>137</v>
      </c>
      <c r="D22" t="s">
        <v>151</v>
      </c>
      <c r="E22">
        <v>1</v>
      </c>
      <c r="F22" t="s">
        <v>152</v>
      </c>
      <c r="G22" s="10">
        <v>45019</v>
      </c>
      <c r="H22">
        <v>295566.5</v>
      </c>
      <c r="I22">
        <v>45566.5</v>
      </c>
      <c r="J22" t="s">
        <v>121</v>
      </c>
      <c r="K22">
        <v>6</v>
      </c>
      <c r="L22" t="s">
        <v>24</v>
      </c>
      <c r="M22" t="s">
        <v>30</v>
      </c>
    </row>
    <row r="23" spans="1:13">
      <c r="A23" t="s">
        <v>117</v>
      </c>
      <c r="B23" t="s">
        <v>118</v>
      </c>
      <c r="C23" t="s">
        <v>98</v>
      </c>
      <c r="D23" t="s">
        <v>153</v>
      </c>
      <c r="E23">
        <v>1</v>
      </c>
      <c r="F23" t="s">
        <v>154</v>
      </c>
      <c r="G23" s="10">
        <v>45019</v>
      </c>
      <c r="H23">
        <v>216748.77</v>
      </c>
      <c r="I23">
        <v>100082.77</v>
      </c>
      <c r="J23" t="s">
        <v>121</v>
      </c>
      <c r="K23">
        <v>5</v>
      </c>
      <c r="L23" t="s">
        <v>24</v>
      </c>
      <c r="M23" t="s">
        <v>30</v>
      </c>
    </row>
    <row r="24" spans="1:13">
      <c r="A24" t="s">
        <v>117</v>
      </c>
      <c r="B24" t="s">
        <v>118</v>
      </c>
      <c r="C24" t="s">
        <v>98</v>
      </c>
      <c r="D24" t="s">
        <v>155</v>
      </c>
      <c r="E24">
        <v>1</v>
      </c>
      <c r="F24" t="s">
        <v>156</v>
      </c>
      <c r="G24" s="10">
        <v>45019</v>
      </c>
      <c r="H24">
        <v>177339.9</v>
      </c>
      <c r="I24">
        <v>85673.9</v>
      </c>
      <c r="J24" t="s">
        <v>121</v>
      </c>
      <c r="K24">
        <v>6</v>
      </c>
      <c r="L24" t="s">
        <v>24</v>
      </c>
      <c r="M24" t="s">
        <v>30</v>
      </c>
    </row>
    <row r="25" spans="1:13">
      <c r="A25" t="s">
        <v>81</v>
      </c>
      <c r="B25" t="s">
        <v>82</v>
      </c>
      <c r="C25" t="s">
        <v>28</v>
      </c>
      <c r="D25" t="s">
        <v>157</v>
      </c>
      <c r="E25">
        <v>2</v>
      </c>
      <c r="F25" t="s">
        <v>158</v>
      </c>
      <c r="G25" s="10">
        <v>45019</v>
      </c>
      <c r="H25">
        <v>118788</v>
      </c>
      <c r="I25">
        <v>4788</v>
      </c>
      <c r="J25" t="s">
        <v>85</v>
      </c>
      <c r="K25">
        <v>6</v>
      </c>
      <c r="L25" t="s">
        <v>24</v>
      </c>
      <c r="M25" t="s">
        <v>25</v>
      </c>
    </row>
    <row r="26" spans="1:13">
      <c r="A26" t="s">
        <v>159</v>
      </c>
      <c r="B26" t="s">
        <v>160</v>
      </c>
      <c r="C26" t="s">
        <v>67</v>
      </c>
      <c r="D26" t="s">
        <v>161</v>
      </c>
      <c r="E26">
        <v>2</v>
      </c>
      <c r="F26" t="s">
        <v>162</v>
      </c>
      <c r="G26" s="10">
        <v>45021</v>
      </c>
      <c r="H26">
        <v>30000</v>
      </c>
      <c r="I26">
        <v>5000</v>
      </c>
      <c r="J26" t="s">
        <v>163</v>
      </c>
      <c r="K26">
        <v>5</v>
      </c>
      <c r="L26" t="s">
        <v>35</v>
      </c>
      <c r="M26" t="s">
        <v>27</v>
      </c>
    </row>
    <row r="27" spans="1:13">
      <c r="A27" t="s">
        <v>127</v>
      </c>
      <c r="B27" t="s">
        <v>93</v>
      </c>
      <c r="C27" t="s">
        <v>94</v>
      </c>
      <c r="D27" t="s">
        <v>164</v>
      </c>
      <c r="E27">
        <v>2</v>
      </c>
      <c r="F27" t="s">
        <v>165</v>
      </c>
      <c r="G27" s="10">
        <v>45026</v>
      </c>
      <c r="H27">
        <v>208425</v>
      </c>
      <c r="I27">
        <v>18425</v>
      </c>
      <c r="J27" t="s">
        <v>97</v>
      </c>
      <c r="K27">
        <v>5</v>
      </c>
      <c r="L27" t="s">
        <v>41</v>
      </c>
      <c r="M27" t="s">
        <v>42</v>
      </c>
    </row>
    <row r="28" spans="1:13">
      <c r="A28" t="s">
        <v>141</v>
      </c>
      <c r="B28" t="s">
        <v>27</v>
      </c>
      <c r="C28" t="s">
        <v>27</v>
      </c>
      <c r="D28" t="s">
        <v>166</v>
      </c>
      <c r="E28">
        <v>1</v>
      </c>
      <c r="F28" t="s">
        <v>167</v>
      </c>
      <c r="G28" s="10">
        <v>45026</v>
      </c>
      <c r="H28">
        <v>84000</v>
      </c>
      <c r="I28">
        <v>19000</v>
      </c>
      <c r="J28" t="s">
        <v>144</v>
      </c>
      <c r="K28">
        <v>6</v>
      </c>
      <c r="L28" t="s">
        <v>38</v>
      </c>
      <c r="M28" t="s">
        <v>25</v>
      </c>
    </row>
    <row r="29" spans="1:13">
      <c r="A29" t="s">
        <v>65</v>
      </c>
      <c r="B29" t="s">
        <v>66</v>
      </c>
      <c r="C29" t="s">
        <v>67</v>
      </c>
      <c r="D29" t="s">
        <v>168</v>
      </c>
      <c r="E29">
        <v>6</v>
      </c>
      <c r="F29" t="s">
        <v>169</v>
      </c>
      <c r="G29" s="10">
        <v>45021</v>
      </c>
      <c r="H29">
        <v>34375</v>
      </c>
      <c r="I29">
        <v>6875</v>
      </c>
      <c r="J29" t="s">
        <v>70</v>
      </c>
      <c r="K29">
        <v>5</v>
      </c>
      <c r="L29" t="s">
        <v>35</v>
      </c>
      <c r="M29" t="s">
        <v>36</v>
      </c>
    </row>
    <row r="30" spans="1:13">
      <c r="A30" t="s">
        <v>170</v>
      </c>
      <c r="B30" t="s">
        <v>66</v>
      </c>
      <c r="C30" t="s">
        <v>67</v>
      </c>
      <c r="D30" t="s">
        <v>171</v>
      </c>
      <c r="E30">
        <v>6</v>
      </c>
      <c r="F30" t="s">
        <v>172</v>
      </c>
      <c r="G30" s="10">
        <v>45021</v>
      </c>
      <c r="H30">
        <v>34375</v>
      </c>
      <c r="I30">
        <v>6875</v>
      </c>
      <c r="J30" t="s">
        <v>70</v>
      </c>
      <c r="K30">
        <v>5</v>
      </c>
      <c r="L30" t="s">
        <v>35</v>
      </c>
      <c r="M30" t="s">
        <v>36</v>
      </c>
    </row>
    <row r="31" spans="1:13">
      <c r="A31" t="s">
        <v>170</v>
      </c>
      <c r="B31" t="s">
        <v>66</v>
      </c>
      <c r="C31" t="s">
        <v>67</v>
      </c>
      <c r="D31" t="s">
        <v>173</v>
      </c>
      <c r="E31">
        <v>6</v>
      </c>
      <c r="F31" t="s">
        <v>174</v>
      </c>
      <c r="G31" s="10">
        <v>45021</v>
      </c>
      <c r="H31">
        <v>34375</v>
      </c>
      <c r="I31">
        <v>6875</v>
      </c>
      <c r="J31" t="s">
        <v>70</v>
      </c>
      <c r="K31">
        <v>6</v>
      </c>
      <c r="L31" t="s">
        <v>35</v>
      </c>
      <c r="M31" t="s">
        <v>36</v>
      </c>
    </row>
    <row r="32" spans="1:13">
      <c r="A32" t="s">
        <v>175</v>
      </c>
      <c r="B32" t="s">
        <v>66</v>
      </c>
      <c r="C32" t="s">
        <v>67</v>
      </c>
      <c r="D32" t="s">
        <v>176</v>
      </c>
      <c r="E32">
        <v>6</v>
      </c>
      <c r="F32" t="s">
        <v>177</v>
      </c>
      <c r="G32" s="10">
        <v>45021</v>
      </c>
      <c r="H32">
        <v>34375</v>
      </c>
      <c r="I32">
        <v>6875</v>
      </c>
      <c r="J32" t="s">
        <v>70</v>
      </c>
      <c r="K32">
        <v>5</v>
      </c>
      <c r="L32" t="s">
        <v>35</v>
      </c>
      <c r="M32" t="s">
        <v>36</v>
      </c>
    </row>
    <row r="33" spans="1:13">
      <c r="A33" t="s">
        <v>178</v>
      </c>
      <c r="B33" t="s">
        <v>179</v>
      </c>
      <c r="C33" t="s">
        <v>45</v>
      </c>
      <c r="D33" t="s">
        <v>180</v>
      </c>
      <c r="E33">
        <v>2</v>
      </c>
      <c r="F33" t="s">
        <v>181</v>
      </c>
      <c r="G33" s="10">
        <v>45019</v>
      </c>
      <c r="H33">
        <v>25566.66</v>
      </c>
      <c r="I33">
        <v>3900.66</v>
      </c>
      <c r="J33" t="s">
        <v>182</v>
      </c>
      <c r="K33">
        <v>5</v>
      </c>
      <c r="L33" t="s">
        <v>44</v>
      </c>
      <c r="M33" t="s">
        <v>45</v>
      </c>
    </row>
    <row r="34" spans="1:13">
      <c r="A34" t="s">
        <v>183</v>
      </c>
      <c r="B34" t="s">
        <v>112</v>
      </c>
      <c r="C34" t="s">
        <v>113</v>
      </c>
      <c r="D34" t="s">
        <v>184</v>
      </c>
      <c r="E34">
        <v>6</v>
      </c>
      <c r="F34" t="s">
        <v>185</v>
      </c>
      <c r="G34" s="10">
        <v>45021</v>
      </c>
      <c r="H34">
        <v>34375</v>
      </c>
      <c r="I34">
        <v>6875</v>
      </c>
      <c r="J34" t="s">
        <v>70</v>
      </c>
      <c r="K34">
        <v>6</v>
      </c>
      <c r="L34" t="s">
        <v>35</v>
      </c>
      <c r="M34" t="s">
        <v>36</v>
      </c>
    </row>
    <row r="35" spans="1:13">
      <c r="A35" t="s">
        <v>186</v>
      </c>
      <c r="B35" t="s">
        <v>179</v>
      </c>
      <c r="C35" t="s">
        <v>45</v>
      </c>
      <c r="D35" t="s">
        <v>187</v>
      </c>
      <c r="E35">
        <v>2</v>
      </c>
      <c r="F35" t="s">
        <v>188</v>
      </c>
      <c r="G35" s="10">
        <v>45029</v>
      </c>
      <c r="H35">
        <v>475000</v>
      </c>
      <c r="I35">
        <v>91667</v>
      </c>
      <c r="J35" t="s">
        <v>189</v>
      </c>
      <c r="K35">
        <v>5</v>
      </c>
      <c r="L35" t="s">
        <v>44</v>
      </c>
      <c r="M35" t="s">
        <v>45</v>
      </c>
    </row>
    <row r="36" spans="1:13">
      <c r="A36" t="s">
        <v>190</v>
      </c>
      <c r="B36" t="s">
        <v>160</v>
      </c>
      <c r="C36" t="s">
        <v>67</v>
      </c>
      <c r="D36" t="s">
        <v>191</v>
      </c>
      <c r="E36">
        <v>2</v>
      </c>
      <c r="F36" t="s">
        <v>192</v>
      </c>
      <c r="G36" s="10">
        <v>45021</v>
      </c>
      <c r="H36">
        <v>28750</v>
      </c>
      <c r="I36">
        <v>3750</v>
      </c>
      <c r="J36" t="s">
        <v>193</v>
      </c>
      <c r="K36">
        <v>6</v>
      </c>
      <c r="L36" t="s">
        <v>35</v>
      </c>
      <c r="M36" t="s">
        <v>27</v>
      </c>
    </row>
    <row r="37" spans="1:13">
      <c r="A37" t="s">
        <v>194</v>
      </c>
      <c r="B37" t="s">
        <v>160</v>
      </c>
      <c r="C37" t="s">
        <v>67</v>
      </c>
      <c r="D37" t="s">
        <v>195</v>
      </c>
      <c r="E37">
        <v>2</v>
      </c>
      <c r="F37" t="s">
        <v>196</v>
      </c>
      <c r="G37" s="10">
        <v>45021</v>
      </c>
      <c r="H37">
        <v>48000</v>
      </c>
      <c r="I37">
        <v>8000</v>
      </c>
      <c r="J37" t="s">
        <v>163</v>
      </c>
      <c r="K37">
        <v>5</v>
      </c>
      <c r="L37" t="s">
        <v>35</v>
      </c>
      <c r="M37" t="s">
        <v>27</v>
      </c>
    </row>
    <row r="38" spans="1:13">
      <c r="A38" t="s">
        <v>197</v>
      </c>
      <c r="B38" t="s">
        <v>160</v>
      </c>
      <c r="C38" t="s">
        <v>67</v>
      </c>
      <c r="D38" t="s">
        <v>198</v>
      </c>
      <c r="E38">
        <v>2</v>
      </c>
      <c r="F38" t="s">
        <v>199</v>
      </c>
      <c r="G38" s="10">
        <v>45021</v>
      </c>
      <c r="H38">
        <v>17400</v>
      </c>
      <c r="I38">
        <v>2400</v>
      </c>
      <c r="J38" t="s">
        <v>193</v>
      </c>
      <c r="K38">
        <v>5</v>
      </c>
      <c r="L38" t="s">
        <v>35</v>
      </c>
      <c r="M38" t="s">
        <v>27</v>
      </c>
    </row>
    <row r="39" spans="1:13">
      <c r="A39" t="s">
        <v>200</v>
      </c>
      <c r="B39" t="s">
        <v>179</v>
      </c>
      <c r="C39" t="s">
        <v>45</v>
      </c>
      <c r="D39" t="s">
        <v>201</v>
      </c>
      <c r="E39">
        <v>2</v>
      </c>
      <c r="F39" t="s">
        <v>202</v>
      </c>
      <c r="G39" s="10">
        <v>45021</v>
      </c>
      <c r="H39">
        <v>71100</v>
      </c>
      <c r="I39">
        <v>5267</v>
      </c>
      <c r="J39" t="s">
        <v>203</v>
      </c>
      <c r="K39">
        <v>5</v>
      </c>
      <c r="L39" t="s">
        <v>44</v>
      </c>
      <c r="M39" t="s">
        <v>45</v>
      </c>
    </row>
    <row r="40" spans="1:13">
      <c r="A40" t="s">
        <v>65</v>
      </c>
      <c r="B40" t="s">
        <v>66</v>
      </c>
      <c r="C40" t="s">
        <v>67</v>
      </c>
      <c r="D40" t="s">
        <v>204</v>
      </c>
      <c r="E40">
        <v>6</v>
      </c>
      <c r="F40" t="s">
        <v>205</v>
      </c>
      <c r="G40" s="10">
        <v>45020</v>
      </c>
      <c r="H40">
        <v>34375</v>
      </c>
      <c r="I40">
        <v>6875</v>
      </c>
      <c r="J40" t="s">
        <v>70</v>
      </c>
      <c r="K40">
        <v>5</v>
      </c>
      <c r="L40" t="s">
        <v>35</v>
      </c>
      <c r="M40" t="s">
        <v>36</v>
      </c>
    </row>
    <row r="41" spans="1:13">
      <c r="A41" t="s">
        <v>175</v>
      </c>
      <c r="B41" t="s">
        <v>66</v>
      </c>
      <c r="C41" t="s">
        <v>67</v>
      </c>
      <c r="D41" t="s">
        <v>206</v>
      </c>
      <c r="E41">
        <v>6</v>
      </c>
      <c r="F41" t="s">
        <v>207</v>
      </c>
      <c r="G41" s="10">
        <v>45020</v>
      </c>
      <c r="H41">
        <v>34375</v>
      </c>
      <c r="I41">
        <v>6875</v>
      </c>
      <c r="J41" t="s">
        <v>70</v>
      </c>
      <c r="K41">
        <v>5</v>
      </c>
      <c r="L41" t="s">
        <v>35</v>
      </c>
      <c r="M41" t="s">
        <v>36</v>
      </c>
    </row>
    <row r="42" spans="1:13">
      <c r="A42" t="s">
        <v>208</v>
      </c>
      <c r="B42" t="s">
        <v>93</v>
      </c>
      <c r="C42" t="s">
        <v>94</v>
      </c>
      <c r="D42" t="s">
        <v>209</v>
      </c>
      <c r="E42">
        <v>2</v>
      </c>
      <c r="F42" t="s">
        <v>210</v>
      </c>
      <c r="G42" s="10">
        <v>45033</v>
      </c>
      <c r="H42">
        <v>189000</v>
      </c>
      <c r="I42">
        <v>47334</v>
      </c>
      <c r="J42" t="s">
        <v>97</v>
      </c>
      <c r="K42">
        <v>6</v>
      </c>
      <c r="L42" t="s">
        <v>41</v>
      </c>
      <c r="M42" t="s">
        <v>42</v>
      </c>
    </row>
    <row r="43" spans="1:13">
      <c r="A43" t="s">
        <v>211</v>
      </c>
      <c r="B43" t="s">
        <v>179</v>
      </c>
      <c r="C43" t="s">
        <v>45</v>
      </c>
      <c r="D43" t="s">
        <v>212</v>
      </c>
      <c r="E43">
        <v>2</v>
      </c>
      <c r="F43" t="s">
        <v>213</v>
      </c>
      <c r="G43" s="10">
        <v>45020</v>
      </c>
      <c r="H43">
        <v>63916.66</v>
      </c>
      <c r="I43">
        <v>9750.66</v>
      </c>
      <c r="J43" t="s">
        <v>182</v>
      </c>
      <c r="K43">
        <v>6</v>
      </c>
      <c r="L43" t="s">
        <v>44</v>
      </c>
      <c r="M43" t="s">
        <v>45</v>
      </c>
    </row>
    <row r="44" spans="1:13">
      <c r="A44" t="s">
        <v>214</v>
      </c>
      <c r="B44" t="s">
        <v>215</v>
      </c>
      <c r="C44" t="s">
        <v>94</v>
      </c>
      <c r="D44" t="s">
        <v>216</v>
      </c>
      <c r="E44">
        <v>2</v>
      </c>
      <c r="F44" t="s">
        <v>217</v>
      </c>
      <c r="G44" s="10">
        <v>45022</v>
      </c>
      <c r="H44">
        <v>150000</v>
      </c>
      <c r="I44">
        <v>8334</v>
      </c>
      <c r="J44" t="s">
        <v>218</v>
      </c>
      <c r="K44">
        <v>5</v>
      </c>
      <c r="L44" t="s">
        <v>41</v>
      </c>
      <c r="M44" t="s">
        <v>41</v>
      </c>
    </row>
    <row r="45" spans="1:13">
      <c r="A45" t="s">
        <v>200</v>
      </c>
      <c r="B45" t="s">
        <v>179</v>
      </c>
      <c r="C45" t="s">
        <v>45</v>
      </c>
      <c r="D45" t="s">
        <v>219</v>
      </c>
      <c r="E45">
        <v>2</v>
      </c>
      <c r="F45" t="s">
        <v>220</v>
      </c>
      <c r="G45" s="10">
        <v>45026</v>
      </c>
      <c r="H45">
        <v>49166.66</v>
      </c>
      <c r="I45">
        <v>7500.66</v>
      </c>
      <c r="J45" t="s">
        <v>182</v>
      </c>
      <c r="K45">
        <v>5</v>
      </c>
      <c r="L45" t="s">
        <v>44</v>
      </c>
      <c r="M45" t="s">
        <v>45</v>
      </c>
    </row>
    <row r="46" spans="1:13">
      <c r="A46" t="s">
        <v>140</v>
      </c>
      <c r="B46" t="s">
        <v>141</v>
      </c>
      <c r="C46" t="s">
        <v>67</v>
      </c>
      <c r="D46" t="s">
        <v>221</v>
      </c>
      <c r="E46">
        <v>1</v>
      </c>
      <c r="F46" t="s">
        <v>222</v>
      </c>
      <c r="G46" s="10">
        <v>45029</v>
      </c>
      <c r="H46">
        <v>67200</v>
      </c>
      <c r="I46">
        <v>18867</v>
      </c>
      <c r="J46" t="s">
        <v>144</v>
      </c>
      <c r="K46">
        <v>6</v>
      </c>
      <c r="L46" t="s">
        <v>38</v>
      </c>
      <c r="M46" t="s">
        <v>25</v>
      </c>
    </row>
    <row r="47" spans="1:13">
      <c r="A47" t="s">
        <v>223</v>
      </c>
      <c r="B47" t="s">
        <v>224</v>
      </c>
      <c r="C47" t="s">
        <v>94</v>
      </c>
      <c r="D47" t="s">
        <v>225</v>
      </c>
      <c r="E47">
        <v>2</v>
      </c>
      <c r="F47" t="s">
        <v>226</v>
      </c>
      <c r="G47" s="10">
        <v>45049</v>
      </c>
      <c r="H47">
        <v>30000</v>
      </c>
      <c r="I47">
        <v>5000</v>
      </c>
      <c r="J47" t="s">
        <v>227</v>
      </c>
      <c r="K47">
        <v>5</v>
      </c>
      <c r="L47" t="s">
        <v>41</v>
      </c>
      <c r="M47" t="s">
        <v>42</v>
      </c>
    </row>
    <row r="48" spans="1:13">
      <c r="A48" t="s">
        <v>140</v>
      </c>
      <c r="B48" t="s">
        <v>141</v>
      </c>
      <c r="C48" t="s">
        <v>67</v>
      </c>
      <c r="D48" t="s">
        <v>228</v>
      </c>
      <c r="E48">
        <v>1</v>
      </c>
      <c r="F48" t="s">
        <v>229</v>
      </c>
      <c r="G48" s="10">
        <v>45029</v>
      </c>
      <c r="H48">
        <v>67200</v>
      </c>
      <c r="I48">
        <v>17200</v>
      </c>
      <c r="J48" t="s">
        <v>144</v>
      </c>
      <c r="K48">
        <v>6</v>
      </c>
      <c r="L48" t="s">
        <v>38</v>
      </c>
      <c r="M48" t="s">
        <v>25</v>
      </c>
    </row>
    <row r="49" spans="1:13">
      <c r="A49" t="s">
        <v>230</v>
      </c>
      <c r="B49" t="s">
        <v>231</v>
      </c>
      <c r="C49" t="s">
        <v>232</v>
      </c>
      <c r="D49" t="s">
        <v>233</v>
      </c>
      <c r="E49">
        <v>2</v>
      </c>
      <c r="F49" t="s">
        <v>234</v>
      </c>
      <c r="G49" s="10">
        <v>45020</v>
      </c>
      <c r="H49">
        <v>362880</v>
      </c>
      <c r="I49">
        <v>154547</v>
      </c>
      <c r="J49" t="s">
        <v>149</v>
      </c>
      <c r="K49">
        <v>6</v>
      </c>
      <c r="L49" t="s">
        <v>44</v>
      </c>
      <c r="M49" t="s">
        <v>48</v>
      </c>
    </row>
    <row r="50" spans="1:13">
      <c r="A50" t="s">
        <v>235</v>
      </c>
      <c r="B50" t="s">
        <v>215</v>
      </c>
      <c r="C50" t="s">
        <v>94</v>
      </c>
      <c r="D50" t="s">
        <v>236</v>
      </c>
      <c r="E50">
        <v>2</v>
      </c>
      <c r="F50" t="s">
        <v>237</v>
      </c>
      <c r="G50" s="10">
        <v>45054</v>
      </c>
      <c r="H50">
        <v>110000</v>
      </c>
      <c r="I50">
        <v>18334</v>
      </c>
      <c r="J50" t="s">
        <v>227</v>
      </c>
      <c r="K50">
        <v>5</v>
      </c>
      <c r="L50" t="s">
        <v>41</v>
      </c>
      <c r="M50" t="s">
        <v>42</v>
      </c>
    </row>
    <row r="51" spans="1:13">
      <c r="A51" t="s">
        <v>82</v>
      </c>
      <c r="B51" t="s">
        <v>28</v>
      </c>
      <c r="C51" t="s">
        <v>238</v>
      </c>
      <c r="D51" t="s">
        <v>239</v>
      </c>
      <c r="E51">
        <v>2</v>
      </c>
      <c r="F51" t="s">
        <v>240</v>
      </c>
      <c r="G51" s="10">
        <v>45021</v>
      </c>
      <c r="H51">
        <v>69467</v>
      </c>
      <c r="I51">
        <v>2801</v>
      </c>
      <c r="J51" t="s">
        <v>85</v>
      </c>
      <c r="K51">
        <v>5</v>
      </c>
      <c r="L51" t="s">
        <v>24</v>
      </c>
      <c r="M51" t="s">
        <v>25</v>
      </c>
    </row>
    <row r="52" spans="1:13">
      <c r="A52" t="s">
        <v>190</v>
      </c>
      <c r="B52" t="s">
        <v>160</v>
      </c>
      <c r="C52" t="s">
        <v>67</v>
      </c>
      <c r="D52" t="s">
        <v>241</v>
      </c>
      <c r="E52">
        <v>2</v>
      </c>
      <c r="F52" t="s">
        <v>242</v>
      </c>
      <c r="G52" s="10">
        <v>45027</v>
      </c>
      <c r="H52">
        <v>17400</v>
      </c>
      <c r="I52">
        <v>2400</v>
      </c>
      <c r="J52" t="s">
        <v>193</v>
      </c>
      <c r="K52">
        <v>5</v>
      </c>
      <c r="L52" t="s">
        <v>35</v>
      </c>
      <c r="M52" t="s">
        <v>27</v>
      </c>
    </row>
    <row r="53" spans="1:13">
      <c r="A53" t="s">
        <v>243</v>
      </c>
      <c r="B53" t="s">
        <v>244</v>
      </c>
      <c r="C53" t="s">
        <v>245</v>
      </c>
      <c r="D53" t="s">
        <v>246</v>
      </c>
      <c r="E53">
        <v>2</v>
      </c>
      <c r="F53" t="s">
        <v>247</v>
      </c>
      <c r="G53" s="10">
        <v>45033</v>
      </c>
      <c r="H53">
        <v>116318.16</v>
      </c>
      <c r="I53">
        <v>57985.16</v>
      </c>
      <c r="J53" t="s">
        <v>126</v>
      </c>
      <c r="K53">
        <v>5</v>
      </c>
      <c r="L53" t="s">
        <v>24</v>
      </c>
      <c r="M53" t="s">
        <v>26</v>
      </c>
    </row>
    <row r="54" spans="1:13">
      <c r="A54" t="s">
        <v>194</v>
      </c>
      <c r="B54" t="s">
        <v>160</v>
      </c>
      <c r="C54" t="s">
        <v>67</v>
      </c>
      <c r="D54" t="s">
        <v>248</v>
      </c>
      <c r="E54">
        <v>1</v>
      </c>
      <c r="F54" t="s">
        <v>249</v>
      </c>
      <c r="G54" s="10">
        <v>45061</v>
      </c>
      <c r="H54">
        <v>38377.5</v>
      </c>
      <c r="I54">
        <v>13377.5</v>
      </c>
      <c r="J54" t="s">
        <v>250</v>
      </c>
      <c r="K54">
        <v>6</v>
      </c>
      <c r="L54" t="s">
        <v>24</v>
      </c>
      <c r="M54" t="s">
        <v>29</v>
      </c>
    </row>
    <row r="55" spans="1:13">
      <c r="A55" t="s">
        <v>251</v>
      </c>
      <c r="B55" t="s">
        <v>160</v>
      </c>
      <c r="C55" t="s">
        <v>67</v>
      </c>
      <c r="D55" t="s">
        <v>252</v>
      </c>
      <c r="E55">
        <v>1</v>
      </c>
      <c r="F55" t="s">
        <v>253</v>
      </c>
      <c r="G55" s="10">
        <v>45061</v>
      </c>
      <c r="H55">
        <v>38377.5</v>
      </c>
      <c r="I55">
        <v>13377.5</v>
      </c>
      <c r="J55" t="s">
        <v>250</v>
      </c>
      <c r="K55">
        <v>6</v>
      </c>
      <c r="L55" t="s">
        <v>24</v>
      </c>
      <c r="M55" t="s">
        <v>29</v>
      </c>
    </row>
    <row r="56" spans="1:13">
      <c r="A56" t="s">
        <v>190</v>
      </c>
      <c r="B56" t="s">
        <v>160</v>
      </c>
      <c r="C56" t="s">
        <v>67</v>
      </c>
      <c r="D56" t="s">
        <v>254</v>
      </c>
      <c r="E56">
        <v>1</v>
      </c>
      <c r="F56" t="s">
        <v>255</v>
      </c>
      <c r="G56" s="10">
        <v>45061</v>
      </c>
      <c r="H56">
        <v>38377.5</v>
      </c>
      <c r="I56">
        <v>13377.5</v>
      </c>
      <c r="J56" t="s">
        <v>250</v>
      </c>
      <c r="K56">
        <v>6</v>
      </c>
      <c r="L56" t="s">
        <v>24</v>
      </c>
      <c r="M56" t="s">
        <v>29</v>
      </c>
    </row>
    <row r="57" spans="1:13">
      <c r="A57" t="s">
        <v>256</v>
      </c>
      <c r="B57" t="s">
        <v>160</v>
      </c>
      <c r="C57" t="s">
        <v>67</v>
      </c>
      <c r="D57" t="s">
        <v>257</v>
      </c>
      <c r="E57">
        <v>1</v>
      </c>
      <c r="F57" t="s">
        <v>258</v>
      </c>
      <c r="G57" s="10">
        <v>45033</v>
      </c>
      <c r="H57">
        <v>42483</v>
      </c>
      <c r="I57">
        <v>10817</v>
      </c>
      <c r="J57" t="s">
        <v>75</v>
      </c>
      <c r="K57">
        <v>6</v>
      </c>
      <c r="L57" t="s">
        <v>35</v>
      </c>
      <c r="M57" t="s">
        <v>29</v>
      </c>
    </row>
    <row r="58" spans="1:13">
      <c r="A58" t="s">
        <v>194</v>
      </c>
      <c r="B58" t="s">
        <v>160</v>
      </c>
      <c r="C58" t="s">
        <v>67</v>
      </c>
      <c r="D58" t="s">
        <v>259</v>
      </c>
      <c r="E58">
        <v>1</v>
      </c>
      <c r="F58" t="s">
        <v>260</v>
      </c>
      <c r="G58" s="10">
        <v>45061</v>
      </c>
      <c r="H58">
        <v>38378</v>
      </c>
      <c r="I58">
        <v>13378</v>
      </c>
      <c r="J58" t="s">
        <v>250</v>
      </c>
      <c r="K58">
        <v>6</v>
      </c>
      <c r="L58" t="s">
        <v>24</v>
      </c>
      <c r="M58" t="s">
        <v>29</v>
      </c>
    </row>
    <row r="59" spans="1:13">
      <c r="A59" t="s">
        <v>261</v>
      </c>
      <c r="B59" t="s">
        <v>160</v>
      </c>
      <c r="C59" t="s">
        <v>67</v>
      </c>
      <c r="D59" t="s">
        <v>262</v>
      </c>
      <c r="E59">
        <v>2</v>
      </c>
      <c r="F59" t="s">
        <v>263</v>
      </c>
      <c r="G59" s="10">
        <v>45023</v>
      </c>
      <c r="H59">
        <v>46000</v>
      </c>
      <c r="I59">
        <v>6000</v>
      </c>
      <c r="J59" t="s">
        <v>193</v>
      </c>
      <c r="K59">
        <v>6</v>
      </c>
      <c r="L59" t="s">
        <v>35</v>
      </c>
      <c r="M59" t="s">
        <v>27</v>
      </c>
    </row>
    <row r="60" spans="1:13">
      <c r="A60" t="s">
        <v>159</v>
      </c>
      <c r="B60" t="s">
        <v>160</v>
      </c>
      <c r="C60" t="s">
        <v>67</v>
      </c>
      <c r="D60" t="s">
        <v>264</v>
      </c>
      <c r="E60">
        <v>1</v>
      </c>
      <c r="F60" t="s">
        <v>265</v>
      </c>
      <c r="G60" s="10">
        <v>45061</v>
      </c>
      <c r="H60">
        <v>0</v>
      </c>
      <c r="I60">
        <v>-25000</v>
      </c>
      <c r="J60" t="s">
        <v>250</v>
      </c>
      <c r="K60">
        <v>6</v>
      </c>
      <c r="L60" t="s">
        <v>24</v>
      </c>
      <c r="M60" t="s">
        <v>29</v>
      </c>
    </row>
    <row r="61" spans="1:13">
      <c r="A61" t="s">
        <v>266</v>
      </c>
      <c r="B61" t="s">
        <v>160</v>
      </c>
      <c r="C61" t="s">
        <v>67</v>
      </c>
      <c r="D61" t="s">
        <v>267</v>
      </c>
      <c r="E61">
        <v>1</v>
      </c>
      <c r="F61" t="s">
        <v>268</v>
      </c>
      <c r="G61" s="10">
        <v>45061</v>
      </c>
      <c r="H61">
        <v>38377.5</v>
      </c>
      <c r="I61">
        <v>13377.5</v>
      </c>
      <c r="J61" t="s">
        <v>250</v>
      </c>
      <c r="K61">
        <v>6</v>
      </c>
      <c r="L61" t="s">
        <v>24</v>
      </c>
      <c r="M61" t="s">
        <v>29</v>
      </c>
    </row>
    <row r="62" spans="1:13">
      <c r="A62" t="s">
        <v>197</v>
      </c>
      <c r="B62" t="s">
        <v>160</v>
      </c>
      <c r="C62" t="s">
        <v>67</v>
      </c>
      <c r="D62" t="s">
        <v>269</v>
      </c>
      <c r="E62">
        <v>1</v>
      </c>
      <c r="F62" t="s">
        <v>270</v>
      </c>
      <c r="G62" s="10">
        <v>45061</v>
      </c>
      <c r="H62">
        <v>0</v>
      </c>
      <c r="I62">
        <v>-25000</v>
      </c>
      <c r="J62" t="s">
        <v>250</v>
      </c>
      <c r="K62">
        <v>6</v>
      </c>
      <c r="L62" t="s">
        <v>24</v>
      </c>
      <c r="M62" t="s">
        <v>29</v>
      </c>
    </row>
    <row r="63" spans="1:13">
      <c r="A63" t="s">
        <v>251</v>
      </c>
      <c r="B63" t="s">
        <v>160</v>
      </c>
      <c r="C63" t="s">
        <v>67</v>
      </c>
      <c r="D63" t="s">
        <v>271</v>
      </c>
      <c r="E63">
        <v>1</v>
      </c>
      <c r="F63" t="s">
        <v>272</v>
      </c>
      <c r="G63" s="10">
        <v>45061</v>
      </c>
      <c r="H63">
        <v>38377.5</v>
      </c>
      <c r="I63">
        <v>13377.5</v>
      </c>
      <c r="J63" t="s">
        <v>250</v>
      </c>
      <c r="K63">
        <v>6</v>
      </c>
      <c r="L63" t="s">
        <v>24</v>
      </c>
      <c r="M63" t="s">
        <v>29</v>
      </c>
    </row>
    <row r="64" spans="1:13">
      <c r="A64" t="s">
        <v>190</v>
      </c>
      <c r="B64" t="s">
        <v>160</v>
      </c>
      <c r="C64" t="s">
        <v>67</v>
      </c>
      <c r="D64" t="s">
        <v>273</v>
      </c>
      <c r="E64">
        <v>1</v>
      </c>
      <c r="F64" t="s">
        <v>274</v>
      </c>
      <c r="G64" s="10">
        <v>45061</v>
      </c>
      <c r="H64">
        <v>0</v>
      </c>
      <c r="I64">
        <v>-25000</v>
      </c>
      <c r="J64" t="s">
        <v>250</v>
      </c>
      <c r="K64">
        <v>6</v>
      </c>
      <c r="L64" t="s">
        <v>24</v>
      </c>
      <c r="M64" t="s">
        <v>29</v>
      </c>
    </row>
    <row r="65" spans="1:13">
      <c r="A65" t="s">
        <v>275</v>
      </c>
      <c r="B65" t="s">
        <v>160</v>
      </c>
      <c r="C65" t="s">
        <v>67</v>
      </c>
      <c r="D65" t="s">
        <v>276</v>
      </c>
      <c r="E65">
        <v>1</v>
      </c>
      <c r="F65" t="s">
        <v>277</v>
      </c>
      <c r="G65" s="10">
        <v>45061</v>
      </c>
      <c r="H65">
        <v>38377.5</v>
      </c>
      <c r="I65">
        <v>13377.5</v>
      </c>
      <c r="J65" t="s">
        <v>250</v>
      </c>
      <c r="K65">
        <v>6</v>
      </c>
      <c r="L65" t="s">
        <v>24</v>
      </c>
      <c r="M65" t="s">
        <v>29</v>
      </c>
    </row>
    <row r="66" spans="1:13">
      <c r="A66" t="s">
        <v>194</v>
      </c>
      <c r="B66" t="s">
        <v>160</v>
      </c>
      <c r="C66" t="s">
        <v>67</v>
      </c>
      <c r="D66" t="s">
        <v>278</v>
      </c>
      <c r="E66">
        <v>1</v>
      </c>
      <c r="F66" t="s">
        <v>279</v>
      </c>
      <c r="G66" s="10">
        <v>45061</v>
      </c>
      <c r="H66">
        <v>0</v>
      </c>
      <c r="I66">
        <v>-25000</v>
      </c>
      <c r="J66" t="s">
        <v>250</v>
      </c>
      <c r="K66">
        <v>6</v>
      </c>
      <c r="L66" t="s">
        <v>24</v>
      </c>
      <c r="M66" t="s">
        <v>29</v>
      </c>
    </row>
    <row r="67" spans="1:13">
      <c r="A67" t="s">
        <v>280</v>
      </c>
      <c r="B67" t="s">
        <v>160</v>
      </c>
      <c r="C67" t="s">
        <v>67</v>
      </c>
      <c r="D67" t="s">
        <v>281</v>
      </c>
      <c r="E67">
        <v>1</v>
      </c>
      <c r="F67" t="s">
        <v>282</v>
      </c>
      <c r="G67" s="10">
        <v>45061</v>
      </c>
      <c r="H67">
        <v>0</v>
      </c>
      <c r="I67">
        <v>-25000</v>
      </c>
      <c r="J67" t="s">
        <v>250</v>
      </c>
      <c r="K67">
        <v>6</v>
      </c>
      <c r="L67" t="s">
        <v>24</v>
      </c>
      <c r="M67" t="s">
        <v>29</v>
      </c>
    </row>
    <row r="68" spans="1:13">
      <c r="A68" t="s">
        <v>159</v>
      </c>
      <c r="B68" t="s">
        <v>160</v>
      </c>
      <c r="C68" t="s">
        <v>67</v>
      </c>
      <c r="D68" t="s">
        <v>283</v>
      </c>
      <c r="E68">
        <v>1</v>
      </c>
      <c r="F68" t="s">
        <v>284</v>
      </c>
      <c r="G68" s="10">
        <v>45061</v>
      </c>
      <c r="H68">
        <v>38377.5</v>
      </c>
      <c r="I68">
        <v>13377.5</v>
      </c>
      <c r="J68" t="s">
        <v>250</v>
      </c>
      <c r="K68">
        <v>6</v>
      </c>
      <c r="L68" t="s">
        <v>24</v>
      </c>
      <c r="M68" t="s">
        <v>29</v>
      </c>
    </row>
    <row r="69" spans="1:13">
      <c r="A69" t="s">
        <v>280</v>
      </c>
      <c r="B69" t="s">
        <v>160</v>
      </c>
      <c r="C69" t="s">
        <v>67</v>
      </c>
      <c r="D69" t="s">
        <v>285</v>
      </c>
      <c r="E69">
        <v>1</v>
      </c>
      <c r="F69" t="s">
        <v>286</v>
      </c>
      <c r="G69" s="10">
        <v>45061</v>
      </c>
      <c r="H69">
        <v>38377.5</v>
      </c>
      <c r="I69">
        <v>13377.5</v>
      </c>
      <c r="J69" t="s">
        <v>250</v>
      </c>
      <c r="K69">
        <v>6</v>
      </c>
      <c r="L69" t="s">
        <v>24</v>
      </c>
      <c r="M69" t="s">
        <v>29</v>
      </c>
    </row>
    <row r="70" spans="1:13">
      <c r="A70" t="s">
        <v>251</v>
      </c>
      <c r="B70" t="s">
        <v>160</v>
      </c>
      <c r="C70" t="s">
        <v>67</v>
      </c>
      <c r="D70" t="s">
        <v>287</v>
      </c>
      <c r="E70">
        <v>1</v>
      </c>
      <c r="F70" t="s">
        <v>288</v>
      </c>
      <c r="G70" s="10">
        <v>45061</v>
      </c>
      <c r="H70">
        <v>38377.5</v>
      </c>
      <c r="I70">
        <v>13377.5</v>
      </c>
      <c r="J70" t="s">
        <v>250</v>
      </c>
      <c r="K70">
        <v>6</v>
      </c>
      <c r="L70" t="s">
        <v>24</v>
      </c>
      <c r="M70" t="s">
        <v>29</v>
      </c>
    </row>
    <row r="71" spans="1:13">
      <c r="A71" t="s">
        <v>159</v>
      </c>
      <c r="B71" t="s">
        <v>160</v>
      </c>
      <c r="C71" t="s">
        <v>67</v>
      </c>
      <c r="D71" t="s">
        <v>289</v>
      </c>
      <c r="E71">
        <v>1</v>
      </c>
      <c r="F71" t="s">
        <v>290</v>
      </c>
      <c r="G71" s="10">
        <v>45061</v>
      </c>
      <c r="H71">
        <v>38377.5</v>
      </c>
      <c r="I71">
        <v>13377.5</v>
      </c>
      <c r="J71" t="s">
        <v>250</v>
      </c>
      <c r="K71">
        <v>6</v>
      </c>
      <c r="L71" t="s">
        <v>24</v>
      </c>
      <c r="M71" t="s">
        <v>29</v>
      </c>
    </row>
    <row r="72" spans="1:13">
      <c r="A72" t="s">
        <v>291</v>
      </c>
      <c r="B72" t="s">
        <v>160</v>
      </c>
      <c r="C72" t="s">
        <v>67</v>
      </c>
      <c r="D72" t="s">
        <v>292</v>
      </c>
      <c r="E72">
        <v>1</v>
      </c>
      <c r="F72" t="s">
        <v>293</v>
      </c>
      <c r="G72" s="10">
        <v>45061</v>
      </c>
      <c r="H72">
        <v>38377.5</v>
      </c>
      <c r="I72">
        <v>13377.5</v>
      </c>
      <c r="J72" t="s">
        <v>250</v>
      </c>
      <c r="K72">
        <v>6</v>
      </c>
      <c r="L72" t="s">
        <v>24</v>
      </c>
      <c r="M72" t="s">
        <v>29</v>
      </c>
    </row>
    <row r="73" spans="1:13">
      <c r="A73" t="s">
        <v>294</v>
      </c>
      <c r="B73" t="s">
        <v>160</v>
      </c>
      <c r="C73" t="s">
        <v>67</v>
      </c>
      <c r="D73" t="s">
        <v>295</v>
      </c>
      <c r="E73">
        <v>1</v>
      </c>
      <c r="F73" t="s">
        <v>296</v>
      </c>
      <c r="G73" s="10">
        <v>45061</v>
      </c>
      <c r="H73">
        <v>38377.5</v>
      </c>
      <c r="I73">
        <v>13377.5</v>
      </c>
      <c r="J73" t="s">
        <v>250</v>
      </c>
      <c r="K73">
        <v>6</v>
      </c>
      <c r="L73" t="s">
        <v>24</v>
      </c>
      <c r="M73" t="s">
        <v>29</v>
      </c>
    </row>
    <row r="74" spans="1:13">
      <c r="A74" t="s">
        <v>297</v>
      </c>
      <c r="B74" t="s">
        <v>179</v>
      </c>
      <c r="C74" t="s">
        <v>45</v>
      </c>
      <c r="D74" t="s">
        <v>298</v>
      </c>
      <c r="E74">
        <v>2</v>
      </c>
      <c r="F74" t="s">
        <v>299</v>
      </c>
      <c r="G74" s="10">
        <v>45026</v>
      </c>
      <c r="H74">
        <v>97000</v>
      </c>
      <c r="I74">
        <v>5334</v>
      </c>
      <c r="J74" t="s">
        <v>300</v>
      </c>
      <c r="K74">
        <v>6</v>
      </c>
      <c r="L74" t="s">
        <v>44</v>
      </c>
      <c r="M74" t="s">
        <v>48</v>
      </c>
    </row>
    <row r="75" spans="1:13">
      <c r="A75" t="s">
        <v>291</v>
      </c>
      <c r="B75" t="s">
        <v>160</v>
      </c>
      <c r="C75" t="s">
        <v>67</v>
      </c>
      <c r="D75" t="s">
        <v>301</v>
      </c>
      <c r="E75">
        <v>1</v>
      </c>
      <c r="F75" t="s">
        <v>302</v>
      </c>
      <c r="G75" s="10">
        <v>45061</v>
      </c>
      <c r="H75">
        <v>38377.5</v>
      </c>
      <c r="I75">
        <v>13377.5</v>
      </c>
      <c r="J75" t="s">
        <v>250</v>
      </c>
      <c r="K75">
        <v>6</v>
      </c>
      <c r="L75" t="s">
        <v>24</v>
      </c>
      <c r="M75" t="s">
        <v>29</v>
      </c>
    </row>
    <row r="76" spans="1:13">
      <c r="A76" t="s">
        <v>291</v>
      </c>
      <c r="B76" t="s">
        <v>160</v>
      </c>
      <c r="C76" t="s">
        <v>67</v>
      </c>
      <c r="D76" t="s">
        <v>303</v>
      </c>
      <c r="E76">
        <v>1</v>
      </c>
      <c r="F76" t="s">
        <v>304</v>
      </c>
      <c r="G76" s="10">
        <v>45061</v>
      </c>
      <c r="H76">
        <v>38377.5</v>
      </c>
      <c r="I76">
        <v>13377.5</v>
      </c>
      <c r="J76" t="s">
        <v>250</v>
      </c>
      <c r="K76">
        <v>6</v>
      </c>
      <c r="L76" t="s">
        <v>24</v>
      </c>
      <c r="M76" t="s">
        <v>29</v>
      </c>
    </row>
    <row r="77" spans="1:13">
      <c r="A77" t="s">
        <v>305</v>
      </c>
      <c r="B77" t="s">
        <v>118</v>
      </c>
      <c r="C77" t="s">
        <v>98</v>
      </c>
      <c r="D77" t="s">
        <v>306</v>
      </c>
      <c r="E77">
        <v>2</v>
      </c>
      <c r="F77" t="s">
        <v>307</v>
      </c>
      <c r="G77" s="10">
        <v>45026</v>
      </c>
      <c r="H77">
        <v>43500</v>
      </c>
      <c r="I77">
        <v>1500</v>
      </c>
      <c r="J77" t="s">
        <v>308</v>
      </c>
      <c r="K77">
        <v>5</v>
      </c>
      <c r="L77" t="s">
        <v>24</v>
      </c>
      <c r="M77" t="s">
        <v>32</v>
      </c>
    </row>
    <row r="78" spans="1:13">
      <c r="A78" t="s">
        <v>309</v>
      </c>
      <c r="B78" t="s">
        <v>310</v>
      </c>
      <c r="C78" t="s">
        <v>232</v>
      </c>
      <c r="D78" t="s">
        <v>311</v>
      </c>
      <c r="E78">
        <v>7</v>
      </c>
      <c r="F78" t="s">
        <v>312</v>
      </c>
      <c r="G78" s="10">
        <v>45047</v>
      </c>
      <c r="H78">
        <v>57725.8</v>
      </c>
      <c r="I78">
        <v>2485.8000000000002</v>
      </c>
      <c r="J78" t="s">
        <v>313</v>
      </c>
      <c r="K78">
        <v>5</v>
      </c>
      <c r="L78" t="s">
        <v>41</v>
      </c>
      <c r="M78" t="s">
        <v>42</v>
      </c>
    </row>
    <row r="79" spans="1:13">
      <c r="A79" t="s">
        <v>170</v>
      </c>
      <c r="B79" t="s">
        <v>66</v>
      </c>
      <c r="C79" t="s">
        <v>67</v>
      </c>
      <c r="D79" t="s">
        <v>314</v>
      </c>
      <c r="E79">
        <v>1</v>
      </c>
      <c r="F79" t="s">
        <v>315</v>
      </c>
      <c r="G79" s="10">
        <v>45033</v>
      </c>
      <c r="H79">
        <v>42483</v>
      </c>
      <c r="I79">
        <v>7483</v>
      </c>
      <c r="J79" t="s">
        <v>75</v>
      </c>
      <c r="K79">
        <v>6</v>
      </c>
      <c r="L79" t="s">
        <v>35</v>
      </c>
      <c r="M79" t="s">
        <v>29</v>
      </c>
    </row>
    <row r="80" spans="1:13">
      <c r="A80" t="s">
        <v>186</v>
      </c>
      <c r="B80" t="s">
        <v>179</v>
      </c>
      <c r="C80" t="s">
        <v>45</v>
      </c>
      <c r="D80" t="s">
        <v>316</v>
      </c>
      <c r="E80">
        <v>2</v>
      </c>
      <c r="F80" t="s">
        <v>317</v>
      </c>
      <c r="G80" s="10">
        <v>45026</v>
      </c>
      <c r="H80">
        <v>63916.66</v>
      </c>
      <c r="I80">
        <v>9750.66</v>
      </c>
      <c r="J80" t="s">
        <v>182</v>
      </c>
      <c r="K80">
        <v>6</v>
      </c>
      <c r="L80" t="s">
        <v>44</v>
      </c>
      <c r="M80" t="s">
        <v>45</v>
      </c>
    </row>
    <row r="81" spans="1:13">
      <c r="A81" t="s">
        <v>318</v>
      </c>
      <c r="B81" t="s">
        <v>319</v>
      </c>
      <c r="C81" t="s">
        <v>25</v>
      </c>
      <c r="D81" t="s">
        <v>320</v>
      </c>
      <c r="E81">
        <v>2</v>
      </c>
      <c r="F81" t="s">
        <v>321</v>
      </c>
      <c r="G81" s="10">
        <v>45040</v>
      </c>
      <c r="H81">
        <v>256660.04</v>
      </c>
      <c r="I81">
        <v>60827.040000000001</v>
      </c>
      <c r="J81" t="s">
        <v>322</v>
      </c>
      <c r="K81">
        <v>5</v>
      </c>
      <c r="L81" t="s">
        <v>44</v>
      </c>
      <c r="M81" t="s">
        <v>45</v>
      </c>
    </row>
    <row r="82" spans="1:13">
      <c r="A82" t="s">
        <v>261</v>
      </c>
      <c r="B82" t="s">
        <v>160</v>
      </c>
      <c r="C82" t="s">
        <v>67</v>
      </c>
      <c r="D82" t="s">
        <v>323</v>
      </c>
      <c r="E82">
        <v>1</v>
      </c>
      <c r="F82" t="s">
        <v>324</v>
      </c>
      <c r="G82" s="10">
        <v>45061</v>
      </c>
      <c r="H82">
        <v>0</v>
      </c>
      <c r="I82">
        <v>-25000</v>
      </c>
      <c r="J82" t="s">
        <v>250</v>
      </c>
      <c r="K82">
        <v>6</v>
      </c>
      <c r="L82" t="s">
        <v>24</v>
      </c>
      <c r="M82" t="s">
        <v>29</v>
      </c>
    </row>
    <row r="83" spans="1:13">
      <c r="A83" t="s">
        <v>256</v>
      </c>
      <c r="B83" t="s">
        <v>160</v>
      </c>
      <c r="C83" t="s">
        <v>67</v>
      </c>
      <c r="D83" t="s">
        <v>325</v>
      </c>
      <c r="E83">
        <v>1</v>
      </c>
      <c r="F83" t="s">
        <v>326</v>
      </c>
      <c r="G83" s="10">
        <v>45061</v>
      </c>
      <c r="H83">
        <v>38377.5</v>
      </c>
      <c r="I83">
        <v>13377.5</v>
      </c>
      <c r="J83" t="s">
        <v>250</v>
      </c>
      <c r="K83">
        <v>6</v>
      </c>
      <c r="L83" t="s">
        <v>24</v>
      </c>
      <c r="M83" t="s">
        <v>29</v>
      </c>
    </row>
    <row r="84" spans="1:13">
      <c r="A84" t="s">
        <v>251</v>
      </c>
      <c r="B84" t="s">
        <v>160</v>
      </c>
      <c r="C84" t="s">
        <v>67</v>
      </c>
      <c r="D84" t="s">
        <v>327</v>
      </c>
      <c r="E84">
        <v>1</v>
      </c>
      <c r="F84" t="s">
        <v>328</v>
      </c>
      <c r="G84" s="10">
        <v>45061</v>
      </c>
      <c r="H84">
        <v>38377.5</v>
      </c>
      <c r="I84">
        <v>13377.5</v>
      </c>
      <c r="J84" t="s">
        <v>250</v>
      </c>
      <c r="K84">
        <v>6</v>
      </c>
      <c r="L84" t="s">
        <v>24</v>
      </c>
      <c r="M84" t="s">
        <v>29</v>
      </c>
    </row>
    <row r="85" spans="1:13">
      <c r="A85" t="s">
        <v>256</v>
      </c>
      <c r="B85" t="s">
        <v>160</v>
      </c>
      <c r="C85" t="s">
        <v>67</v>
      </c>
      <c r="D85" t="s">
        <v>329</v>
      </c>
      <c r="E85">
        <v>1</v>
      </c>
      <c r="F85" t="s">
        <v>330</v>
      </c>
      <c r="G85" s="10">
        <v>45061</v>
      </c>
      <c r="H85">
        <v>38377.5</v>
      </c>
      <c r="I85">
        <v>13377.5</v>
      </c>
      <c r="J85" t="s">
        <v>250</v>
      </c>
      <c r="K85">
        <v>6</v>
      </c>
      <c r="L85" t="s">
        <v>24</v>
      </c>
      <c r="M85" t="s">
        <v>29</v>
      </c>
    </row>
    <row r="86" spans="1:13">
      <c r="A86" t="s">
        <v>251</v>
      </c>
      <c r="B86" t="s">
        <v>160</v>
      </c>
      <c r="C86" t="s">
        <v>67</v>
      </c>
      <c r="D86" t="s">
        <v>331</v>
      </c>
      <c r="E86">
        <v>1</v>
      </c>
      <c r="F86" t="s">
        <v>332</v>
      </c>
      <c r="G86" s="10">
        <v>45061</v>
      </c>
      <c r="H86">
        <v>0</v>
      </c>
      <c r="I86">
        <v>-25000</v>
      </c>
      <c r="J86" t="s">
        <v>250</v>
      </c>
      <c r="K86">
        <v>6</v>
      </c>
      <c r="L86" t="s">
        <v>24</v>
      </c>
      <c r="M86" t="s">
        <v>29</v>
      </c>
    </row>
    <row r="87" spans="1:13">
      <c r="A87" t="s">
        <v>261</v>
      </c>
      <c r="B87" t="s">
        <v>160</v>
      </c>
      <c r="C87" t="s">
        <v>67</v>
      </c>
      <c r="D87" t="s">
        <v>333</v>
      </c>
      <c r="E87">
        <v>1</v>
      </c>
      <c r="F87" t="s">
        <v>334</v>
      </c>
      <c r="G87" s="10">
        <v>45061</v>
      </c>
      <c r="H87">
        <v>38377.5</v>
      </c>
      <c r="I87">
        <v>13377.5</v>
      </c>
      <c r="J87" t="s">
        <v>250</v>
      </c>
      <c r="K87">
        <v>6</v>
      </c>
      <c r="L87" t="s">
        <v>24</v>
      </c>
      <c r="M87" t="s">
        <v>29</v>
      </c>
    </row>
    <row r="88" spans="1:13">
      <c r="A88" t="s">
        <v>256</v>
      </c>
      <c r="B88" t="s">
        <v>160</v>
      </c>
      <c r="C88" t="s">
        <v>67</v>
      </c>
      <c r="D88" t="s">
        <v>335</v>
      </c>
      <c r="E88">
        <v>1</v>
      </c>
      <c r="F88" t="s">
        <v>336</v>
      </c>
      <c r="G88" s="10">
        <v>45061</v>
      </c>
      <c r="H88">
        <v>38377.5</v>
      </c>
      <c r="I88">
        <v>13377.5</v>
      </c>
      <c r="J88" t="s">
        <v>250</v>
      </c>
      <c r="K88">
        <v>6</v>
      </c>
      <c r="L88" t="s">
        <v>24</v>
      </c>
      <c r="M88" t="s">
        <v>29</v>
      </c>
    </row>
    <row r="89" spans="1:13">
      <c r="A89" t="s">
        <v>251</v>
      </c>
      <c r="B89" t="s">
        <v>160</v>
      </c>
      <c r="C89" t="s">
        <v>67</v>
      </c>
      <c r="D89" t="s">
        <v>337</v>
      </c>
      <c r="E89">
        <v>1</v>
      </c>
      <c r="F89" t="s">
        <v>338</v>
      </c>
      <c r="G89" s="10">
        <v>45061</v>
      </c>
      <c r="H89">
        <v>38377.5</v>
      </c>
      <c r="I89">
        <v>13377.5</v>
      </c>
      <c r="J89" t="s">
        <v>250</v>
      </c>
      <c r="K89">
        <v>6</v>
      </c>
      <c r="L89" t="s">
        <v>24</v>
      </c>
      <c r="M89" t="s">
        <v>29</v>
      </c>
    </row>
    <row r="90" spans="1:13">
      <c r="A90" t="s">
        <v>275</v>
      </c>
      <c r="B90" t="s">
        <v>160</v>
      </c>
      <c r="C90" t="s">
        <v>67</v>
      </c>
      <c r="D90" t="s">
        <v>339</v>
      </c>
      <c r="E90">
        <v>1</v>
      </c>
      <c r="F90" t="s">
        <v>340</v>
      </c>
      <c r="G90" s="10">
        <v>45061</v>
      </c>
      <c r="H90">
        <v>38377.5</v>
      </c>
      <c r="I90">
        <v>13377.5</v>
      </c>
      <c r="J90" t="s">
        <v>250</v>
      </c>
      <c r="K90">
        <v>6</v>
      </c>
      <c r="L90" t="s">
        <v>24</v>
      </c>
      <c r="M90" t="s">
        <v>29</v>
      </c>
    </row>
    <row r="91" spans="1:13">
      <c r="A91" t="s">
        <v>341</v>
      </c>
      <c r="B91" t="s">
        <v>179</v>
      </c>
      <c r="C91" t="s">
        <v>45</v>
      </c>
      <c r="D91" t="s">
        <v>342</v>
      </c>
      <c r="E91">
        <v>2</v>
      </c>
      <c r="F91" t="s">
        <v>343</v>
      </c>
      <c r="G91" s="10">
        <v>45030</v>
      </c>
      <c r="H91">
        <v>436800</v>
      </c>
      <c r="I91">
        <v>103467</v>
      </c>
      <c r="J91" t="s">
        <v>189</v>
      </c>
      <c r="K91">
        <v>6</v>
      </c>
      <c r="L91" t="s">
        <v>44</v>
      </c>
      <c r="M91" t="s">
        <v>45</v>
      </c>
    </row>
    <row r="92" spans="1:13">
      <c r="A92" t="s">
        <v>261</v>
      </c>
      <c r="B92" t="s">
        <v>160</v>
      </c>
      <c r="C92" t="s">
        <v>67</v>
      </c>
      <c r="D92" t="s">
        <v>344</v>
      </c>
      <c r="E92">
        <v>1</v>
      </c>
      <c r="F92" t="s">
        <v>345</v>
      </c>
      <c r="G92" s="10">
        <v>45061</v>
      </c>
      <c r="H92">
        <v>38377.5</v>
      </c>
      <c r="I92">
        <v>13377.5</v>
      </c>
      <c r="J92" t="s">
        <v>250</v>
      </c>
      <c r="K92">
        <v>6</v>
      </c>
      <c r="L92" t="s">
        <v>24</v>
      </c>
      <c r="M92" t="s">
        <v>29</v>
      </c>
    </row>
    <row r="93" spans="1:13">
      <c r="A93" t="s">
        <v>65</v>
      </c>
      <c r="B93" t="s">
        <v>66</v>
      </c>
      <c r="C93" t="s">
        <v>67</v>
      </c>
      <c r="D93" t="s">
        <v>346</v>
      </c>
      <c r="E93">
        <v>6</v>
      </c>
      <c r="F93" t="s">
        <v>347</v>
      </c>
      <c r="G93" s="10">
        <v>45026</v>
      </c>
      <c r="H93">
        <v>34375</v>
      </c>
      <c r="I93">
        <v>6875</v>
      </c>
      <c r="J93" t="s">
        <v>70</v>
      </c>
      <c r="K93">
        <v>5</v>
      </c>
      <c r="L93" t="s">
        <v>35</v>
      </c>
      <c r="M93" t="s">
        <v>36</v>
      </c>
    </row>
    <row r="94" spans="1:13">
      <c r="A94" t="s">
        <v>348</v>
      </c>
      <c r="B94" t="s">
        <v>349</v>
      </c>
      <c r="C94" t="s">
        <v>350</v>
      </c>
      <c r="D94" t="s">
        <v>351</v>
      </c>
      <c r="E94">
        <v>6</v>
      </c>
      <c r="F94" t="s">
        <v>352</v>
      </c>
      <c r="G94" s="10">
        <v>45026</v>
      </c>
      <c r="H94">
        <v>34375</v>
      </c>
      <c r="I94">
        <v>6875</v>
      </c>
      <c r="J94" t="s">
        <v>70</v>
      </c>
      <c r="K94">
        <v>6</v>
      </c>
      <c r="L94" t="s">
        <v>35</v>
      </c>
      <c r="M94" t="s">
        <v>36</v>
      </c>
    </row>
    <row r="95" spans="1:13">
      <c r="A95" t="s">
        <v>140</v>
      </c>
      <c r="B95" t="s">
        <v>141</v>
      </c>
      <c r="C95" t="s">
        <v>67</v>
      </c>
      <c r="D95" t="s">
        <v>353</v>
      </c>
      <c r="E95">
        <v>1</v>
      </c>
      <c r="F95" t="s">
        <v>354</v>
      </c>
      <c r="G95" s="10">
        <v>45033</v>
      </c>
      <c r="H95">
        <v>52500</v>
      </c>
      <c r="I95">
        <v>6667</v>
      </c>
      <c r="J95" t="s">
        <v>144</v>
      </c>
      <c r="K95">
        <v>5</v>
      </c>
      <c r="L95" t="s">
        <v>38</v>
      </c>
      <c r="M95" t="s">
        <v>25</v>
      </c>
    </row>
    <row r="96" spans="1:13">
      <c r="A96" t="s">
        <v>355</v>
      </c>
      <c r="B96" t="s">
        <v>356</v>
      </c>
      <c r="C96" t="s">
        <v>357</v>
      </c>
      <c r="D96" t="s">
        <v>358</v>
      </c>
      <c r="E96">
        <v>2</v>
      </c>
      <c r="F96" t="s">
        <v>359</v>
      </c>
      <c r="G96" s="10">
        <v>45026</v>
      </c>
      <c r="H96">
        <v>110000</v>
      </c>
      <c r="I96">
        <v>5834</v>
      </c>
      <c r="J96" t="s">
        <v>360</v>
      </c>
      <c r="K96">
        <v>5</v>
      </c>
      <c r="L96" t="s">
        <v>44</v>
      </c>
      <c r="M96" t="s">
        <v>45</v>
      </c>
    </row>
    <row r="97" spans="1:13">
      <c r="A97" t="s">
        <v>361</v>
      </c>
      <c r="B97" t="s">
        <v>72</v>
      </c>
      <c r="C97" t="s">
        <v>67</v>
      </c>
      <c r="D97" t="s">
        <v>362</v>
      </c>
      <c r="E97">
        <v>1</v>
      </c>
      <c r="F97" t="s">
        <v>363</v>
      </c>
      <c r="G97" s="10">
        <v>45033</v>
      </c>
      <c r="H97">
        <v>42483</v>
      </c>
      <c r="I97">
        <v>8317</v>
      </c>
      <c r="J97" t="s">
        <v>75</v>
      </c>
      <c r="K97">
        <v>6</v>
      </c>
      <c r="L97" t="s">
        <v>35</v>
      </c>
      <c r="M97" t="s">
        <v>29</v>
      </c>
    </row>
    <row r="98" spans="1:13">
      <c r="A98" t="s">
        <v>361</v>
      </c>
      <c r="B98" t="s">
        <v>72</v>
      </c>
      <c r="C98" t="s">
        <v>67</v>
      </c>
      <c r="D98" t="s">
        <v>364</v>
      </c>
      <c r="E98">
        <v>1</v>
      </c>
      <c r="F98" t="s">
        <v>365</v>
      </c>
      <c r="G98" s="10">
        <v>45061</v>
      </c>
      <c r="H98">
        <v>0</v>
      </c>
      <c r="I98">
        <v>-25000</v>
      </c>
      <c r="J98" t="s">
        <v>250</v>
      </c>
      <c r="K98">
        <v>6</v>
      </c>
      <c r="L98" t="s">
        <v>24</v>
      </c>
      <c r="M98" t="s">
        <v>29</v>
      </c>
    </row>
    <row r="99" spans="1:13">
      <c r="A99" t="s">
        <v>170</v>
      </c>
      <c r="B99" t="s">
        <v>66</v>
      </c>
      <c r="C99" t="s">
        <v>67</v>
      </c>
      <c r="D99" t="s">
        <v>366</v>
      </c>
      <c r="E99">
        <v>6</v>
      </c>
      <c r="F99" t="s">
        <v>367</v>
      </c>
      <c r="G99" s="10">
        <v>45026</v>
      </c>
      <c r="H99">
        <v>34375</v>
      </c>
      <c r="I99">
        <v>6875</v>
      </c>
      <c r="J99" t="s">
        <v>70</v>
      </c>
      <c r="K99">
        <v>5</v>
      </c>
      <c r="L99" t="s">
        <v>35</v>
      </c>
      <c r="M99" t="s">
        <v>36</v>
      </c>
    </row>
    <row r="100" spans="1:13">
      <c r="A100" t="s">
        <v>175</v>
      </c>
      <c r="B100" t="s">
        <v>66</v>
      </c>
      <c r="C100" t="s">
        <v>67</v>
      </c>
      <c r="D100" t="s">
        <v>368</v>
      </c>
      <c r="E100">
        <v>6</v>
      </c>
      <c r="F100" t="s">
        <v>369</v>
      </c>
      <c r="G100" s="10">
        <v>45026</v>
      </c>
      <c r="H100">
        <v>34375</v>
      </c>
      <c r="I100">
        <v>6875</v>
      </c>
      <c r="J100" t="s">
        <v>70</v>
      </c>
      <c r="K100">
        <v>5</v>
      </c>
      <c r="L100" t="s">
        <v>35</v>
      </c>
      <c r="M100" t="s">
        <v>36</v>
      </c>
    </row>
    <row r="101" spans="1:13">
      <c r="A101" t="s">
        <v>211</v>
      </c>
      <c r="B101" t="s">
        <v>179</v>
      </c>
      <c r="C101" t="s">
        <v>45</v>
      </c>
      <c r="D101" t="s">
        <v>370</v>
      </c>
      <c r="E101">
        <v>4</v>
      </c>
      <c r="F101" t="s">
        <v>371</v>
      </c>
      <c r="G101" s="10">
        <v>45022</v>
      </c>
      <c r="H101">
        <v>336000</v>
      </c>
      <c r="I101">
        <v>161000</v>
      </c>
      <c r="J101" t="s">
        <v>182</v>
      </c>
      <c r="K101">
        <v>6</v>
      </c>
      <c r="L101" t="s">
        <v>44</v>
      </c>
      <c r="M101" t="s">
        <v>45</v>
      </c>
    </row>
    <row r="102" spans="1:13">
      <c r="A102" t="s">
        <v>372</v>
      </c>
      <c r="B102" t="s">
        <v>372</v>
      </c>
      <c r="C102" t="s">
        <v>28</v>
      </c>
      <c r="D102" t="s">
        <v>373</v>
      </c>
      <c r="E102">
        <v>2</v>
      </c>
      <c r="F102" t="s">
        <v>374</v>
      </c>
      <c r="G102" s="10">
        <v>45131</v>
      </c>
      <c r="H102">
        <v>80938</v>
      </c>
      <c r="I102">
        <v>3854.67</v>
      </c>
      <c r="J102" t="s">
        <v>375</v>
      </c>
      <c r="K102">
        <v>6</v>
      </c>
      <c r="L102" t="s">
        <v>24</v>
      </c>
      <c r="M102" s="5" t="s">
        <v>28</v>
      </c>
    </row>
    <row r="103" spans="1:13">
      <c r="A103" t="s">
        <v>376</v>
      </c>
      <c r="B103" t="s">
        <v>66</v>
      </c>
      <c r="C103" t="s">
        <v>67</v>
      </c>
      <c r="D103" t="s">
        <v>377</v>
      </c>
      <c r="E103">
        <v>6</v>
      </c>
      <c r="F103" t="s">
        <v>378</v>
      </c>
      <c r="G103" s="10">
        <v>45026</v>
      </c>
      <c r="H103">
        <v>34375</v>
      </c>
      <c r="I103">
        <v>6875</v>
      </c>
      <c r="J103" t="s">
        <v>70</v>
      </c>
      <c r="K103">
        <v>6</v>
      </c>
      <c r="L103" t="s">
        <v>35</v>
      </c>
      <c r="M103" t="s">
        <v>36</v>
      </c>
    </row>
    <row r="104" spans="1:13">
      <c r="A104" t="s">
        <v>379</v>
      </c>
      <c r="B104" t="s">
        <v>179</v>
      </c>
      <c r="C104" t="s">
        <v>45</v>
      </c>
      <c r="D104" t="s">
        <v>380</v>
      </c>
      <c r="E104">
        <v>2</v>
      </c>
      <c r="F104" t="s">
        <v>381</v>
      </c>
      <c r="G104" s="10">
        <v>45028</v>
      </c>
      <c r="H104">
        <v>268800</v>
      </c>
      <c r="I104">
        <v>106300</v>
      </c>
      <c r="J104" t="s">
        <v>189</v>
      </c>
      <c r="K104">
        <v>5</v>
      </c>
      <c r="L104" t="s">
        <v>44</v>
      </c>
      <c r="M104" t="s">
        <v>45</v>
      </c>
    </row>
    <row r="105" spans="1:13">
      <c r="A105" t="s">
        <v>382</v>
      </c>
      <c r="B105" t="s">
        <v>141</v>
      </c>
      <c r="C105" t="s">
        <v>67</v>
      </c>
      <c r="D105" t="s">
        <v>383</v>
      </c>
      <c r="E105">
        <v>1</v>
      </c>
      <c r="F105" t="s">
        <v>384</v>
      </c>
      <c r="G105" s="10">
        <v>45061</v>
      </c>
      <c r="H105">
        <v>38377.5</v>
      </c>
      <c r="I105">
        <v>13377.5</v>
      </c>
      <c r="J105" t="s">
        <v>250</v>
      </c>
      <c r="K105">
        <v>6</v>
      </c>
      <c r="L105" t="s">
        <v>24</v>
      </c>
      <c r="M105" t="s">
        <v>29</v>
      </c>
    </row>
    <row r="106" spans="1:13">
      <c r="A106" t="s">
        <v>256</v>
      </c>
      <c r="B106" t="s">
        <v>160</v>
      </c>
      <c r="C106" t="s">
        <v>67</v>
      </c>
      <c r="D106" t="s">
        <v>385</v>
      </c>
      <c r="E106">
        <v>1</v>
      </c>
      <c r="F106" t="s">
        <v>386</v>
      </c>
      <c r="G106" s="10">
        <v>45061</v>
      </c>
      <c r="H106">
        <v>38377.5</v>
      </c>
      <c r="I106">
        <v>13377.5</v>
      </c>
      <c r="J106" t="s">
        <v>250</v>
      </c>
      <c r="K106">
        <v>6</v>
      </c>
      <c r="L106" t="s">
        <v>24</v>
      </c>
      <c r="M106" t="s">
        <v>29</v>
      </c>
    </row>
    <row r="107" spans="1:13">
      <c r="A107" t="s">
        <v>76</v>
      </c>
      <c r="B107" t="s">
        <v>72</v>
      </c>
      <c r="C107" t="s">
        <v>67</v>
      </c>
      <c r="D107" t="s">
        <v>387</v>
      </c>
      <c r="E107">
        <v>1</v>
      </c>
      <c r="F107" t="s">
        <v>388</v>
      </c>
      <c r="G107" s="10">
        <v>45061</v>
      </c>
      <c r="H107">
        <v>38377.5</v>
      </c>
      <c r="I107">
        <v>13377.5</v>
      </c>
      <c r="J107" t="s">
        <v>250</v>
      </c>
      <c r="K107">
        <v>6</v>
      </c>
      <c r="L107" t="s">
        <v>24</v>
      </c>
      <c r="M107" t="s">
        <v>29</v>
      </c>
    </row>
    <row r="108" spans="1:13">
      <c r="A108" t="s">
        <v>389</v>
      </c>
      <c r="B108" t="s">
        <v>66</v>
      </c>
      <c r="C108" t="s">
        <v>67</v>
      </c>
      <c r="D108" t="s">
        <v>390</v>
      </c>
      <c r="E108">
        <v>6</v>
      </c>
      <c r="F108" t="s">
        <v>391</v>
      </c>
      <c r="G108" s="10">
        <v>45026</v>
      </c>
      <c r="H108">
        <v>34375</v>
      </c>
      <c r="I108">
        <v>6875</v>
      </c>
      <c r="J108" t="s">
        <v>70</v>
      </c>
      <c r="K108">
        <v>6</v>
      </c>
      <c r="L108" t="s">
        <v>35</v>
      </c>
      <c r="M108" t="s">
        <v>36</v>
      </c>
    </row>
    <row r="109" spans="1:13">
      <c r="A109" t="s">
        <v>392</v>
      </c>
      <c r="B109" t="s">
        <v>41</v>
      </c>
      <c r="C109" t="s">
        <v>42</v>
      </c>
      <c r="D109" t="s">
        <v>393</v>
      </c>
      <c r="E109">
        <v>2</v>
      </c>
      <c r="F109" t="s">
        <v>394</v>
      </c>
      <c r="G109" s="10">
        <v>45033</v>
      </c>
      <c r="H109">
        <v>140700</v>
      </c>
      <c r="I109">
        <v>24034</v>
      </c>
      <c r="J109" t="s">
        <v>97</v>
      </c>
      <c r="K109">
        <v>6</v>
      </c>
      <c r="L109" t="s">
        <v>41</v>
      </c>
      <c r="M109" t="s">
        <v>42</v>
      </c>
    </row>
    <row r="110" spans="1:13">
      <c r="A110" t="s">
        <v>65</v>
      </c>
      <c r="B110" t="s">
        <v>66</v>
      </c>
      <c r="C110" t="s">
        <v>67</v>
      </c>
      <c r="D110" t="s">
        <v>395</v>
      </c>
      <c r="E110">
        <v>6</v>
      </c>
      <c r="F110" t="s">
        <v>396</v>
      </c>
      <c r="G110" s="10">
        <v>45026</v>
      </c>
      <c r="H110">
        <v>34375</v>
      </c>
      <c r="I110">
        <v>6875</v>
      </c>
      <c r="J110" t="s">
        <v>70</v>
      </c>
      <c r="K110">
        <v>6</v>
      </c>
      <c r="L110" t="s">
        <v>35</v>
      </c>
      <c r="M110" t="s">
        <v>36</v>
      </c>
    </row>
    <row r="111" spans="1:13">
      <c r="A111" t="s">
        <v>141</v>
      </c>
      <c r="B111" t="s">
        <v>27</v>
      </c>
      <c r="C111" t="s">
        <v>27</v>
      </c>
      <c r="D111" t="s">
        <v>397</v>
      </c>
      <c r="E111">
        <v>1</v>
      </c>
      <c r="F111" t="s">
        <v>398</v>
      </c>
      <c r="G111" s="10">
        <v>45054</v>
      </c>
      <c r="H111">
        <v>52500</v>
      </c>
      <c r="I111">
        <v>6667</v>
      </c>
      <c r="J111" t="s">
        <v>144</v>
      </c>
      <c r="K111">
        <v>6</v>
      </c>
      <c r="L111" t="s">
        <v>38</v>
      </c>
      <c r="M111" t="s">
        <v>25</v>
      </c>
    </row>
    <row r="112" spans="1:13">
      <c r="A112" t="s">
        <v>399</v>
      </c>
      <c r="B112" t="s">
        <v>231</v>
      </c>
      <c r="C112" t="s">
        <v>400</v>
      </c>
      <c r="D112" t="s">
        <v>401</v>
      </c>
      <c r="E112">
        <v>2</v>
      </c>
      <c r="F112" t="s">
        <v>402</v>
      </c>
      <c r="G112" s="10">
        <v>45034</v>
      </c>
      <c r="H112">
        <v>45000</v>
      </c>
      <c r="I112">
        <v>2500</v>
      </c>
      <c r="J112" t="s">
        <v>227</v>
      </c>
      <c r="K112">
        <v>6</v>
      </c>
      <c r="L112" t="s">
        <v>41</v>
      </c>
      <c r="M112" t="s">
        <v>42</v>
      </c>
    </row>
    <row r="113" spans="1:13">
      <c r="A113" t="s">
        <v>361</v>
      </c>
      <c r="B113" t="s">
        <v>72</v>
      </c>
      <c r="C113" t="s">
        <v>67</v>
      </c>
      <c r="D113" t="s">
        <v>403</v>
      </c>
      <c r="E113">
        <v>1</v>
      </c>
      <c r="F113" t="s">
        <v>404</v>
      </c>
      <c r="G113" s="10">
        <v>45061</v>
      </c>
      <c r="H113">
        <v>38377.5</v>
      </c>
      <c r="I113">
        <v>13377.5</v>
      </c>
      <c r="J113" t="s">
        <v>250</v>
      </c>
      <c r="K113">
        <v>6</v>
      </c>
      <c r="L113" t="s">
        <v>24</v>
      </c>
      <c r="M113" t="s">
        <v>29</v>
      </c>
    </row>
    <row r="114" spans="1:13">
      <c r="A114" t="s">
        <v>361</v>
      </c>
      <c r="B114" t="s">
        <v>72</v>
      </c>
      <c r="C114" t="s">
        <v>67</v>
      </c>
      <c r="D114" t="s">
        <v>405</v>
      </c>
      <c r="E114">
        <v>1</v>
      </c>
      <c r="F114" t="s">
        <v>406</v>
      </c>
      <c r="G114" s="10">
        <v>45061</v>
      </c>
      <c r="H114">
        <v>38377.5</v>
      </c>
      <c r="I114">
        <v>13377.5</v>
      </c>
      <c r="J114" t="s">
        <v>250</v>
      </c>
      <c r="K114">
        <v>6</v>
      </c>
      <c r="L114" t="s">
        <v>24</v>
      </c>
      <c r="M114" t="s">
        <v>29</v>
      </c>
    </row>
    <row r="115" spans="1:13">
      <c r="A115" t="s">
        <v>71</v>
      </c>
      <c r="B115" t="s">
        <v>72</v>
      </c>
      <c r="C115" t="s">
        <v>67</v>
      </c>
      <c r="D115" t="s">
        <v>407</v>
      </c>
      <c r="E115">
        <v>1</v>
      </c>
      <c r="F115" t="s">
        <v>408</v>
      </c>
      <c r="G115" s="10">
        <v>45061</v>
      </c>
      <c r="H115">
        <v>38377.5</v>
      </c>
      <c r="I115">
        <v>13377.5</v>
      </c>
      <c r="J115" t="s">
        <v>250</v>
      </c>
      <c r="K115">
        <v>6</v>
      </c>
      <c r="L115" t="s">
        <v>24</v>
      </c>
      <c r="M115" t="s">
        <v>29</v>
      </c>
    </row>
    <row r="116" spans="1:13">
      <c r="A116" t="s">
        <v>76</v>
      </c>
      <c r="B116" t="s">
        <v>72</v>
      </c>
      <c r="C116" t="s">
        <v>67</v>
      </c>
      <c r="D116" t="s">
        <v>409</v>
      </c>
      <c r="E116">
        <v>1</v>
      </c>
      <c r="F116" t="s">
        <v>410</v>
      </c>
      <c r="G116" s="10">
        <v>45061</v>
      </c>
      <c r="H116">
        <v>38377.5</v>
      </c>
      <c r="I116">
        <v>13377.5</v>
      </c>
      <c r="J116" t="s">
        <v>250</v>
      </c>
      <c r="K116">
        <v>6</v>
      </c>
      <c r="L116" t="s">
        <v>24</v>
      </c>
      <c r="M116" t="s">
        <v>29</v>
      </c>
    </row>
    <row r="117" spans="1:13">
      <c r="A117" t="s">
        <v>76</v>
      </c>
      <c r="B117" t="s">
        <v>72</v>
      </c>
      <c r="C117" t="s">
        <v>67</v>
      </c>
      <c r="D117" t="s">
        <v>411</v>
      </c>
      <c r="E117">
        <v>1</v>
      </c>
      <c r="F117" t="s">
        <v>412</v>
      </c>
      <c r="G117" s="10">
        <v>45061</v>
      </c>
      <c r="H117">
        <v>38377.5</v>
      </c>
      <c r="I117">
        <v>13377.5</v>
      </c>
      <c r="J117" t="s">
        <v>250</v>
      </c>
      <c r="K117">
        <v>6</v>
      </c>
      <c r="L117" t="s">
        <v>24</v>
      </c>
      <c r="M117" t="s">
        <v>29</v>
      </c>
    </row>
    <row r="118" spans="1:13">
      <c r="A118" t="s">
        <v>76</v>
      </c>
      <c r="B118" t="s">
        <v>72</v>
      </c>
      <c r="C118" t="s">
        <v>67</v>
      </c>
      <c r="D118" t="s">
        <v>413</v>
      </c>
      <c r="E118">
        <v>1</v>
      </c>
      <c r="F118" t="s">
        <v>414</v>
      </c>
      <c r="G118" s="10">
        <v>45061</v>
      </c>
      <c r="H118">
        <v>38377.5</v>
      </c>
      <c r="I118">
        <v>13377.5</v>
      </c>
      <c r="J118" t="s">
        <v>250</v>
      </c>
      <c r="K118">
        <v>6</v>
      </c>
      <c r="L118" t="s">
        <v>24</v>
      </c>
      <c r="M118" t="s">
        <v>29</v>
      </c>
    </row>
    <row r="119" spans="1:13">
      <c r="A119" t="s">
        <v>341</v>
      </c>
      <c r="B119" t="s">
        <v>179</v>
      </c>
      <c r="C119" t="s">
        <v>45</v>
      </c>
      <c r="D119" t="s">
        <v>415</v>
      </c>
      <c r="E119">
        <v>2</v>
      </c>
      <c r="F119" t="s">
        <v>416</v>
      </c>
      <c r="G119" s="10">
        <v>45028</v>
      </c>
      <c r="H119">
        <v>336000</v>
      </c>
      <c r="I119">
        <v>94334</v>
      </c>
      <c r="J119" t="s">
        <v>189</v>
      </c>
      <c r="K119">
        <v>6</v>
      </c>
      <c r="L119" t="s">
        <v>44</v>
      </c>
      <c r="M119" t="s">
        <v>45</v>
      </c>
    </row>
    <row r="120" spans="1:13">
      <c r="A120" t="s">
        <v>361</v>
      </c>
      <c r="B120" t="s">
        <v>72</v>
      </c>
      <c r="C120" t="s">
        <v>67</v>
      </c>
      <c r="D120" t="s">
        <v>417</v>
      </c>
      <c r="E120">
        <v>1</v>
      </c>
      <c r="F120" t="s">
        <v>418</v>
      </c>
      <c r="G120" s="10">
        <v>45061</v>
      </c>
      <c r="H120">
        <v>38377.5</v>
      </c>
      <c r="I120">
        <v>13377.5</v>
      </c>
      <c r="J120" t="s">
        <v>250</v>
      </c>
      <c r="K120">
        <v>6</v>
      </c>
      <c r="L120" t="s">
        <v>24</v>
      </c>
      <c r="M120" t="s">
        <v>29</v>
      </c>
    </row>
    <row r="121" spans="1:13">
      <c r="A121" t="s">
        <v>71</v>
      </c>
      <c r="B121" t="s">
        <v>72</v>
      </c>
      <c r="C121" t="s">
        <v>67</v>
      </c>
      <c r="D121" t="s">
        <v>419</v>
      </c>
      <c r="E121">
        <v>1</v>
      </c>
      <c r="F121" t="s">
        <v>420</v>
      </c>
      <c r="G121" s="10">
        <v>45061</v>
      </c>
      <c r="H121">
        <v>38377.5</v>
      </c>
      <c r="I121">
        <v>13377.5</v>
      </c>
      <c r="J121" t="s">
        <v>250</v>
      </c>
      <c r="K121">
        <v>6</v>
      </c>
      <c r="L121" t="s">
        <v>24</v>
      </c>
      <c r="M121" t="s">
        <v>29</v>
      </c>
    </row>
    <row r="122" spans="1:13">
      <c r="A122" t="s">
        <v>89</v>
      </c>
      <c r="B122" t="s">
        <v>72</v>
      </c>
      <c r="C122" t="s">
        <v>67</v>
      </c>
      <c r="D122" t="s">
        <v>421</v>
      </c>
      <c r="E122">
        <v>1</v>
      </c>
      <c r="F122" t="s">
        <v>422</v>
      </c>
      <c r="G122" s="10">
        <v>45061</v>
      </c>
      <c r="H122">
        <v>38377.5</v>
      </c>
      <c r="I122">
        <v>13377.5</v>
      </c>
      <c r="J122" t="s">
        <v>250</v>
      </c>
      <c r="K122">
        <v>6</v>
      </c>
      <c r="L122" t="s">
        <v>24</v>
      </c>
      <c r="M122" t="s">
        <v>29</v>
      </c>
    </row>
    <row r="123" spans="1:13">
      <c r="A123" t="s">
        <v>190</v>
      </c>
      <c r="B123" t="s">
        <v>160</v>
      </c>
      <c r="C123" t="s">
        <v>67</v>
      </c>
      <c r="D123" t="s">
        <v>423</v>
      </c>
      <c r="E123">
        <v>2</v>
      </c>
      <c r="F123" t="s">
        <v>424</v>
      </c>
      <c r="G123" s="10">
        <v>45027</v>
      </c>
      <c r="H123">
        <v>48000</v>
      </c>
      <c r="I123">
        <v>8000</v>
      </c>
      <c r="J123" t="s">
        <v>163</v>
      </c>
      <c r="K123">
        <v>6</v>
      </c>
      <c r="L123" t="s">
        <v>35</v>
      </c>
      <c r="M123" t="s">
        <v>27</v>
      </c>
    </row>
    <row r="124" spans="1:13">
      <c r="A124" t="s">
        <v>197</v>
      </c>
      <c r="B124" t="s">
        <v>160</v>
      </c>
      <c r="C124" t="s">
        <v>67</v>
      </c>
      <c r="D124" t="s">
        <v>425</v>
      </c>
      <c r="E124">
        <v>2</v>
      </c>
      <c r="F124" t="s">
        <v>426</v>
      </c>
      <c r="G124" s="10">
        <v>45027</v>
      </c>
      <c r="H124">
        <v>17400</v>
      </c>
      <c r="I124">
        <v>2400</v>
      </c>
      <c r="J124" t="s">
        <v>193</v>
      </c>
      <c r="K124">
        <v>6</v>
      </c>
      <c r="L124" t="s">
        <v>35</v>
      </c>
      <c r="M124" t="s">
        <v>27</v>
      </c>
    </row>
    <row r="125" spans="1:13">
      <c r="A125" t="s">
        <v>197</v>
      </c>
      <c r="B125" t="s">
        <v>160</v>
      </c>
      <c r="C125" t="s">
        <v>67</v>
      </c>
      <c r="D125" t="s">
        <v>427</v>
      </c>
      <c r="E125">
        <v>2</v>
      </c>
      <c r="F125" t="s">
        <v>428</v>
      </c>
      <c r="G125" s="10">
        <v>45040</v>
      </c>
      <c r="H125">
        <v>17400</v>
      </c>
      <c r="I125">
        <v>2400</v>
      </c>
      <c r="J125" t="s">
        <v>193</v>
      </c>
      <c r="K125">
        <v>6</v>
      </c>
      <c r="L125" t="s">
        <v>35</v>
      </c>
      <c r="M125" t="s">
        <v>27</v>
      </c>
    </row>
    <row r="126" spans="1:13">
      <c r="A126" t="s">
        <v>197</v>
      </c>
      <c r="B126" t="s">
        <v>160</v>
      </c>
      <c r="C126" t="s">
        <v>67</v>
      </c>
      <c r="D126" t="s">
        <v>429</v>
      </c>
      <c r="E126">
        <v>2</v>
      </c>
      <c r="F126" t="s">
        <v>430</v>
      </c>
      <c r="G126" s="10">
        <v>45040</v>
      </c>
      <c r="H126">
        <v>17400</v>
      </c>
      <c r="I126">
        <v>2400</v>
      </c>
      <c r="J126" t="s">
        <v>193</v>
      </c>
      <c r="K126">
        <v>5</v>
      </c>
      <c r="L126" t="s">
        <v>35</v>
      </c>
      <c r="M126" t="s">
        <v>27</v>
      </c>
    </row>
    <row r="127" spans="1:13">
      <c r="A127" t="s">
        <v>431</v>
      </c>
      <c r="B127" t="s">
        <v>160</v>
      </c>
      <c r="C127" t="s">
        <v>67</v>
      </c>
      <c r="D127" t="s">
        <v>432</v>
      </c>
      <c r="E127">
        <v>2</v>
      </c>
      <c r="F127" t="s">
        <v>433</v>
      </c>
      <c r="G127" s="10">
        <v>45040</v>
      </c>
      <c r="H127">
        <v>17400</v>
      </c>
      <c r="I127">
        <v>2400</v>
      </c>
      <c r="J127" t="s">
        <v>193</v>
      </c>
      <c r="K127">
        <v>5</v>
      </c>
      <c r="L127" t="s">
        <v>35</v>
      </c>
      <c r="M127" t="s">
        <v>27</v>
      </c>
    </row>
    <row r="128" spans="1:13">
      <c r="A128" t="s">
        <v>431</v>
      </c>
      <c r="B128" t="s">
        <v>160</v>
      </c>
      <c r="C128" t="s">
        <v>67</v>
      </c>
      <c r="D128" t="s">
        <v>434</v>
      </c>
      <c r="E128">
        <v>2</v>
      </c>
      <c r="F128" t="s">
        <v>435</v>
      </c>
      <c r="G128" s="10">
        <v>45044</v>
      </c>
      <c r="H128">
        <v>48000</v>
      </c>
      <c r="I128">
        <v>8000</v>
      </c>
      <c r="J128" t="s">
        <v>163</v>
      </c>
      <c r="K128">
        <v>6</v>
      </c>
      <c r="L128" t="s">
        <v>35</v>
      </c>
      <c r="M128" t="s">
        <v>27</v>
      </c>
    </row>
    <row r="129" spans="1:13">
      <c r="A129" t="s">
        <v>389</v>
      </c>
      <c r="B129" t="s">
        <v>66</v>
      </c>
      <c r="C129" t="s">
        <v>67</v>
      </c>
      <c r="D129" t="s">
        <v>436</v>
      </c>
      <c r="E129">
        <v>6</v>
      </c>
      <c r="F129" t="s">
        <v>437</v>
      </c>
      <c r="G129" s="10">
        <v>45026</v>
      </c>
      <c r="H129">
        <v>34375</v>
      </c>
      <c r="I129">
        <v>6875</v>
      </c>
      <c r="J129" t="s">
        <v>70</v>
      </c>
      <c r="K129">
        <v>5</v>
      </c>
      <c r="L129" t="s">
        <v>35</v>
      </c>
      <c r="M129" t="s">
        <v>36</v>
      </c>
    </row>
    <row r="130" spans="1:13">
      <c r="A130" t="s">
        <v>438</v>
      </c>
      <c r="B130" t="s">
        <v>43</v>
      </c>
      <c r="C130" t="s">
        <v>94</v>
      </c>
      <c r="D130" t="s">
        <v>439</v>
      </c>
      <c r="E130">
        <v>1</v>
      </c>
      <c r="F130" t="s">
        <v>440</v>
      </c>
      <c r="G130" s="10">
        <v>45061</v>
      </c>
      <c r="H130">
        <v>38377.5</v>
      </c>
      <c r="I130">
        <v>13377.5</v>
      </c>
      <c r="J130" t="s">
        <v>441</v>
      </c>
      <c r="K130">
        <v>6</v>
      </c>
      <c r="L130" t="s">
        <v>24</v>
      </c>
      <c r="M130" t="s">
        <v>29</v>
      </c>
    </row>
    <row r="131" spans="1:13">
      <c r="A131" t="s">
        <v>442</v>
      </c>
      <c r="B131" t="s">
        <v>43</v>
      </c>
      <c r="C131" t="s">
        <v>94</v>
      </c>
      <c r="D131" t="s">
        <v>443</v>
      </c>
      <c r="E131">
        <v>1</v>
      </c>
      <c r="F131" t="s">
        <v>444</v>
      </c>
      <c r="G131" s="10">
        <v>45061</v>
      </c>
      <c r="H131">
        <v>38377.5</v>
      </c>
      <c r="I131">
        <v>13377.5</v>
      </c>
      <c r="J131" t="s">
        <v>441</v>
      </c>
      <c r="K131">
        <v>6</v>
      </c>
      <c r="L131" t="s">
        <v>24</v>
      </c>
      <c r="M131" t="s">
        <v>29</v>
      </c>
    </row>
    <row r="132" spans="1:13">
      <c r="A132" t="s">
        <v>445</v>
      </c>
      <c r="B132" t="s">
        <v>43</v>
      </c>
      <c r="C132" t="s">
        <v>94</v>
      </c>
      <c r="D132" t="s">
        <v>446</v>
      </c>
      <c r="E132">
        <v>1</v>
      </c>
      <c r="F132" t="s">
        <v>447</v>
      </c>
      <c r="G132" s="10">
        <v>45061</v>
      </c>
      <c r="H132">
        <v>0</v>
      </c>
      <c r="I132">
        <v>-25000</v>
      </c>
      <c r="J132" t="s">
        <v>441</v>
      </c>
      <c r="K132">
        <v>6</v>
      </c>
      <c r="L132" t="s">
        <v>24</v>
      </c>
      <c r="M132" t="s">
        <v>29</v>
      </c>
    </row>
    <row r="133" spans="1:13">
      <c r="A133" t="s">
        <v>256</v>
      </c>
      <c r="B133" t="s">
        <v>160</v>
      </c>
      <c r="C133" t="s">
        <v>67</v>
      </c>
      <c r="D133" t="s">
        <v>448</v>
      </c>
      <c r="E133">
        <v>1</v>
      </c>
      <c r="F133" t="s">
        <v>449</v>
      </c>
      <c r="G133" s="10">
        <v>45061</v>
      </c>
      <c r="H133">
        <v>38377.5</v>
      </c>
      <c r="I133">
        <v>13377.5</v>
      </c>
      <c r="J133" t="s">
        <v>250</v>
      </c>
      <c r="K133">
        <v>6</v>
      </c>
      <c r="L133" t="s">
        <v>24</v>
      </c>
      <c r="M133" t="s">
        <v>29</v>
      </c>
    </row>
    <row r="134" spans="1:13">
      <c r="A134" t="s">
        <v>341</v>
      </c>
      <c r="B134" t="s">
        <v>179</v>
      </c>
      <c r="C134" t="s">
        <v>45</v>
      </c>
      <c r="D134" t="s">
        <v>450</v>
      </c>
      <c r="E134">
        <v>2</v>
      </c>
      <c r="F134" t="s">
        <v>451</v>
      </c>
      <c r="G134" s="10">
        <v>45033</v>
      </c>
      <c r="H134">
        <v>285600</v>
      </c>
      <c r="I134">
        <v>85600</v>
      </c>
      <c r="J134" t="s">
        <v>182</v>
      </c>
      <c r="K134">
        <v>6</v>
      </c>
      <c r="L134" t="s">
        <v>44</v>
      </c>
      <c r="M134" t="s">
        <v>45</v>
      </c>
    </row>
    <row r="135" spans="1:13">
      <c r="A135" t="s">
        <v>194</v>
      </c>
      <c r="B135" t="s">
        <v>160</v>
      </c>
      <c r="C135" t="s">
        <v>67</v>
      </c>
      <c r="D135" t="s">
        <v>452</v>
      </c>
      <c r="E135">
        <v>1</v>
      </c>
      <c r="F135" t="s">
        <v>453</v>
      </c>
      <c r="G135" s="10">
        <v>45061</v>
      </c>
      <c r="H135">
        <v>38377.5</v>
      </c>
      <c r="I135">
        <v>13377.5</v>
      </c>
      <c r="J135" t="s">
        <v>250</v>
      </c>
      <c r="K135">
        <v>6</v>
      </c>
      <c r="L135" t="s">
        <v>24</v>
      </c>
      <c r="M135" t="s">
        <v>29</v>
      </c>
    </row>
    <row r="136" spans="1:13">
      <c r="A136" t="s">
        <v>454</v>
      </c>
      <c r="B136" t="s">
        <v>455</v>
      </c>
      <c r="C136" t="s">
        <v>455</v>
      </c>
      <c r="D136" t="s">
        <v>456</v>
      </c>
      <c r="E136">
        <v>2</v>
      </c>
      <c r="F136" t="s">
        <v>457</v>
      </c>
      <c r="G136" s="10">
        <v>45033</v>
      </c>
      <c r="H136">
        <v>186900</v>
      </c>
      <c r="I136">
        <v>16067</v>
      </c>
      <c r="J136" t="s">
        <v>458</v>
      </c>
      <c r="K136">
        <v>6</v>
      </c>
      <c r="L136" t="s">
        <v>37</v>
      </c>
      <c r="M136" t="s">
        <v>33</v>
      </c>
    </row>
    <row r="137" spans="1:13">
      <c r="A137" t="s">
        <v>431</v>
      </c>
      <c r="B137" t="s">
        <v>160</v>
      </c>
      <c r="C137" t="s">
        <v>67</v>
      </c>
      <c r="D137" t="s">
        <v>459</v>
      </c>
      <c r="E137">
        <v>1</v>
      </c>
      <c r="F137" t="s">
        <v>460</v>
      </c>
      <c r="G137" s="10">
        <v>45061</v>
      </c>
      <c r="H137">
        <v>38377.5</v>
      </c>
      <c r="I137">
        <v>13377.5</v>
      </c>
      <c r="J137" t="s">
        <v>250</v>
      </c>
      <c r="K137">
        <v>6</v>
      </c>
      <c r="L137" t="s">
        <v>24</v>
      </c>
      <c r="M137" t="s">
        <v>29</v>
      </c>
    </row>
    <row r="138" spans="1:13">
      <c r="A138" t="s">
        <v>461</v>
      </c>
      <c r="B138" t="s">
        <v>160</v>
      </c>
      <c r="C138" t="s">
        <v>67</v>
      </c>
      <c r="D138" t="s">
        <v>462</v>
      </c>
      <c r="E138">
        <v>2</v>
      </c>
      <c r="F138" t="s">
        <v>463</v>
      </c>
      <c r="G138" s="10">
        <v>45029</v>
      </c>
      <c r="H138">
        <v>17400</v>
      </c>
      <c r="I138">
        <v>2400</v>
      </c>
      <c r="J138" t="s">
        <v>193</v>
      </c>
      <c r="K138">
        <v>5</v>
      </c>
      <c r="L138" t="s">
        <v>35</v>
      </c>
      <c r="M138" t="s">
        <v>27</v>
      </c>
    </row>
    <row r="139" spans="1:13">
      <c r="A139" t="s">
        <v>76</v>
      </c>
      <c r="B139" t="s">
        <v>72</v>
      </c>
      <c r="C139" t="s">
        <v>67</v>
      </c>
      <c r="D139" t="s">
        <v>464</v>
      </c>
      <c r="E139">
        <v>1</v>
      </c>
      <c r="F139" t="s">
        <v>465</v>
      </c>
      <c r="G139" s="10">
        <v>45061</v>
      </c>
      <c r="H139">
        <v>0</v>
      </c>
      <c r="I139">
        <v>-25000</v>
      </c>
      <c r="J139" t="s">
        <v>250</v>
      </c>
      <c r="K139">
        <v>6</v>
      </c>
      <c r="L139" t="s">
        <v>24</v>
      </c>
      <c r="M139" t="s">
        <v>29</v>
      </c>
    </row>
    <row r="140" spans="1:13">
      <c r="A140" t="s">
        <v>194</v>
      </c>
      <c r="B140" t="s">
        <v>160</v>
      </c>
      <c r="C140" t="s">
        <v>67</v>
      </c>
      <c r="D140" t="s">
        <v>466</v>
      </c>
      <c r="E140">
        <v>1</v>
      </c>
      <c r="F140" t="s">
        <v>467</v>
      </c>
      <c r="G140" s="10">
        <v>45061</v>
      </c>
      <c r="H140">
        <v>38377.5</v>
      </c>
      <c r="I140">
        <v>13377.5</v>
      </c>
      <c r="J140" t="s">
        <v>250</v>
      </c>
      <c r="K140">
        <v>6</v>
      </c>
      <c r="L140" t="s">
        <v>24</v>
      </c>
      <c r="M140" t="s">
        <v>29</v>
      </c>
    </row>
    <row r="141" spans="1:13">
      <c r="A141" t="s">
        <v>89</v>
      </c>
      <c r="B141" t="s">
        <v>72</v>
      </c>
      <c r="C141" t="s">
        <v>67</v>
      </c>
      <c r="D141" t="s">
        <v>468</v>
      </c>
      <c r="E141">
        <v>1</v>
      </c>
      <c r="F141" t="s">
        <v>469</v>
      </c>
      <c r="G141" s="10">
        <v>45061</v>
      </c>
      <c r="H141">
        <v>38377.5</v>
      </c>
      <c r="I141">
        <v>13377.5</v>
      </c>
      <c r="J141" t="s">
        <v>250</v>
      </c>
      <c r="K141">
        <v>6</v>
      </c>
      <c r="L141" t="s">
        <v>24</v>
      </c>
      <c r="M141" t="s">
        <v>29</v>
      </c>
    </row>
    <row r="142" spans="1:13">
      <c r="A142" t="s">
        <v>361</v>
      </c>
      <c r="B142" t="s">
        <v>72</v>
      </c>
      <c r="C142" t="s">
        <v>67</v>
      </c>
      <c r="D142" t="s">
        <v>470</v>
      </c>
      <c r="E142">
        <v>1</v>
      </c>
      <c r="F142" t="s">
        <v>471</v>
      </c>
      <c r="G142" s="10">
        <v>45061</v>
      </c>
      <c r="H142">
        <v>38377.5</v>
      </c>
      <c r="I142">
        <v>13377.5</v>
      </c>
      <c r="J142" t="s">
        <v>250</v>
      </c>
      <c r="K142">
        <v>6</v>
      </c>
      <c r="L142" t="s">
        <v>24</v>
      </c>
      <c r="M142" t="s">
        <v>29</v>
      </c>
    </row>
    <row r="143" spans="1:13">
      <c r="A143" t="s">
        <v>71</v>
      </c>
      <c r="B143" t="s">
        <v>72</v>
      </c>
      <c r="C143" t="s">
        <v>67</v>
      </c>
      <c r="D143" t="s">
        <v>472</v>
      </c>
      <c r="E143">
        <v>1</v>
      </c>
      <c r="F143" t="s">
        <v>473</v>
      </c>
      <c r="G143" s="10">
        <v>45061</v>
      </c>
      <c r="H143">
        <v>38377.5</v>
      </c>
      <c r="I143">
        <v>13377.5</v>
      </c>
      <c r="J143" t="s">
        <v>250</v>
      </c>
      <c r="K143">
        <v>6</v>
      </c>
      <c r="L143" t="s">
        <v>24</v>
      </c>
      <c r="M143" t="s">
        <v>29</v>
      </c>
    </row>
    <row r="144" spans="1:13">
      <c r="A144" t="s">
        <v>361</v>
      </c>
      <c r="B144" t="s">
        <v>72</v>
      </c>
      <c r="C144" t="s">
        <v>67</v>
      </c>
      <c r="D144" t="s">
        <v>474</v>
      </c>
      <c r="E144">
        <v>1</v>
      </c>
      <c r="F144" t="s">
        <v>475</v>
      </c>
      <c r="G144" s="10">
        <v>45061</v>
      </c>
      <c r="H144">
        <v>38377.5</v>
      </c>
      <c r="I144">
        <v>13377.5</v>
      </c>
      <c r="J144" t="s">
        <v>250</v>
      </c>
      <c r="K144">
        <v>6</v>
      </c>
      <c r="L144" t="s">
        <v>24</v>
      </c>
      <c r="M144" t="s">
        <v>29</v>
      </c>
    </row>
    <row r="145" spans="1:13">
      <c r="A145" t="s">
        <v>71</v>
      </c>
      <c r="B145" t="s">
        <v>72</v>
      </c>
      <c r="C145" t="s">
        <v>67</v>
      </c>
      <c r="D145" t="s">
        <v>476</v>
      </c>
      <c r="E145">
        <v>1</v>
      </c>
      <c r="F145" t="s">
        <v>477</v>
      </c>
      <c r="G145" s="10">
        <v>45061</v>
      </c>
      <c r="H145">
        <v>0</v>
      </c>
      <c r="I145">
        <v>-25000</v>
      </c>
      <c r="J145" t="s">
        <v>250</v>
      </c>
      <c r="K145">
        <v>6</v>
      </c>
      <c r="L145" t="s">
        <v>24</v>
      </c>
      <c r="M145" t="s">
        <v>29</v>
      </c>
    </row>
    <row r="146" spans="1:13">
      <c r="A146" t="s">
        <v>309</v>
      </c>
      <c r="B146" t="s">
        <v>310</v>
      </c>
      <c r="C146" t="s">
        <v>232</v>
      </c>
      <c r="D146" t="s">
        <v>478</v>
      </c>
      <c r="E146">
        <v>2</v>
      </c>
      <c r="F146" t="s">
        <v>479</v>
      </c>
      <c r="G146" s="10">
        <v>45036</v>
      </c>
      <c r="H146">
        <v>42207</v>
      </c>
      <c r="I146">
        <v>1817</v>
      </c>
      <c r="J146" t="s">
        <v>313</v>
      </c>
      <c r="K146">
        <v>6</v>
      </c>
      <c r="L146" t="s">
        <v>41</v>
      </c>
      <c r="M146" t="s">
        <v>42</v>
      </c>
    </row>
    <row r="147" spans="1:13">
      <c r="A147" t="s">
        <v>480</v>
      </c>
      <c r="B147" t="s">
        <v>215</v>
      </c>
      <c r="C147" t="s">
        <v>94</v>
      </c>
      <c r="D147" t="s">
        <v>481</v>
      </c>
      <c r="E147">
        <v>2</v>
      </c>
      <c r="F147" t="s">
        <v>482</v>
      </c>
      <c r="G147" s="10">
        <v>45036</v>
      </c>
      <c r="H147">
        <v>71363</v>
      </c>
      <c r="I147">
        <v>3073</v>
      </c>
      <c r="J147" t="s">
        <v>313</v>
      </c>
      <c r="K147">
        <v>5</v>
      </c>
      <c r="L147" t="s">
        <v>41</v>
      </c>
      <c r="M147" t="s">
        <v>42</v>
      </c>
    </row>
    <row r="148" spans="1:13">
      <c r="A148" t="s">
        <v>130</v>
      </c>
      <c r="B148" t="s">
        <v>82</v>
      </c>
      <c r="C148" t="s">
        <v>28</v>
      </c>
      <c r="D148" t="s">
        <v>483</v>
      </c>
      <c r="E148">
        <v>2</v>
      </c>
      <c r="F148" t="s">
        <v>484</v>
      </c>
      <c r="G148" s="10">
        <v>45035</v>
      </c>
      <c r="H148">
        <v>132617.51999999999</v>
      </c>
      <c r="I148">
        <v>11784.52</v>
      </c>
      <c r="J148" t="s">
        <v>126</v>
      </c>
      <c r="K148">
        <v>5</v>
      </c>
      <c r="L148" t="s">
        <v>24</v>
      </c>
      <c r="M148" t="s">
        <v>26</v>
      </c>
    </row>
    <row r="149" spans="1:13">
      <c r="A149" t="s">
        <v>76</v>
      </c>
      <c r="B149" t="s">
        <v>72</v>
      </c>
      <c r="C149" t="s">
        <v>67</v>
      </c>
      <c r="D149" t="s">
        <v>485</v>
      </c>
      <c r="E149">
        <v>1</v>
      </c>
      <c r="F149" t="s">
        <v>486</v>
      </c>
      <c r="G149" s="10">
        <v>45061</v>
      </c>
      <c r="H149">
        <v>38377.5</v>
      </c>
      <c r="I149">
        <v>13377.5</v>
      </c>
      <c r="J149" t="s">
        <v>250</v>
      </c>
      <c r="K149">
        <v>6</v>
      </c>
      <c r="L149" t="s">
        <v>24</v>
      </c>
      <c r="M149" t="s">
        <v>29</v>
      </c>
    </row>
    <row r="150" spans="1:13">
      <c r="A150" t="s">
        <v>140</v>
      </c>
      <c r="B150" t="s">
        <v>141</v>
      </c>
      <c r="C150" t="s">
        <v>67</v>
      </c>
      <c r="D150" t="s">
        <v>487</v>
      </c>
      <c r="E150">
        <v>1</v>
      </c>
      <c r="F150" t="s">
        <v>488</v>
      </c>
      <c r="G150" s="10">
        <v>45036</v>
      </c>
      <c r="H150">
        <v>52500</v>
      </c>
      <c r="I150">
        <v>12500</v>
      </c>
      <c r="J150" t="s">
        <v>144</v>
      </c>
      <c r="K150">
        <v>6</v>
      </c>
      <c r="L150" t="s">
        <v>38</v>
      </c>
      <c r="M150" t="s">
        <v>25</v>
      </c>
    </row>
    <row r="151" spans="1:13">
      <c r="A151" t="s">
        <v>122</v>
      </c>
      <c r="B151" t="s">
        <v>123</v>
      </c>
      <c r="C151" t="s">
        <v>28</v>
      </c>
      <c r="D151" t="s">
        <v>489</v>
      </c>
      <c r="E151">
        <v>2</v>
      </c>
      <c r="F151" t="s">
        <v>490</v>
      </c>
      <c r="G151" s="10">
        <v>45043</v>
      </c>
      <c r="H151">
        <v>157248</v>
      </c>
      <c r="I151">
        <v>90582</v>
      </c>
      <c r="J151" t="s">
        <v>126</v>
      </c>
      <c r="K151">
        <v>6</v>
      </c>
      <c r="L151" t="s">
        <v>24</v>
      </c>
      <c r="M151" t="s">
        <v>26</v>
      </c>
    </row>
    <row r="152" spans="1:13">
      <c r="A152" t="s">
        <v>491</v>
      </c>
      <c r="B152" t="s">
        <v>93</v>
      </c>
      <c r="C152" t="s">
        <v>94</v>
      </c>
      <c r="D152" t="s">
        <v>492</v>
      </c>
      <c r="E152">
        <v>7</v>
      </c>
      <c r="F152" t="s">
        <v>493</v>
      </c>
      <c r="G152" s="10">
        <v>45058</v>
      </c>
      <c r="H152">
        <v>98010.55</v>
      </c>
      <c r="I152">
        <v>4220.55</v>
      </c>
      <c r="J152" t="s">
        <v>313</v>
      </c>
      <c r="K152">
        <v>5</v>
      </c>
      <c r="L152" t="s">
        <v>41</v>
      </c>
      <c r="M152" t="s">
        <v>42</v>
      </c>
    </row>
    <row r="153" spans="1:13">
      <c r="A153" t="s">
        <v>494</v>
      </c>
      <c r="B153" t="s">
        <v>112</v>
      </c>
      <c r="C153" t="s">
        <v>113</v>
      </c>
      <c r="D153" t="s">
        <v>495</v>
      </c>
      <c r="E153">
        <v>2</v>
      </c>
      <c r="F153" t="s">
        <v>496</v>
      </c>
      <c r="G153" s="10">
        <v>45033</v>
      </c>
      <c r="H153">
        <v>157920</v>
      </c>
      <c r="I153">
        <v>62087</v>
      </c>
      <c r="J153" t="s">
        <v>97</v>
      </c>
      <c r="K153">
        <v>6</v>
      </c>
      <c r="L153" t="s">
        <v>41</v>
      </c>
      <c r="M153" t="s">
        <v>42</v>
      </c>
    </row>
    <row r="154" spans="1:13">
      <c r="A154" t="s">
        <v>382</v>
      </c>
      <c r="B154" t="s">
        <v>141</v>
      </c>
      <c r="C154" t="s">
        <v>67</v>
      </c>
      <c r="D154" t="s">
        <v>497</v>
      </c>
      <c r="E154">
        <v>1</v>
      </c>
      <c r="F154" t="s">
        <v>498</v>
      </c>
      <c r="G154" s="10">
        <v>45040</v>
      </c>
      <c r="H154">
        <v>84000</v>
      </c>
      <c r="I154">
        <v>13167</v>
      </c>
      <c r="J154" t="s">
        <v>144</v>
      </c>
      <c r="K154">
        <v>6</v>
      </c>
      <c r="L154" t="s">
        <v>38</v>
      </c>
      <c r="M154" t="s">
        <v>25</v>
      </c>
    </row>
    <row r="155" spans="1:13">
      <c r="A155" t="s">
        <v>127</v>
      </c>
      <c r="B155" t="s">
        <v>93</v>
      </c>
      <c r="C155" t="s">
        <v>94</v>
      </c>
      <c r="D155" t="s">
        <v>499</v>
      </c>
      <c r="E155">
        <v>2</v>
      </c>
      <c r="F155" t="s">
        <v>500</v>
      </c>
      <c r="G155" s="10">
        <v>45040</v>
      </c>
      <c r="H155">
        <v>168000</v>
      </c>
      <c r="I155">
        <v>76334</v>
      </c>
      <c r="J155" t="s">
        <v>97</v>
      </c>
      <c r="K155">
        <v>6</v>
      </c>
      <c r="L155" t="s">
        <v>41</v>
      </c>
      <c r="M155" t="s">
        <v>42</v>
      </c>
    </row>
    <row r="156" spans="1:13">
      <c r="A156" t="s">
        <v>251</v>
      </c>
      <c r="B156" t="s">
        <v>160</v>
      </c>
      <c r="C156" t="s">
        <v>67</v>
      </c>
      <c r="D156" t="s">
        <v>501</v>
      </c>
      <c r="E156">
        <v>1</v>
      </c>
      <c r="F156" t="s">
        <v>502</v>
      </c>
      <c r="G156" s="10">
        <v>45061</v>
      </c>
      <c r="H156">
        <v>38377.5</v>
      </c>
      <c r="I156">
        <v>13377.5</v>
      </c>
      <c r="J156" t="s">
        <v>250</v>
      </c>
      <c r="K156">
        <v>6</v>
      </c>
      <c r="L156" t="s">
        <v>24</v>
      </c>
      <c r="M156" t="s">
        <v>29</v>
      </c>
    </row>
    <row r="157" spans="1:13">
      <c r="A157" t="s">
        <v>503</v>
      </c>
      <c r="B157" t="s">
        <v>41</v>
      </c>
      <c r="C157" t="s">
        <v>503</v>
      </c>
      <c r="D157" t="s">
        <v>504</v>
      </c>
      <c r="E157">
        <v>1</v>
      </c>
      <c r="F157" t="s">
        <v>505</v>
      </c>
      <c r="G157" s="10">
        <v>45061</v>
      </c>
      <c r="H157">
        <v>38377.5</v>
      </c>
      <c r="I157">
        <v>13377.5</v>
      </c>
      <c r="J157" t="s">
        <v>441</v>
      </c>
      <c r="K157">
        <v>6</v>
      </c>
      <c r="L157" t="s">
        <v>24</v>
      </c>
      <c r="M157" t="s">
        <v>29</v>
      </c>
    </row>
    <row r="158" spans="1:13">
      <c r="A158" t="s">
        <v>379</v>
      </c>
      <c r="B158" t="s">
        <v>179</v>
      </c>
      <c r="C158" t="s">
        <v>45</v>
      </c>
      <c r="D158" t="s">
        <v>506</v>
      </c>
      <c r="E158">
        <v>2</v>
      </c>
      <c r="F158" t="s">
        <v>507</v>
      </c>
      <c r="G158" s="10">
        <v>45033</v>
      </c>
      <c r="H158">
        <v>268800</v>
      </c>
      <c r="I158">
        <v>118800</v>
      </c>
      <c r="J158" t="s">
        <v>189</v>
      </c>
      <c r="K158">
        <v>5</v>
      </c>
      <c r="L158" t="s">
        <v>44</v>
      </c>
      <c r="M158" t="s">
        <v>45</v>
      </c>
    </row>
    <row r="159" spans="1:13">
      <c r="A159" t="s">
        <v>376</v>
      </c>
      <c r="B159" t="s">
        <v>66</v>
      </c>
      <c r="C159" t="s">
        <v>67</v>
      </c>
      <c r="D159" t="s">
        <v>508</v>
      </c>
      <c r="E159">
        <v>6</v>
      </c>
      <c r="F159" t="s">
        <v>509</v>
      </c>
      <c r="G159" s="10">
        <v>45028</v>
      </c>
      <c r="H159">
        <v>34375</v>
      </c>
      <c r="I159">
        <v>6875</v>
      </c>
      <c r="J159" t="s">
        <v>70</v>
      </c>
      <c r="K159">
        <v>5</v>
      </c>
      <c r="L159" t="s">
        <v>35</v>
      </c>
      <c r="M159" t="s">
        <v>36</v>
      </c>
    </row>
    <row r="160" spans="1:13">
      <c r="A160" t="s">
        <v>194</v>
      </c>
      <c r="B160" t="s">
        <v>160</v>
      </c>
      <c r="C160" t="s">
        <v>67</v>
      </c>
      <c r="D160" t="s">
        <v>510</v>
      </c>
      <c r="E160">
        <v>1</v>
      </c>
      <c r="F160" t="s">
        <v>511</v>
      </c>
      <c r="G160" s="10">
        <v>45061</v>
      </c>
      <c r="H160">
        <v>38377.5</v>
      </c>
      <c r="I160">
        <v>13377.5</v>
      </c>
      <c r="J160" t="s">
        <v>250</v>
      </c>
      <c r="K160">
        <v>6</v>
      </c>
      <c r="L160" t="s">
        <v>24</v>
      </c>
      <c r="M160" t="s">
        <v>29</v>
      </c>
    </row>
    <row r="161" spans="1:13">
      <c r="A161" t="s">
        <v>512</v>
      </c>
      <c r="B161" t="s">
        <v>513</v>
      </c>
      <c r="C161" t="s">
        <v>514</v>
      </c>
      <c r="D161" t="s">
        <v>515</v>
      </c>
      <c r="E161">
        <v>2</v>
      </c>
      <c r="F161" t="s">
        <v>516</v>
      </c>
      <c r="G161" s="10">
        <v>45033</v>
      </c>
      <c r="H161">
        <v>122000</v>
      </c>
      <c r="I161">
        <v>22000</v>
      </c>
      <c r="J161" t="s">
        <v>517</v>
      </c>
      <c r="K161">
        <v>6</v>
      </c>
      <c r="L161" t="s">
        <v>44</v>
      </c>
      <c r="M161" t="s">
        <v>48</v>
      </c>
    </row>
    <row r="162" spans="1:13">
      <c r="A162" t="s">
        <v>194</v>
      </c>
      <c r="B162" t="s">
        <v>160</v>
      </c>
      <c r="C162" t="s">
        <v>67</v>
      </c>
      <c r="D162" t="s">
        <v>518</v>
      </c>
      <c r="E162">
        <v>2</v>
      </c>
      <c r="F162" t="s">
        <v>519</v>
      </c>
      <c r="G162" s="10">
        <v>45033</v>
      </c>
      <c r="H162">
        <v>51600</v>
      </c>
      <c r="I162">
        <v>8600</v>
      </c>
      <c r="J162" t="s">
        <v>163</v>
      </c>
      <c r="K162">
        <v>6</v>
      </c>
      <c r="L162" t="s">
        <v>35</v>
      </c>
      <c r="M162" t="s">
        <v>27</v>
      </c>
    </row>
    <row r="163" spans="1:13">
      <c r="A163" t="s">
        <v>256</v>
      </c>
      <c r="B163" t="s">
        <v>160</v>
      </c>
      <c r="C163" t="s">
        <v>67</v>
      </c>
      <c r="D163" t="s">
        <v>520</v>
      </c>
      <c r="E163">
        <v>1</v>
      </c>
      <c r="F163" t="s">
        <v>521</v>
      </c>
      <c r="G163" s="10">
        <v>45054</v>
      </c>
      <c r="H163">
        <v>42483</v>
      </c>
      <c r="I163">
        <v>9150</v>
      </c>
      <c r="J163" t="s">
        <v>75</v>
      </c>
      <c r="K163">
        <v>6</v>
      </c>
      <c r="L163" t="s">
        <v>35</v>
      </c>
      <c r="M163" t="s">
        <v>29</v>
      </c>
    </row>
    <row r="164" spans="1:13">
      <c r="A164" t="s">
        <v>522</v>
      </c>
      <c r="B164" t="s">
        <v>72</v>
      </c>
      <c r="C164" t="s">
        <v>67</v>
      </c>
      <c r="D164" t="s">
        <v>523</v>
      </c>
      <c r="E164">
        <v>1</v>
      </c>
      <c r="F164" t="s">
        <v>524</v>
      </c>
      <c r="G164" s="10">
        <v>45061</v>
      </c>
      <c r="H164">
        <v>38377.5</v>
      </c>
      <c r="I164">
        <v>13377.5</v>
      </c>
      <c r="J164" t="s">
        <v>250</v>
      </c>
      <c r="K164">
        <v>6</v>
      </c>
      <c r="L164" t="s">
        <v>24</v>
      </c>
      <c r="M164" t="s">
        <v>29</v>
      </c>
    </row>
    <row r="165" spans="1:13">
      <c r="A165" t="s">
        <v>130</v>
      </c>
      <c r="B165" t="s">
        <v>82</v>
      </c>
      <c r="C165" t="s">
        <v>28</v>
      </c>
      <c r="D165" t="s">
        <v>525</v>
      </c>
      <c r="E165">
        <v>2</v>
      </c>
      <c r="F165" t="s">
        <v>526</v>
      </c>
      <c r="G165" s="10">
        <v>45033</v>
      </c>
      <c r="H165">
        <v>52100</v>
      </c>
      <c r="I165">
        <v>2100</v>
      </c>
      <c r="J165" t="s">
        <v>85</v>
      </c>
      <c r="K165">
        <v>6</v>
      </c>
      <c r="L165" t="s">
        <v>24</v>
      </c>
      <c r="M165" t="s">
        <v>25</v>
      </c>
    </row>
    <row r="166" spans="1:13">
      <c r="A166" t="s">
        <v>527</v>
      </c>
      <c r="B166" t="s">
        <v>93</v>
      </c>
      <c r="C166" t="s">
        <v>94</v>
      </c>
      <c r="D166" t="s">
        <v>528</v>
      </c>
      <c r="E166">
        <v>2</v>
      </c>
      <c r="F166" t="s">
        <v>529</v>
      </c>
      <c r="G166" s="10">
        <v>45040</v>
      </c>
      <c r="H166">
        <v>112329</v>
      </c>
      <c r="I166">
        <v>12329</v>
      </c>
      <c r="J166" t="s">
        <v>97</v>
      </c>
      <c r="K166">
        <v>5</v>
      </c>
      <c r="L166" t="s">
        <v>41</v>
      </c>
      <c r="M166" t="s">
        <v>42</v>
      </c>
    </row>
    <row r="167" spans="1:13">
      <c r="A167" t="s">
        <v>178</v>
      </c>
      <c r="B167" t="s">
        <v>179</v>
      </c>
      <c r="C167" t="s">
        <v>45</v>
      </c>
      <c r="D167" t="s">
        <v>530</v>
      </c>
      <c r="E167">
        <v>2</v>
      </c>
      <c r="F167" t="s">
        <v>531</v>
      </c>
      <c r="G167" s="10">
        <v>45033</v>
      </c>
      <c r="H167">
        <v>268800</v>
      </c>
      <c r="I167">
        <v>52134</v>
      </c>
      <c r="J167" t="s">
        <v>189</v>
      </c>
      <c r="K167">
        <v>6</v>
      </c>
      <c r="L167" t="s">
        <v>44</v>
      </c>
      <c r="M167" t="s">
        <v>45</v>
      </c>
    </row>
    <row r="168" spans="1:13">
      <c r="A168" t="s">
        <v>532</v>
      </c>
      <c r="B168" t="s">
        <v>112</v>
      </c>
      <c r="C168" t="s">
        <v>113</v>
      </c>
      <c r="D168" t="s">
        <v>533</v>
      </c>
      <c r="E168">
        <v>2</v>
      </c>
      <c r="F168" t="s">
        <v>534</v>
      </c>
      <c r="G168" s="10">
        <v>45041</v>
      </c>
      <c r="H168">
        <v>82404</v>
      </c>
      <c r="I168">
        <v>7404</v>
      </c>
      <c r="J168" t="s">
        <v>106</v>
      </c>
      <c r="K168">
        <v>6</v>
      </c>
      <c r="L168" t="s">
        <v>39</v>
      </c>
      <c r="M168" t="s">
        <v>40</v>
      </c>
    </row>
    <row r="169" spans="1:13">
      <c r="A169" t="s">
        <v>532</v>
      </c>
      <c r="B169" t="s">
        <v>112</v>
      </c>
      <c r="C169" t="s">
        <v>113</v>
      </c>
      <c r="D169" t="s">
        <v>535</v>
      </c>
      <c r="E169">
        <v>2</v>
      </c>
      <c r="F169" t="s">
        <v>536</v>
      </c>
      <c r="G169" s="10">
        <v>45040</v>
      </c>
      <c r="H169">
        <v>73143</v>
      </c>
      <c r="I169">
        <v>6477</v>
      </c>
      <c r="J169" t="s">
        <v>106</v>
      </c>
      <c r="K169">
        <v>6</v>
      </c>
      <c r="L169" t="s">
        <v>39</v>
      </c>
      <c r="M169" t="s">
        <v>40</v>
      </c>
    </row>
    <row r="170" spans="1:13">
      <c r="A170" t="s">
        <v>82</v>
      </c>
      <c r="B170" t="s">
        <v>28</v>
      </c>
      <c r="C170" t="s">
        <v>238</v>
      </c>
      <c r="D170" t="s">
        <v>537</v>
      </c>
      <c r="E170">
        <v>2</v>
      </c>
      <c r="F170" t="s">
        <v>538</v>
      </c>
      <c r="G170" s="10">
        <v>45061</v>
      </c>
      <c r="H170">
        <v>147617</v>
      </c>
      <c r="I170">
        <v>5951</v>
      </c>
      <c r="J170" t="s">
        <v>85</v>
      </c>
      <c r="K170">
        <v>6</v>
      </c>
      <c r="L170" t="s">
        <v>24</v>
      </c>
      <c r="M170" t="s">
        <v>25</v>
      </c>
    </row>
    <row r="171" spans="1:13">
      <c r="A171" t="s">
        <v>503</v>
      </c>
      <c r="B171" t="s">
        <v>41</v>
      </c>
      <c r="C171" t="s">
        <v>503</v>
      </c>
      <c r="D171" t="s">
        <v>539</v>
      </c>
      <c r="E171">
        <v>1</v>
      </c>
      <c r="F171" t="s">
        <v>540</v>
      </c>
      <c r="G171" s="10">
        <v>45061</v>
      </c>
      <c r="H171">
        <v>38378</v>
      </c>
      <c r="I171">
        <v>13378</v>
      </c>
      <c r="J171" t="s">
        <v>441</v>
      </c>
      <c r="K171">
        <v>6</v>
      </c>
      <c r="L171" t="s">
        <v>24</v>
      </c>
      <c r="M171" t="s">
        <v>29</v>
      </c>
    </row>
    <row r="172" spans="1:13">
      <c r="A172" t="s">
        <v>541</v>
      </c>
      <c r="B172" t="s">
        <v>43</v>
      </c>
      <c r="C172" t="s">
        <v>94</v>
      </c>
      <c r="D172" t="s">
        <v>542</v>
      </c>
      <c r="E172">
        <v>1</v>
      </c>
      <c r="F172" t="s">
        <v>543</v>
      </c>
      <c r="G172" s="10">
        <v>45078</v>
      </c>
      <c r="H172">
        <v>38377.5</v>
      </c>
      <c r="I172">
        <v>13377.5</v>
      </c>
      <c r="J172" t="s">
        <v>441</v>
      </c>
      <c r="K172">
        <v>6</v>
      </c>
      <c r="L172" t="s">
        <v>24</v>
      </c>
      <c r="M172" t="s">
        <v>29</v>
      </c>
    </row>
    <row r="173" spans="1:13">
      <c r="A173" t="s">
        <v>71</v>
      </c>
      <c r="B173" t="s">
        <v>72</v>
      </c>
      <c r="C173" t="s">
        <v>67</v>
      </c>
      <c r="D173" t="s">
        <v>544</v>
      </c>
      <c r="E173">
        <v>1</v>
      </c>
      <c r="F173" t="s">
        <v>545</v>
      </c>
      <c r="G173" s="10">
        <v>45061</v>
      </c>
      <c r="H173">
        <v>38377.5</v>
      </c>
      <c r="I173">
        <v>13377.5</v>
      </c>
      <c r="J173" t="s">
        <v>250</v>
      </c>
      <c r="K173">
        <v>6</v>
      </c>
      <c r="L173" t="s">
        <v>24</v>
      </c>
      <c r="M173" t="s">
        <v>29</v>
      </c>
    </row>
    <row r="174" spans="1:13">
      <c r="A174" t="s">
        <v>376</v>
      </c>
      <c r="B174" t="s">
        <v>66</v>
      </c>
      <c r="C174" t="s">
        <v>67</v>
      </c>
      <c r="D174" t="s">
        <v>546</v>
      </c>
      <c r="E174">
        <v>6</v>
      </c>
      <c r="F174" t="s">
        <v>547</v>
      </c>
      <c r="G174" s="10">
        <v>45034</v>
      </c>
      <c r="H174">
        <v>34375</v>
      </c>
      <c r="I174">
        <v>6875</v>
      </c>
      <c r="J174" t="s">
        <v>70</v>
      </c>
      <c r="K174">
        <v>6</v>
      </c>
      <c r="L174" t="s">
        <v>35</v>
      </c>
      <c r="M174" t="s">
        <v>36</v>
      </c>
    </row>
    <row r="175" spans="1:13">
      <c r="A175" t="s">
        <v>65</v>
      </c>
      <c r="B175" t="s">
        <v>66</v>
      </c>
      <c r="C175" t="s">
        <v>67</v>
      </c>
      <c r="D175" t="s">
        <v>548</v>
      </c>
      <c r="E175">
        <v>6</v>
      </c>
      <c r="F175" t="s">
        <v>549</v>
      </c>
      <c r="G175" s="10">
        <v>45034</v>
      </c>
      <c r="H175">
        <v>34375</v>
      </c>
      <c r="I175">
        <v>6875</v>
      </c>
      <c r="J175" t="s">
        <v>70</v>
      </c>
      <c r="K175">
        <v>6</v>
      </c>
      <c r="L175" t="s">
        <v>35</v>
      </c>
      <c r="M175" t="s">
        <v>36</v>
      </c>
    </row>
    <row r="176" spans="1:13">
      <c r="A176" t="s">
        <v>71</v>
      </c>
      <c r="B176" t="s">
        <v>72</v>
      </c>
      <c r="C176" t="s">
        <v>67</v>
      </c>
      <c r="D176" t="s">
        <v>550</v>
      </c>
      <c r="E176">
        <v>1</v>
      </c>
      <c r="F176" t="s">
        <v>551</v>
      </c>
      <c r="G176" s="10">
        <v>45061</v>
      </c>
      <c r="H176">
        <v>38377.5</v>
      </c>
      <c r="I176">
        <v>13377.5</v>
      </c>
      <c r="J176" t="s">
        <v>250</v>
      </c>
      <c r="K176">
        <v>6</v>
      </c>
      <c r="L176" t="s">
        <v>24</v>
      </c>
      <c r="M176" t="s">
        <v>29</v>
      </c>
    </row>
    <row r="177" spans="1:13">
      <c r="A177" t="s">
        <v>65</v>
      </c>
      <c r="B177" t="s">
        <v>66</v>
      </c>
      <c r="C177" t="s">
        <v>67</v>
      </c>
      <c r="D177" t="s">
        <v>552</v>
      </c>
      <c r="E177">
        <v>6</v>
      </c>
      <c r="F177" t="s">
        <v>553</v>
      </c>
      <c r="G177" s="10">
        <v>45034</v>
      </c>
      <c r="H177">
        <v>34375</v>
      </c>
      <c r="I177">
        <v>6875</v>
      </c>
      <c r="J177" t="s">
        <v>70</v>
      </c>
      <c r="K177">
        <v>6</v>
      </c>
      <c r="L177" t="s">
        <v>35</v>
      </c>
      <c r="M177" t="s">
        <v>36</v>
      </c>
    </row>
    <row r="178" spans="1:13">
      <c r="A178" t="s">
        <v>111</v>
      </c>
      <c r="B178" t="s">
        <v>112</v>
      </c>
      <c r="C178" t="s">
        <v>113</v>
      </c>
      <c r="D178" t="s">
        <v>554</v>
      </c>
      <c r="E178">
        <v>2</v>
      </c>
      <c r="F178" t="s">
        <v>555</v>
      </c>
      <c r="G178" s="10">
        <v>45043</v>
      </c>
      <c r="H178">
        <v>157437</v>
      </c>
      <c r="I178">
        <v>15771</v>
      </c>
      <c r="J178" t="s">
        <v>106</v>
      </c>
      <c r="K178">
        <v>6</v>
      </c>
      <c r="L178" t="s">
        <v>39</v>
      </c>
      <c r="M178" t="s">
        <v>40</v>
      </c>
    </row>
    <row r="179" spans="1:13">
      <c r="A179" t="s">
        <v>141</v>
      </c>
      <c r="B179" t="s">
        <v>27</v>
      </c>
      <c r="C179" t="s">
        <v>27</v>
      </c>
      <c r="D179" t="s">
        <v>556</v>
      </c>
      <c r="E179">
        <v>1</v>
      </c>
      <c r="F179" t="s">
        <v>557</v>
      </c>
      <c r="G179" s="10">
        <v>45061</v>
      </c>
      <c r="H179">
        <v>38377.5</v>
      </c>
      <c r="I179">
        <v>13377.5</v>
      </c>
      <c r="J179" t="s">
        <v>250</v>
      </c>
      <c r="K179">
        <v>6</v>
      </c>
      <c r="L179" t="s">
        <v>24</v>
      </c>
      <c r="M179" t="s">
        <v>29</v>
      </c>
    </row>
    <row r="180" spans="1:13">
      <c r="A180" t="s">
        <v>379</v>
      </c>
      <c r="B180" t="s">
        <v>179</v>
      </c>
      <c r="C180" t="s">
        <v>45</v>
      </c>
      <c r="D180" t="s">
        <v>558</v>
      </c>
      <c r="E180">
        <v>2</v>
      </c>
      <c r="F180" t="s">
        <v>559</v>
      </c>
      <c r="G180" s="10">
        <v>45036</v>
      </c>
      <c r="H180">
        <v>86730</v>
      </c>
      <c r="I180">
        <v>49230</v>
      </c>
      <c r="J180" t="s">
        <v>360</v>
      </c>
      <c r="K180">
        <v>5</v>
      </c>
      <c r="L180" t="s">
        <v>44</v>
      </c>
      <c r="M180" t="s">
        <v>45</v>
      </c>
    </row>
    <row r="181" spans="1:13">
      <c r="A181" t="s">
        <v>280</v>
      </c>
      <c r="B181" t="s">
        <v>160</v>
      </c>
      <c r="C181" t="s">
        <v>67</v>
      </c>
      <c r="D181" t="s">
        <v>560</v>
      </c>
      <c r="E181">
        <v>2</v>
      </c>
      <c r="F181" t="s">
        <v>561</v>
      </c>
      <c r="G181" s="10">
        <v>45040</v>
      </c>
      <c r="H181">
        <v>17400</v>
      </c>
      <c r="I181">
        <v>2400</v>
      </c>
      <c r="J181" t="s">
        <v>193</v>
      </c>
      <c r="K181">
        <v>5</v>
      </c>
      <c r="L181" t="s">
        <v>35</v>
      </c>
      <c r="M181" t="s">
        <v>27</v>
      </c>
    </row>
    <row r="182" spans="1:13">
      <c r="A182" t="s">
        <v>305</v>
      </c>
      <c r="B182" t="s">
        <v>118</v>
      </c>
      <c r="C182" t="s">
        <v>98</v>
      </c>
      <c r="D182" t="s">
        <v>562</v>
      </c>
      <c r="E182">
        <v>1</v>
      </c>
      <c r="F182" t="s">
        <v>563</v>
      </c>
      <c r="G182" s="10">
        <v>45036</v>
      </c>
      <c r="H182">
        <v>125000</v>
      </c>
      <c r="I182">
        <v>8334</v>
      </c>
      <c r="J182" t="s">
        <v>121</v>
      </c>
      <c r="K182">
        <v>6</v>
      </c>
      <c r="L182" t="s">
        <v>24</v>
      </c>
      <c r="M182" t="s">
        <v>30</v>
      </c>
    </row>
    <row r="183" spans="1:13">
      <c r="A183" t="s">
        <v>431</v>
      </c>
      <c r="B183" t="s">
        <v>160</v>
      </c>
      <c r="C183" t="s">
        <v>67</v>
      </c>
      <c r="D183" t="s">
        <v>564</v>
      </c>
      <c r="E183">
        <v>2</v>
      </c>
      <c r="F183" t="s">
        <v>565</v>
      </c>
      <c r="G183" s="10">
        <v>45036</v>
      </c>
      <c r="H183">
        <v>24265</v>
      </c>
      <c r="I183">
        <v>3165</v>
      </c>
      <c r="J183" t="s">
        <v>193</v>
      </c>
      <c r="K183">
        <v>5</v>
      </c>
      <c r="L183" t="s">
        <v>35</v>
      </c>
      <c r="M183" t="s">
        <v>27</v>
      </c>
    </row>
    <row r="184" spans="1:13">
      <c r="A184" t="s">
        <v>197</v>
      </c>
      <c r="B184" t="s">
        <v>160</v>
      </c>
      <c r="C184" t="s">
        <v>67</v>
      </c>
      <c r="D184" t="s">
        <v>566</v>
      </c>
      <c r="E184">
        <v>1</v>
      </c>
      <c r="F184" t="s">
        <v>567</v>
      </c>
      <c r="G184" s="10">
        <v>45061</v>
      </c>
      <c r="H184">
        <v>38377.5</v>
      </c>
      <c r="I184">
        <v>13377.5</v>
      </c>
      <c r="J184" t="s">
        <v>250</v>
      </c>
      <c r="K184">
        <v>6</v>
      </c>
      <c r="L184" t="s">
        <v>24</v>
      </c>
      <c r="M184" t="s">
        <v>29</v>
      </c>
    </row>
    <row r="185" spans="1:13">
      <c r="A185" t="s">
        <v>568</v>
      </c>
      <c r="B185" t="s">
        <v>179</v>
      </c>
      <c r="C185" t="s">
        <v>45</v>
      </c>
      <c r="D185" t="s">
        <v>569</v>
      </c>
      <c r="E185">
        <v>2</v>
      </c>
      <c r="F185" t="s">
        <v>570</v>
      </c>
      <c r="G185" s="10">
        <v>45036</v>
      </c>
      <c r="H185">
        <v>268800</v>
      </c>
      <c r="I185">
        <v>127134</v>
      </c>
      <c r="J185" t="s">
        <v>189</v>
      </c>
      <c r="K185">
        <v>5</v>
      </c>
      <c r="L185" t="s">
        <v>44</v>
      </c>
      <c r="M185" t="s">
        <v>45</v>
      </c>
    </row>
    <row r="186" spans="1:13">
      <c r="A186" t="s">
        <v>571</v>
      </c>
      <c r="B186" t="s">
        <v>179</v>
      </c>
      <c r="C186" t="s">
        <v>45</v>
      </c>
      <c r="D186" t="s">
        <v>572</v>
      </c>
      <c r="E186">
        <v>2</v>
      </c>
      <c r="F186" t="s">
        <v>573</v>
      </c>
      <c r="G186" s="10">
        <v>45036</v>
      </c>
      <c r="H186">
        <v>86730</v>
      </c>
      <c r="I186">
        <v>36730</v>
      </c>
      <c r="J186" t="s">
        <v>360</v>
      </c>
      <c r="K186">
        <v>5</v>
      </c>
      <c r="L186" t="s">
        <v>44</v>
      </c>
      <c r="M186" t="s">
        <v>45</v>
      </c>
    </row>
    <row r="187" spans="1:13">
      <c r="A187" t="s">
        <v>376</v>
      </c>
      <c r="B187" t="s">
        <v>66</v>
      </c>
      <c r="C187" t="s">
        <v>67</v>
      </c>
      <c r="D187" t="s">
        <v>574</v>
      </c>
      <c r="E187">
        <v>6</v>
      </c>
      <c r="F187" t="s">
        <v>575</v>
      </c>
      <c r="G187" s="10">
        <v>45041</v>
      </c>
      <c r="H187">
        <v>34375</v>
      </c>
      <c r="I187">
        <v>6875</v>
      </c>
      <c r="J187" t="s">
        <v>70</v>
      </c>
      <c r="K187">
        <v>5</v>
      </c>
      <c r="L187" t="s">
        <v>35</v>
      </c>
      <c r="M187" t="s">
        <v>36</v>
      </c>
    </row>
    <row r="188" spans="1:13">
      <c r="A188" t="s">
        <v>280</v>
      </c>
      <c r="B188" t="s">
        <v>160</v>
      </c>
      <c r="C188" t="s">
        <v>67</v>
      </c>
      <c r="D188" t="s">
        <v>576</v>
      </c>
      <c r="E188">
        <v>1</v>
      </c>
      <c r="F188" t="s">
        <v>577</v>
      </c>
      <c r="G188" s="10">
        <v>45061</v>
      </c>
      <c r="H188">
        <v>38377.5</v>
      </c>
      <c r="I188">
        <v>13377.5</v>
      </c>
      <c r="J188" t="s">
        <v>250</v>
      </c>
      <c r="K188">
        <v>6</v>
      </c>
      <c r="L188" t="s">
        <v>24</v>
      </c>
      <c r="M188" t="s">
        <v>29</v>
      </c>
    </row>
    <row r="189" spans="1:13">
      <c r="A189" t="s">
        <v>136</v>
      </c>
      <c r="B189" t="s">
        <v>117</v>
      </c>
      <c r="C189" t="s">
        <v>137</v>
      </c>
      <c r="D189" t="s">
        <v>578</v>
      </c>
      <c r="E189">
        <v>2</v>
      </c>
      <c r="F189" t="s">
        <v>579</v>
      </c>
      <c r="G189" s="10">
        <v>45047</v>
      </c>
      <c r="H189">
        <v>27500</v>
      </c>
      <c r="I189">
        <v>2500</v>
      </c>
      <c r="J189" t="s">
        <v>308</v>
      </c>
      <c r="K189">
        <v>6</v>
      </c>
      <c r="L189" t="s">
        <v>24</v>
      </c>
      <c r="M189" t="s">
        <v>32</v>
      </c>
    </row>
    <row r="190" spans="1:13">
      <c r="A190" t="s">
        <v>251</v>
      </c>
      <c r="B190" t="s">
        <v>160</v>
      </c>
      <c r="C190" t="s">
        <v>67</v>
      </c>
      <c r="D190" t="s">
        <v>580</v>
      </c>
      <c r="E190">
        <v>1</v>
      </c>
      <c r="F190" t="s">
        <v>581</v>
      </c>
      <c r="G190" s="10">
        <v>45061</v>
      </c>
      <c r="H190">
        <v>38377.5</v>
      </c>
      <c r="I190">
        <v>13377.5</v>
      </c>
      <c r="J190" t="s">
        <v>250</v>
      </c>
      <c r="K190">
        <v>6</v>
      </c>
      <c r="L190" t="s">
        <v>24</v>
      </c>
      <c r="M190" t="s">
        <v>29</v>
      </c>
    </row>
    <row r="191" spans="1:13">
      <c r="A191" t="s">
        <v>251</v>
      </c>
      <c r="B191" t="s">
        <v>160</v>
      </c>
      <c r="C191" t="s">
        <v>67</v>
      </c>
      <c r="D191" t="s">
        <v>582</v>
      </c>
      <c r="E191">
        <v>1</v>
      </c>
      <c r="F191" t="s">
        <v>583</v>
      </c>
      <c r="G191" s="10">
        <v>45061</v>
      </c>
      <c r="H191">
        <v>38377.5</v>
      </c>
      <c r="I191">
        <v>13377.5</v>
      </c>
      <c r="J191" t="s">
        <v>250</v>
      </c>
      <c r="K191">
        <v>6</v>
      </c>
      <c r="L191" t="s">
        <v>24</v>
      </c>
      <c r="M191" t="s">
        <v>29</v>
      </c>
    </row>
    <row r="192" spans="1:13">
      <c r="A192" t="s">
        <v>341</v>
      </c>
      <c r="B192" t="s">
        <v>179</v>
      </c>
      <c r="C192" t="s">
        <v>45</v>
      </c>
      <c r="D192" t="s">
        <v>584</v>
      </c>
      <c r="E192">
        <v>2</v>
      </c>
      <c r="F192" t="s">
        <v>585</v>
      </c>
      <c r="G192" s="10">
        <v>45036</v>
      </c>
      <c r="H192">
        <v>268800</v>
      </c>
      <c r="I192">
        <v>102134</v>
      </c>
      <c r="J192" t="s">
        <v>189</v>
      </c>
      <c r="K192">
        <v>5</v>
      </c>
      <c r="L192" t="s">
        <v>44</v>
      </c>
      <c r="M192" t="s">
        <v>45</v>
      </c>
    </row>
    <row r="193" spans="1:13">
      <c r="A193" t="s">
        <v>361</v>
      </c>
      <c r="B193" t="s">
        <v>72</v>
      </c>
      <c r="C193" t="s">
        <v>67</v>
      </c>
      <c r="D193" t="s">
        <v>586</v>
      </c>
      <c r="E193">
        <v>1</v>
      </c>
      <c r="F193" t="s">
        <v>587</v>
      </c>
      <c r="G193" s="10">
        <v>45061</v>
      </c>
      <c r="H193">
        <v>38377.5</v>
      </c>
      <c r="I193">
        <v>13377.5</v>
      </c>
      <c r="J193" t="s">
        <v>250</v>
      </c>
      <c r="K193">
        <v>6</v>
      </c>
      <c r="L193" t="s">
        <v>24</v>
      </c>
      <c r="M193" t="s">
        <v>29</v>
      </c>
    </row>
    <row r="194" spans="1:13">
      <c r="A194" t="s">
        <v>194</v>
      </c>
      <c r="B194" t="s">
        <v>160</v>
      </c>
      <c r="C194" t="s">
        <v>67</v>
      </c>
      <c r="D194" t="s">
        <v>588</v>
      </c>
      <c r="E194">
        <v>1</v>
      </c>
      <c r="F194" t="s">
        <v>589</v>
      </c>
      <c r="G194" s="10">
        <v>45061</v>
      </c>
      <c r="H194">
        <v>0</v>
      </c>
      <c r="I194">
        <v>-25000</v>
      </c>
      <c r="J194" t="s">
        <v>250</v>
      </c>
      <c r="K194">
        <v>6</v>
      </c>
      <c r="L194" t="s">
        <v>24</v>
      </c>
      <c r="M194" t="s">
        <v>29</v>
      </c>
    </row>
    <row r="195" spans="1:13">
      <c r="A195" t="s">
        <v>361</v>
      </c>
      <c r="B195" t="s">
        <v>72</v>
      </c>
      <c r="C195" t="s">
        <v>67</v>
      </c>
      <c r="D195" t="s">
        <v>590</v>
      </c>
      <c r="E195">
        <v>1</v>
      </c>
      <c r="F195" t="s">
        <v>591</v>
      </c>
      <c r="G195" s="10">
        <v>45078</v>
      </c>
      <c r="H195">
        <v>38377.5</v>
      </c>
      <c r="I195">
        <v>13377.5</v>
      </c>
      <c r="J195" t="s">
        <v>250</v>
      </c>
      <c r="K195">
        <v>6</v>
      </c>
      <c r="L195" t="s">
        <v>24</v>
      </c>
      <c r="M195" t="s">
        <v>29</v>
      </c>
    </row>
    <row r="196" spans="1:13">
      <c r="A196" t="s">
        <v>361</v>
      </c>
      <c r="B196" t="s">
        <v>72</v>
      </c>
      <c r="C196" t="s">
        <v>67</v>
      </c>
      <c r="D196" t="s">
        <v>592</v>
      </c>
      <c r="E196">
        <v>1</v>
      </c>
      <c r="F196" t="s">
        <v>593</v>
      </c>
      <c r="G196" s="10">
        <v>45078</v>
      </c>
      <c r="H196">
        <v>32130</v>
      </c>
      <c r="I196">
        <v>12130</v>
      </c>
      <c r="J196" t="s">
        <v>250</v>
      </c>
      <c r="K196">
        <v>6</v>
      </c>
      <c r="L196" t="s">
        <v>24</v>
      </c>
      <c r="M196" t="s">
        <v>29</v>
      </c>
    </row>
    <row r="197" spans="1:13">
      <c r="A197" t="s">
        <v>261</v>
      </c>
      <c r="B197" t="s">
        <v>160</v>
      </c>
      <c r="C197" t="s">
        <v>67</v>
      </c>
      <c r="D197" t="s">
        <v>594</v>
      </c>
      <c r="E197">
        <v>1</v>
      </c>
      <c r="F197" t="s">
        <v>595</v>
      </c>
      <c r="G197" s="10">
        <v>45061</v>
      </c>
      <c r="H197">
        <v>38378</v>
      </c>
      <c r="I197">
        <v>13378</v>
      </c>
      <c r="J197" t="s">
        <v>250</v>
      </c>
      <c r="K197">
        <v>6</v>
      </c>
      <c r="L197" t="s">
        <v>24</v>
      </c>
      <c r="M197" t="s">
        <v>29</v>
      </c>
    </row>
    <row r="198" spans="1:13">
      <c r="A198" t="s">
        <v>251</v>
      </c>
      <c r="B198" t="s">
        <v>160</v>
      </c>
      <c r="C198" t="s">
        <v>67</v>
      </c>
      <c r="D198" t="s">
        <v>596</v>
      </c>
      <c r="E198">
        <v>1</v>
      </c>
      <c r="F198" t="s">
        <v>597</v>
      </c>
      <c r="G198" s="10">
        <v>45061</v>
      </c>
      <c r="H198">
        <v>38377.5</v>
      </c>
      <c r="I198">
        <v>13377.5</v>
      </c>
      <c r="J198" t="s">
        <v>250</v>
      </c>
      <c r="K198">
        <v>6</v>
      </c>
      <c r="L198" t="s">
        <v>24</v>
      </c>
      <c r="M198" t="s">
        <v>29</v>
      </c>
    </row>
    <row r="199" spans="1:13">
      <c r="A199" t="s">
        <v>251</v>
      </c>
      <c r="B199" t="s">
        <v>160</v>
      </c>
      <c r="C199" t="s">
        <v>67</v>
      </c>
      <c r="D199" t="s">
        <v>598</v>
      </c>
      <c r="E199">
        <v>1</v>
      </c>
      <c r="F199" t="s">
        <v>599</v>
      </c>
      <c r="G199" s="10">
        <v>45061</v>
      </c>
      <c r="H199">
        <v>38377.5</v>
      </c>
      <c r="I199">
        <v>13377.5</v>
      </c>
      <c r="J199" t="s">
        <v>250</v>
      </c>
      <c r="K199">
        <v>6</v>
      </c>
      <c r="L199" t="s">
        <v>24</v>
      </c>
      <c r="M199" t="s">
        <v>29</v>
      </c>
    </row>
    <row r="200" spans="1:13">
      <c r="A200" t="s">
        <v>251</v>
      </c>
      <c r="B200" t="s">
        <v>160</v>
      </c>
      <c r="C200" t="s">
        <v>67</v>
      </c>
      <c r="D200" t="s">
        <v>600</v>
      </c>
      <c r="E200">
        <v>1</v>
      </c>
      <c r="F200" t="s">
        <v>601</v>
      </c>
      <c r="G200" s="10">
        <v>45061</v>
      </c>
      <c r="H200">
        <v>38377.5</v>
      </c>
      <c r="I200">
        <v>13377.5</v>
      </c>
      <c r="J200" t="s">
        <v>250</v>
      </c>
      <c r="K200">
        <v>6</v>
      </c>
      <c r="L200" t="s">
        <v>24</v>
      </c>
      <c r="M200" t="s">
        <v>29</v>
      </c>
    </row>
    <row r="201" spans="1:13">
      <c r="A201" t="s">
        <v>602</v>
      </c>
      <c r="B201" t="s">
        <v>224</v>
      </c>
      <c r="C201" t="s">
        <v>94</v>
      </c>
      <c r="D201" t="s">
        <v>603</v>
      </c>
      <c r="E201">
        <v>2</v>
      </c>
      <c r="F201" t="s">
        <v>604</v>
      </c>
      <c r="G201" s="10">
        <v>45042</v>
      </c>
      <c r="H201">
        <v>30000</v>
      </c>
      <c r="I201">
        <v>5000</v>
      </c>
      <c r="J201" t="s">
        <v>227</v>
      </c>
      <c r="K201">
        <v>5</v>
      </c>
      <c r="L201" t="s">
        <v>41</v>
      </c>
      <c r="M201" t="s">
        <v>42</v>
      </c>
    </row>
    <row r="202" spans="1:13">
      <c r="A202" t="s">
        <v>266</v>
      </c>
      <c r="B202" t="s">
        <v>160</v>
      </c>
      <c r="C202" t="s">
        <v>67</v>
      </c>
      <c r="D202" t="s">
        <v>605</v>
      </c>
      <c r="E202">
        <v>1</v>
      </c>
      <c r="F202" t="s">
        <v>606</v>
      </c>
      <c r="G202" s="10">
        <v>45061</v>
      </c>
      <c r="H202">
        <v>38377.5</v>
      </c>
      <c r="I202">
        <v>13377.5</v>
      </c>
      <c r="J202" t="s">
        <v>250</v>
      </c>
      <c r="K202">
        <v>6</v>
      </c>
      <c r="L202" t="s">
        <v>24</v>
      </c>
      <c r="M202" t="s">
        <v>29</v>
      </c>
    </row>
    <row r="203" spans="1:13">
      <c r="A203" t="s">
        <v>382</v>
      </c>
      <c r="B203" t="s">
        <v>141</v>
      </c>
      <c r="C203" t="s">
        <v>67</v>
      </c>
      <c r="D203" t="s">
        <v>607</v>
      </c>
      <c r="E203">
        <v>1</v>
      </c>
      <c r="F203" t="s">
        <v>608</v>
      </c>
      <c r="G203" s="10">
        <v>45061</v>
      </c>
      <c r="H203">
        <v>38377.5</v>
      </c>
      <c r="I203">
        <v>13377.5</v>
      </c>
      <c r="J203" t="s">
        <v>250</v>
      </c>
      <c r="K203">
        <v>6</v>
      </c>
      <c r="L203" t="s">
        <v>24</v>
      </c>
      <c r="M203" t="s">
        <v>29</v>
      </c>
    </row>
    <row r="204" spans="1:13">
      <c r="A204" t="s">
        <v>266</v>
      </c>
      <c r="B204" t="s">
        <v>160</v>
      </c>
      <c r="C204" t="s">
        <v>67</v>
      </c>
      <c r="D204" t="s">
        <v>609</v>
      </c>
      <c r="E204">
        <v>1</v>
      </c>
      <c r="F204" t="s">
        <v>610</v>
      </c>
      <c r="G204" s="10">
        <v>45078</v>
      </c>
      <c r="H204">
        <v>0</v>
      </c>
      <c r="I204">
        <v>-25000</v>
      </c>
      <c r="J204" t="s">
        <v>250</v>
      </c>
      <c r="K204">
        <v>6</v>
      </c>
      <c r="L204" t="s">
        <v>24</v>
      </c>
      <c r="M204" t="s">
        <v>29</v>
      </c>
    </row>
    <row r="205" spans="1:13">
      <c r="A205" t="s">
        <v>266</v>
      </c>
      <c r="B205" t="s">
        <v>160</v>
      </c>
      <c r="C205" t="s">
        <v>67</v>
      </c>
      <c r="D205" t="s">
        <v>611</v>
      </c>
      <c r="E205">
        <v>1</v>
      </c>
      <c r="F205" t="s">
        <v>612</v>
      </c>
      <c r="G205" s="10">
        <v>45078</v>
      </c>
      <c r="H205">
        <v>38377.5</v>
      </c>
      <c r="I205">
        <v>13377.5</v>
      </c>
      <c r="J205" t="s">
        <v>250</v>
      </c>
      <c r="K205">
        <v>6</v>
      </c>
      <c r="L205" t="s">
        <v>24</v>
      </c>
      <c r="M205" t="s">
        <v>29</v>
      </c>
    </row>
    <row r="206" spans="1:13">
      <c r="A206" t="s">
        <v>140</v>
      </c>
      <c r="B206" t="s">
        <v>141</v>
      </c>
      <c r="C206" t="s">
        <v>67</v>
      </c>
      <c r="D206" t="s">
        <v>613</v>
      </c>
      <c r="E206">
        <v>1</v>
      </c>
      <c r="F206" t="s">
        <v>614</v>
      </c>
      <c r="G206" s="10">
        <v>45061</v>
      </c>
      <c r="H206">
        <v>38377.5</v>
      </c>
      <c r="I206">
        <v>13377.5</v>
      </c>
      <c r="J206" t="s">
        <v>250</v>
      </c>
      <c r="K206">
        <v>6</v>
      </c>
      <c r="L206" t="s">
        <v>24</v>
      </c>
      <c r="M206" t="s">
        <v>29</v>
      </c>
    </row>
    <row r="207" spans="1:13">
      <c r="A207" t="s">
        <v>65</v>
      </c>
      <c r="B207" t="s">
        <v>66</v>
      </c>
      <c r="C207" t="s">
        <v>67</v>
      </c>
      <c r="D207" t="s">
        <v>615</v>
      </c>
      <c r="E207">
        <v>6</v>
      </c>
      <c r="F207" t="s">
        <v>616</v>
      </c>
      <c r="G207" s="10">
        <v>45041</v>
      </c>
      <c r="H207">
        <v>34375</v>
      </c>
      <c r="I207">
        <v>6875</v>
      </c>
      <c r="J207" t="s">
        <v>70</v>
      </c>
      <c r="K207">
        <v>6</v>
      </c>
      <c r="L207" t="s">
        <v>35</v>
      </c>
      <c r="M207" t="s">
        <v>36</v>
      </c>
    </row>
    <row r="208" spans="1:13">
      <c r="A208" t="s">
        <v>617</v>
      </c>
      <c r="B208" t="s">
        <v>179</v>
      </c>
      <c r="C208" t="s">
        <v>45</v>
      </c>
      <c r="D208" t="s">
        <v>618</v>
      </c>
      <c r="E208">
        <v>2</v>
      </c>
      <c r="F208" t="s">
        <v>619</v>
      </c>
      <c r="G208" s="10">
        <v>45035</v>
      </c>
      <c r="H208">
        <v>336000</v>
      </c>
      <c r="I208">
        <v>144334</v>
      </c>
      <c r="J208" t="s">
        <v>189</v>
      </c>
      <c r="K208">
        <v>5</v>
      </c>
      <c r="L208" t="s">
        <v>44</v>
      </c>
      <c r="M208" t="s">
        <v>45</v>
      </c>
    </row>
    <row r="209" spans="1:13">
      <c r="A209" t="s">
        <v>617</v>
      </c>
      <c r="B209" t="s">
        <v>179</v>
      </c>
      <c r="C209" t="s">
        <v>45</v>
      </c>
      <c r="D209" t="s">
        <v>620</v>
      </c>
      <c r="E209">
        <v>2</v>
      </c>
      <c r="F209" t="s">
        <v>621</v>
      </c>
      <c r="G209" s="10">
        <v>45040</v>
      </c>
      <c r="H209">
        <v>281008</v>
      </c>
      <c r="I209">
        <v>156008</v>
      </c>
      <c r="J209" t="s">
        <v>189</v>
      </c>
      <c r="K209">
        <v>6</v>
      </c>
      <c r="L209" t="s">
        <v>44</v>
      </c>
      <c r="M209" t="s">
        <v>45</v>
      </c>
    </row>
    <row r="210" spans="1:13">
      <c r="A210" t="s">
        <v>361</v>
      </c>
      <c r="B210" t="s">
        <v>72</v>
      </c>
      <c r="C210" t="s">
        <v>67</v>
      </c>
      <c r="D210" t="s">
        <v>622</v>
      </c>
      <c r="E210">
        <v>1</v>
      </c>
      <c r="F210" t="s">
        <v>623</v>
      </c>
      <c r="G210" s="10">
        <v>45139</v>
      </c>
      <c r="H210">
        <v>32130</v>
      </c>
      <c r="I210">
        <v>12130</v>
      </c>
      <c r="J210" t="s">
        <v>250</v>
      </c>
      <c r="K210">
        <v>6</v>
      </c>
      <c r="L210" t="s">
        <v>24</v>
      </c>
      <c r="M210" t="s">
        <v>29</v>
      </c>
    </row>
    <row r="211" spans="1:13">
      <c r="A211" t="s">
        <v>361</v>
      </c>
      <c r="B211" t="s">
        <v>72</v>
      </c>
      <c r="C211" t="s">
        <v>67</v>
      </c>
      <c r="D211" t="s">
        <v>624</v>
      </c>
      <c r="E211">
        <v>1</v>
      </c>
      <c r="F211" t="s">
        <v>625</v>
      </c>
      <c r="G211" s="10">
        <v>45078</v>
      </c>
      <c r="H211">
        <v>32130</v>
      </c>
      <c r="I211">
        <v>12130</v>
      </c>
      <c r="J211" t="s">
        <v>250</v>
      </c>
      <c r="K211">
        <v>6</v>
      </c>
      <c r="L211" t="s">
        <v>24</v>
      </c>
      <c r="M211" t="s">
        <v>29</v>
      </c>
    </row>
    <row r="212" spans="1:13">
      <c r="A212" t="s">
        <v>361</v>
      </c>
      <c r="B212" t="s">
        <v>72</v>
      </c>
      <c r="C212" t="s">
        <v>67</v>
      </c>
      <c r="D212" t="s">
        <v>626</v>
      </c>
      <c r="E212">
        <v>1</v>
      </c>
      <c r="F212" t="s">
        <v>627</v>
      </c>
      <c r="G212" s="10">
        <v>45078</v>
      </c>
      <c r="H212">
        <v>32130</v>
      </c>
      <c r="I212">
        <v>12130</v>
      </c>
      <c r="J212" t="s">
        <v>250</v>
      </c>
      <c r="K212">
        <v>6</v>
      </c>
      <c r="L212" t="s">
        <v>24</v>
      </c>
      <c r="M212" t="s">
        <v>29</v>
      </c>
    </row>
    <row r="213" spans="1:13">
      <c r="A213" t="s">
        <v>628</v>
      </c>
      <c r="B213" t="s">
        <v>66</v>
      </c>
      <c r="C213" t="s">
        <v>67</v>
      </c>
      <c r="D213" t="s">
        <v>629</v>
      </c>
      <c r="E213">
        <v>6</v>
      </c>
      <c r="F213" t="s">
        <v>630</v>
      </c>
      <c r="G213" s="10">
        <v>45041</v>
      </c>
      <c r="H213">
        <v>34375</v>
      </c>
      <c r="I213">
        <v>6875</v>
      </c>
      <c r="J213" t="s">
        <v>70</v>
      </c>
      <c r="K213">
        <v>6</v>
      </c>
      <c r="L213" t="s">
        <v>35</v>
      </c>
      <c r="M213" t="s">
        <v>36</v>
      </c>
    </row>
    <row r="214" spans="1:13">
      <c r="A214" t="s">
        <v>376</v>
      </c>
      <c r="B214" t="s">
        <v>66</v>
      </c>
      <c r="C214" t="s">
        <v>67</v>
      </c>
      <c r="D214" t="s">
        <v>631</v>
      </c>
      <c r="E214">
        <v>6</v>
      </c>
      <c r="F214" t="s">
        <v>632</v>
      </c>
      <c r="G214" s="10">
        <v>45041</v>
      </c>
      <c r="H214">
        <v>34375</v>
      </c>
      <c r="I214">
        <v>6875</v>
      </c>
      <c r="J214" t="s">
        <v>70</v>
      </c>
      <c r="K214">
        <v>5</v>
      </c>
      <c r="L214" t="s">
        <v>35</v>
      </c>
      <c r="M214" t="s">
        <v>36</v>
      </c>
    </row>
    <row r="215" spans="1:13">
      <c r="A215" t="s">
        <v>256</v>
      </c>
      <c r="B215" t="s">
        <v>160</v>
      </c>
      <c r="C215" t="s">
        <v>67</v>
      </c>
      <c r="D215" t="s">
        <v>633</v>
      </c>
      <c r="E215">
        <v>1</v>
      </c>
      <c r="F215" t="s">
        <v>634</v>
      </c>
      <c r="G215" s="10">
        <v>45078</v>
      </c>
      <c r="H215">
        <v>38377.5</v>
      </c>
      <c r="I215">
        <v>13377.5</v>
      </c>
      <c r="J215" t="s">
        <v>250</v>
      </c>
      <c r="K215">
        <v>6</v>
      </c>
      <c r="L215" t="s">
        <v>24</v>
      </c>
      <c r="M215" t="s">
        <v>29</v>
      </c>
    </row>
    <row r="216" spans="1:13">
      <c r="A216" t="s">
        <v>251</v>
      </c>
      <c r="B216" t="s">
        <v>160</v>
      </c>
      <c r="C216" t="s">
        <v>67</v>
      </c>
      <c r="D216" t="s">
        <v>635</v>
      </c>
      <c r="E216">
        <v>2</v>
      </c>
      <c r="F216" t="s">
        <v>636</v>
      </c>
      <c r="G216" s="10">
        <v>45037</v>
      </c>
      <c r="H216">
        <v>17400</v>
      </c>
      <c r="I216">
        <v>2400</v>
      </c>
      <c r="J216" t="s">
        <v>193</v>
      </c>
      <c r="K216">
        <v>5</v>
      </c>
      <c r="L216" t="s">
        <v>35</v>
      </c>
      <c r="M216" t="s">
        <v>27</v>
      </c>
    </row>
    <row r="217" spans="1:13">
      <c r="A217" t="s">
        <v>280</v>
      </c>
      <c r="B217" t="s">
        <v>160</v>
      </c>
      <c r="C217" t="s">
        <v>67</v>
      </c>
      <c r="D217" t="s">
        <v>637</v>
      </c>
      <c r="E217">
        <v>2</v>
      </c>
      <c r="F217" t="s">
        <v>638</v>
      </c>
      <c r="G217" s="10">
        <v>45040</v>
      </c>
      <c r="H217">
        <v>19550</v>
      </c>
      <c r="I217">
        <v>2550</v>
      </c>
      <c r="J217" t="s">
        <v>193</v>
      </c>
      <c r="K217">
        <v>6</v>
      </c>
      <c r="L217" t="s">
        <v>35</v>
      </c>
      <c r="M217" t="s">
        <v>27</v>
      </c>
    </row>
    <row r="218" spans="1:13">
      <c r="A218" t="s">
        <v>639</v>
      </c>
      <c r="B218" t="s">
        <v>215</v>
      </c>
      <c r="C218" t="s">
        <v>94</v>
      </c>
      <c r="D218" t="s">
        <v>640</v>
      </c>
      <c r="E218">
        <v>2</v>
      </c>
      <c r="F218" t="s">
        <v>641</v>
      </c>
      <c r="G218" s="10">
        <v>45042</v>
      </c>
      <c r="H218">
        <v>278208</v>
      </c>
      <c r="I218">
        <v>3208</v>
      </c>
      <c r="J218" t="s">
        <v>106</v>
      </c>
      <c r="K218">
        <v>5</v>
      </c>
      <c r="L218" t="s">
        <v>39</v>
      </c>
      <c r="M218" t="s">
        <v>40</v>
      </c>
    </row>
    <row r="219" spans="1:13">
      <c r="A219" t="s">
        <v>642</v>
      </c>
      <c r="B219" t="s">
        <v>179</v>
      </c>
      <c r="C219" t="s">
        <v>45</v>
      </c>
      <c r="D219" t="s">
        <v>643</v>
      </c>
      <c r="E219">
        <v>2</v>
      </c>
      <c r="F219" t="s">
        <v>644</v>
      </c>
      <c r="G219" s="10">
        <v>45040</v>
      </c>
      <c r="H219">
        <v>268800</v>
      </c>
      <c r="I219">
        <v>160467</v>
      </c>
      <c r="J219" t="s">
        <v>189</v>
      </c>
      <c r="K219">
        <v>5</v>
      </c>
      <c r="L219" t="s">
        <v>44</v>
      </c>
      <c r="M219" t="s">
        <v>45</v>
      </c>
    </row>
    <row r="220" spans="1:13">
      <c r="A220" t="s">
        <v>645</v>
      </c>
      <c r="B220" t="s">
        <v>28</v>
      </c>
      <c r="C220" t="s">
        <v>238</v>
      </c>
      <c r="D220" t="s">
        <v>646</v>
      </c>
      <c r="E220">
        <v>2</v>
      </c>
      <c r="F220" t="s">
        <v>647</v>
      </c>
      <c r="G220" s="10">
        <v>45120</v>
      </c>
      <c r="H220">
        <v>87500</v>
      </c>
      <c r="I220">
        <v>4167</v>
      </c>
      <c r="J220" t="s">
        <v>375</v>
      </c>
      <c r="K220">
        <v>5</v>
      </c>
      <c r="L220" t="s">
        <v>24</v>
      </c>
      <c r="M220" s="5" t="s">
        <v>28</v>
      </c>
    </row>
    <row r="221" spans="1:13">
      <c r="A221" t="s">
        <v>399</v>
      </c>
      <c r="B221" t="s">
        <v>231</v>
      </c>
      <c r="C221" t="s">
        <v>400</v>
      </c>
      <c r="D221" t="s">
        <v>648</v>
      </c>
      <c r="E221">
        <v>2</v>
      </c>
      <c r="F221" t="s">
        <v>649</v>
      </c>
      <c r="G221" s="10">
        <v>45068</v>
      </c>
      <c r="H221">
        <v>45000</v>
      </c>
      <c r="I221">
        <v>10000</v>
      </c>
      <c r="J221" t="s">
        <v>227</v>
      </c>
      <c r="K221">
        <v>5</v>
      </c>
      <c r="L221" t="s">
        <v>41</v>
      </c>
      <c r="M221" t="s">
        <v>42</v>
      </c>
    </row>
    <row r="222" spans="1:13">
      <c r="A222" t="s">
        <v>650</v>
      </c>
      <c r="B222" t="s">
        <v>513</v>
      </c>
      <c r="C222" t="s">
        <v>514</v>
      </c>
      <c r="D222" t="s">
        <v>651</v>
      </c>
      <c r="E222">
        <v>2</v>
      </c>
      <c r="F222" t="s">
        <v>652</v>
      </c>
      <c r="G222" s="10">
        <v>45040</v>
      </c>
      <c r="H222">
        <v>165000</v>
      </c>
      <c r="I222">
        <v>73334</v>
      </c>
      <c r="J222" t="s">
        <v>653</v>
      </c>
      <c r="K222">
        <v>5</v>
      </c>
      <c r="L222" t="s">
        <v>44</v>
      </c>
      <c r="M222" t="s">
        <v>45</v>
      </c>
    </row>
    <row r="223" spans="1:13">
      <c r="A223" t="s">
        <v>382</v>
      </c>
      <c r="B223" t="s">
        <v>141</v>
      </c>
      <c r="C223" t="s">
        <v>67</v>
      </c>
      <c r="D223" t="s">
        <v>654</v>
      </c>
      <c r="E223">
        <v>1</v>
      </c>
      <c r="F223" t="s">
        <v>655</v>
      </c>
      <c r="G223" s="10">
        <v>45061</v>
      </c>
      <c r="H223">
        <v>38377.5</v>
      </c>
      <c r="I223">
        <v>13377.5</v>
      </c>
      <c r="J223" t="s">
        <v>250</v>
      </c>
      <c r="K223">
        <v>6</v>
      </c>
      <c r="L223" t="s">
        <v>24</v>
      </c>
      <c r="M223" t="s">
        <v>29</v>
      </c>
    </row>
    <row r="224" spans="1:13">
      <c r="A224" t="s">
        <v>656</v>
      </c>
      <c r="B224" t="s">
        <v>231</v>
      </c>
      <c r="C224" t="s">
        <v>400</v>
      </c>
      <c r="D224" t="s">
        <v>657</v>
      </c>
      <c r="E224">
        <v>2</v>
      </c>
      <c r="F224" t="s">
        <v>658</v>
      </c>
      <c r="G224" s="10">
        <v>45041</v>
      </c>
      <c r="H224">
        <v>39000</v>
      </c>
      <c r="I224">
        <v>7334</v>
      </c>
      <c r="J224" t="s">
        <v>227</v>
      </c>
      <c r="K224">
        <v>6</v>
      </c>
      <c r="L224" t="s">
        <v>41</v>
      </c>
      <c r="M224" t="s">
        <v>42</v>
      </c>
    </row>
    <row r="225" spans="1:13">
      <c r="A225" t="s">
        <v>275</v>
      </c>
      <c r="B225" t="s">
        <v>160</v>
      </c>
      <c r="C225" t="s">
        <v>67</v>
      </c>
      <c r="D225" t="s">
        <v>659</v>
      </c>
      <c r="E225">
        <v>1</v>
      </c>
      <c r="F225" t="s">
        <v>660</v>
      </c>
      <c r="G225" s="10">
        <v>45061</v>
      </c>
      <c r="H225">
        <v>0</v>
      </c>
      <c r="I225">
        <v>-25000</v>
      </c>
      <c r="J225" t="s">
        <v>75</v>
      </c>
      <c r="K225">
        <v>6</v>
      </c>
      <c r="L225" t="s">
        <v>35</v>
      </c>
      <c r="M225" t="s">
        <v>29</v>
      </c>
    </row>
    <row r="226" spans="1:13">
      <c r="A226" t="s">
        <v>661</v>
      </c>
      <c r="B226" t="s">
        <v>179</v>
      </c>
      <c r="C226" t="s">
        <v>45</v>
      </c>
      <c r="D226" t="s">
        <v>662</v>
      </c>
      <c r="E226">
        <v>2</v>
      </c>
      <c r="F226" t="s">
        <v>663</v>
      </c>
      <c r="G226" s="10">
        <v>45040</v>
      </c>
      <c r="H226">
        <v>53100</v>
      </c>
      <c r="I226">
        <v>8100</v>
      </c>
      <c r="J226" t="s">
        <v>182</v>
      </c>
      <c r="K226">
        <v>5</v>
      </c>
      <c r="L226" t="s">
        <v>44</v>
      </c>
      <c r="M226" t="s">
        <v>45</v>
      </c>
    </row>
    <row r="227" spans="1:13">
      <c r="A227" t="s">
        <v>197</v>
      </c>
      <c r="B227" t="s">
        <v>160</v>
      </c>
      <c r="C227" t="s">
        <v>67</v>
      </c>
      <c r="D227" t="s">
        <v>664</v>
      </c>
      <c r="E227">
        <v>2</v>
      </c>
      <c r="F227" t="s">
        <v>665</v>
      </c>
      <c r="G227" s="10">
        <v>45048</v>
      </c>
      <c r="H227">
        <v>17400</v>
      </c>
      <c r="I227">
        <v>2400</v>
      </c>
      <c r="J227" t="s">
        <v>193</v>
      </c>
      <c r="K227">
        <v>5</v>
      </c>
      <c r="L227" t="s">
        <v>35</v>
      </c>
      <c r="M227" t="s">
        <v>27</v>
      </c>
    </row>
    <row r="228" spans="1:13">
      <c r="A228" t="s">
        <v>170</v>
      </c>
      <c r="B228" t="s">
        <v>66</v>
      </c>
      <c r="C228" t="s">
        <v>67</v>
      </c>
      <c r="D228" t="s">
        <v>666</v>
      </c>
      <c r="E228">
        <v>6</v>
      </c>
      <c r="F228" t="s">
        <v>667</v>
      </c>
      <c r="G228" s="10">
        <v>45041</v>
      </c>
      <c r="H228">
        <v>34375</v>
      </c>
      <c r="I228">
        <v>6875</v>
      </c>
      <c r="J228" t="s">
        <v>70</v>
      </c>
      <c r="K228">
        <v>5</v>
      </c>
      <c r="L228" t="s">
        <v>35</v>
      </c>
      <c r="M228" t="s">
        <v>36</v>
      </c>
    </row>
    <row r="229" spans="1:13">
      <c r="A229" t="s">
        <v>251</v>
      </c>
      <c r="B229" t="s">
        <v>160</v>
      </c>
      <c r="C229" t="s">
        <v>67</v>
      </c>
      <c r="D229" t="s">
        <v>668</v>
      </c>
      <c r="E229">
        <v>1</v>
      </c>
      <c r="F229" t="s">
        <v>669</v>
      </c>
      <c r="G229" s="10">
        <v>45078</v>
      </c>
      <c r="H229">
        <v>38377.5</v>
      </c>
      <c r="I229">
        <v>13377.5</v>
      </c>
      <c r="J229" t="s">
        <v>250</v>
      </c>
      <c r="K229">
        <v>6</v>
      </c>
      <c r="L229" t="s">
        <v>24</v>
      </c>
      <c r="M229" t="s">
        <v>29</v>
      </c>
    </row>
    <row r="230" spans="1:13">
      <c r="A230" t="s">
        <v>159</v>
      </c>
      <c r="B230" t="s">
        <v>160</v>
      </c>
      <c r="C230" t="s">
        <v>67</v>
      </c>
      <c r="D230" t="s">
        <v>670</v>
      </c>
      <c r="E230">
        <v>1</v>
      </c>
      <c r="F230" t="s">
        <v>671</v>
      </c>
      <c r="G230" s="10">
        <v>45078</v>
      </c>
      <c r="H230">
        <v>38377.5</v>
      </c>
      <c r="I230">
        <v>13377.5</v>
      </c>
      <c r="J230" t="s">
        <v>250</v>
      </c>
      <c r="K230">
        <v>6</v>
      </c>
      <c r="L230" t="s">
        <v>24</v>
      </c>
      <c r="M230" t="s">
        <v>29</v>
      </c>
    </row>
    <row r="231" spans="1:13">
      <c r="A231" t="s">
        <v>261</v>
      </c>
      <c r="B231" t="s">
        <v>160</v>
      </c>
      <c r="C231" t="s">
        <v>67</v>
      </c>
      <c r="D231" t="s">
        <v>672</v>
      </c>
      <c r="E231">
        <v>1</v>
      </c>
      <c r="F231" t="s">
        <v>673</v>
      </c>
      <c r="G231" s="10">
        <v>45078</v>
      </c>
      <c r="H231">
        <v>38377.5</v>
      </c>
      <c r="I231">
        <v>13377.5</v>
      </c>
      <c r="J231" t="s">
        <v>250</v>
      </c>
      <c r="K231">
        <v>6</v>
      </c>
      <c r="L231" t="s">
        <v>24</v>
      </c>
      <c r="M231" t="s">
        <v>29</v>
      </c>
    </row>
    <row r="232" spans="1:13">
      <c r="A232" t="s">
        <v>235</v>
      </c>
      <c r="B232" t="s">
        <v>215</v>
      </c>
      <c r="C232" t="s">
        <v>94</v>
      </c>
      <c r="D232" t="s">
        <v>674</v>
      </c>
      <c r="E232">
        <v>2</v>
      </c>
      <c r="F232" t="s">
        <v>675</v>
      </c>
      <c r="G232" s="10">
        <v>45041</v>
      </c>
      <c r="H232">
        <v>30000</v>
      </c>
      <c r="I232">
        <v>5000</v>
      </c>
      <c r="J232" t="s">
        <v>227</v>
      </c>
      <c r="K232">
        <v>5</v>
      </c>
      <c r="L232" t="s">
        <v>41</v>
      </c>
      <c r="M232" t="s">
        <v>42</v>
      </c>
    </row>
    <row r="233" spans="1:13">
      <c r="A233" t="s">
        <v>676</v>
      </c>
      <c r="B233" t="s">
        <v>28</v>
      </c>
      <c r="C233" t="s">
        <v>238</v>
      </c>
      <c r="D233" t="s">
        <v>677</v>
      </c>
      <c r="E233">
        <v>2</v>
      </c>
      <c r="F233" t="s">
        <v>678</v>
      </c>
      <c r="G233" s="10">
        <v>45040</v>
      </c>
      <c r="H233">
        <v>65125</v>
      </c>
      <c r="I233">
        <v>2625</v>
      </c>
      <c r="J233" t="s">
        <v>85</v>
      </c>
      <c r="K233">
        <v>5</v>
      </c>
      <c r="L233" t="s">
        <v>24</v>
      </c>
      <c r="M233" t="s">
        <v>25</v>
      </c>
    </row>
    <row r="234" spans="1:13">
      <c r="A234" t="s">
        <v>159</v>
      </c>
      <c r="B234" t="s">
        <v>160</v>
      </c>
      <c r="C234" t="s">
        <v>67</v>
      </c>
      <c r="D234" t="s">
        <v>679</v>
      </c>
      <c r="E234">
        <v>2</v>
      </c>
      <c r="F234" t="s">
        <v>680</v>
      </c>
      <c r="G234" s="10">
        <v>45049</v>
      </c>
      <c r="H234">
        <v>48000</v>
      </c>
      <c r="I234">
        <v>8000</v>
      </c>
      <c r="J234" t="s">
        <v>163</v>
      </c>
      <c r="K234">
        <v>6</v>
      </c>
      <c r="L234" t="s">
        <v>35</v>
      </c>
      <c r="M234" t="s">
        <v>27</v>
      </c>
    </row>
    <row r="235" spans="1:13">
      <c r="A235" t="s">
        <v>159</v>
      </c>
      <c r="B235" t="s">
        <v>160</v>
      </c>
      <c r="C235" t="s">
        <v>67</v>
      </c>
      <c r="D235" t="s">
        <v>681</v>
      </c>
      <c r="E235">
        <v>2</v>
      </c>
      <c r="F235" t="s">
        <v>682</v>
      </c>
      <c r="G235" s="10">
        <v>45044</v>
      </c>
      <c r="H235">
        <v>48000</v>
      </c>
      <c r="I235">
        <v>8000</v>
      </c>
      <c r="J235" t="s">
        <v>163</v>
      </c>
      <c r="K235">
        <v>5</v>
      </c>
      <c r="L235" t="s">
        <v>35</v>
      </c>
      <c r="M235" t="s">
        <v>27</v>
      </c>
    </row>
    <row r="236" spans="1:13">
      <c r="A236" t="s">
        <v>175</v>
      </c>
      <c r="B236" t="s">
        <v>66</v>
      </c>
      <c r="C236" t="s">
        <v>67</v>
      </c>
      <c r="D236" t="s">
        <v>683</v>
      </c>
      <c r="E236">
        <v>6</v>
      </c>
      <c r="F236" t="s">
        <v>684</v>
      </c>
      <c r="G236" s="10">
        <v>45041</v>
      </c>
      <c r="H236">
        <v>34375</v>
      </c>
      <c r="I236">
        <v>6875</v>
      </c>
      <c r="J236" t="s">
        <v>70</v>
      </c>
      <c r="K236">
        <v>5</v>
      </c>
      <c r="L236" t="s">
        <v>35</v>
      </c>
      <c r="M236" t="s">
        <v>36</v>
      </c>
    </row>
    <row r="237" spans="1:13">
      <c r="A237" t="s">
        <v>256</v>
      </c>
      <c r="B237" t="s">
        <v>160</v>
      </c>
      <c r="C237" t="s">
        <v>67</v>
      </c>
      <c r="D237" t="s">
        <v>685</v>
      </c>
      <c r="E237">
        <v>1</v>
      </c>
      <c r="F237" t="s">
        <v>686</v>
      </c>
      <c r="G237" s="10">
        <v>45078</v>
      </c>
      <c r="H237">
        <v>38377.5</v>
      </c>
      <c r="I237">
        <v>13377.5</v>
      </c>
      <c r="J237" t="s">
        <v>250</v>
      </c>
      <c r="K237">
        <v>6</v>
      </c>
      <c r="L237" t="s">
        <v>24</v>
      </c>
      <c r="M237" t="s">
        <v>29</v>
      </c>
    </row>
    <row r="238" spans="1:13">
      <c r="A238" t="s">
        <v>81</v>
      </c>
      <c r="B238" t="s">
        <v>82</v>
      </c>
      <c r="C238" t="s">
        <v>28</v>
      </c>
      <c r="D238" t="s">
        <v>687</v>
      </c>
      <c r="E238">
        <v>2</v>
      </c>
      <c r="F238" t="s">
        <v>688</v>
      </c>
      <c r="G238" s="10">
        <v>45139</v>
      </c>
      <c r="H238">
        <v>110016</v>
      </c>
      <c r="I238">
        <v>5242.67</v>
      </c>
      <c r="J238" t="s">
        <v>375</v>
      </c>
      <c r="K238">
        <v>5</v>
      </c>
      <c r="L238" t="s">
        <v>24</v>
      </c>
      <c r="M238" s="5" t="s">
        <v>28</v>
      </c>
    </row>
    <row r="239" spans="1:13">
      <c r="A239" t="s">
        <v>256</v>
      </c>
      <c r="B239" t="s">
        <v>160</v>
      </c>
      <c r="C239" t="s">
        <v>67</v>
      </c>
      <c r="D239" t="s">
        <v>689</v>
      </c>
      <c r="E239">
        <v>1</v>
      </c>
      <c r="F239" t="s">
        <v>690</v>
      </c>
      <c r="G239" s="10">
        <v>45078</v>
      </c>
      <c r="H239">
        <v>38377.5</v>
      </c>
      <c r="I239">
        <v>13377.5</v>
      </c>
      <c r="J239" t="s">
        <v>250</v>
      </c>
      <c r="K239">
        <v>6</v>
      </c>
      <c r="L239" t="s">
        <v>24</v>
      </c>
      <c r="M239" t="s">
        <v>29</v>
      </c>
    </row>
    <row r="240" spans="1:13">
      <c r="A240" t="s">
        <v>361</v>
      </c>
      <c r="B240" t="s">
        <v>72</v>
      </c>
      <c r="C240" t="s">
        <v>67</v>
      </c>
      <c r="D240" t="s">
        <v>691</v>
      </c>
      <c r="E240">
        <v>1</v>
      </c>
      <c r="F240" t="s">
        <v>692</v>
      </c>
      <c r="G240" s="10">
        <v>45061</v>
      </c>
      <c r="H240">
        <v>0</v>
      </c>
      <c r="I240">
        <v>-25000</v>
      </c>
      <c r="J240" t="s">
        <v>250</v>
      </c>
      <c r="K240">
        <v>6</v>
      </c>
      <c r="L240" t="s">
        <v>24</v>
      </c>
      <c r="M240" t="s">
        <v>29</v>
      </c>
    </row>
    <row r="241" spans="1:13">
      <c r="A241" t="s">
        <v>361</v>
      </c>
      <c r="B241" t="s">
        <v>72</v>
      </c>
      <c r="C241" t="s">
        <v>67</v>
      </c>
      <c r="D241" t="s">
        <v>693</v>
      </c>
      <c r="E241">
        <v>1</v>
      </c>
      <c r="F241" t="s">
        <v>694</v>
      </c>
      <c r="G241" s="10">
        <v>45061</v>
      </c>
      <c r="H241">
        <v>38377.5</v>
      </c>
      <c r="I241">
        <v>13377.5</v>
      </c>
      <c r="J241" t="s">
        <v>250</v>
      </c>
      <c r="K241">
        <v>6</v>
      </c>
      <c r="L241" t="s">
        <v>24</v>
      </c>
      <c r="M241" t="s">
        <v>29</v>
      </c>
    </row>
    <row r="242" spans="1:13">
      <c r="A242" t="s">
        <v>175</v>
      </c>
      <c r="B242" t="s">
        <v>66</v>
      </c>
      <c r="C242" t="s">
        <v>67</v>
      </c>
      <c r="D242" t="s">
        <v>695</v>
      </c>
      <c r="E242">
        <v>6</v>
      </c>
      <c r="F242" t="s">
        <v>696</v>
      </c>
      <c r="G242" s="10">
        <v>45041</v>
      </c>
      <c r="H242">
        <v>34375</v>
      </c>
      <c r="I242">
        <v>6875</v>
      </c>
      <c r="J242" t="s">
        <v>70</v>
      </c>
      <c r="K242">
        <v>5</v>
      </c>
      <c r="L242" t="s">
        <v>35</v>
      </c>
      <c r="M242" t="s">
        <v>36</v>
      </c>
    </row>
    <row r="243" spans="1:13">
      <c r="A243" t="s">
        <v>235</v>
      </c>
      <c r="B243" t="s">
        <v>215</v>
      </c>
      <c r="C243" t="s">
        <v>94</v>
      </c>
      <c r="D243" t="s">
        <v>697</v>
      </c>
      <c r="E243">
        <v>2</v>
      </c>
      <c r="F243" t="s">
        <v>698</v>
      </c>
      <c r="G243" s="10">
        <v>45049</v>
      </c>
      <c r="H243">
        <v>110000</v>
      </c>
      <c r="I243">
        <v>18334</v>
      </c>
      <c r="J243" t="s">
        <v>227</v>
      </c>
      <c r="K243">
        <v>5</v>
      </c>
      <c r="L243" t="s">
        <v>41</v>
      </c>
      <c r="M243" t="s">
        <v>42</v>
      </c>
    </row>
    <row r="244" spans="1:13">
      <c r="A244" t="s">
        <v>82</v>
      </c>
      <c r="B244" t="s">
        <v>28</v>
      </c>
      <c r="C244" t="s">
        <v>238</v>
      </c>
      <c r="D244" t="s">
        <v>699</v>
      </c>
      <c r="E244">
        <v>2</v>
      </c>
      <c r="F244" t="s">
        <v>700</v>
      </c>
      <c r="G244" s="10">
        <v>45042</v>
      </c>
      <c r="H244">
        <v>56443</v>
      </c>
      <c r="I244">
        <v>2277</v>
      </c>
      <c r="J244" t="s">
        <v>85</v>
      </c>
      <c r="K244">
        <v>5</v>
      </c>
      <c r="L244" t="s">
        <v>24</v>
      </c>
      <c r="M244" t="s">
        <v>25</v>
      </c>
    </row>
    <row r="245" spans="1:13">
      <c r="A245" t="s">
        <v>197</v>
      </c>
      <c r="B245" t="s">
        <v>160</v>
      </c>
      <c r="C245" t="s">
        <v>67</v>
      </c>
      <c r="D245" t="s">
        <v>701</v>
      </c>
      <c r="E245">
        <v>2</v>
      </c>
      <c r="F245" t="s">
        <v>702</v>
      </c>
      <c r="G245" s="10">
        <v>45048</v>
      </c>
      <c r="H245">
        <v>17400</v>
      </c>
      <c r="I245">
        <v>2400</v>
      </c>
      <c r="J245" t="s">
        <v>193</v>
      </c>
      <c r="K245">
        <v>6</v>
      </c>
      <c r="L245" t="s">
        <v>35</v>
      </c>
      <c r="M245" t="s">
        <v>27</v>
      </c>
    </row>
    <row r="246" spans="1:13">
      <c r="A246" t="s">
        <v>703</v>
      </c>
      <c r="B246" t="s">
        <v>179</v>
      </c>
      <c r="C246" t="s">
        <v>45</v>
      </c>
      <c r="D246" t="s">
        <v>704</v>
      </c>
      <c r="E246">
        <v>2</v>
      </c>
      <c r="F246" t="s">
        <v>705</v>
      </c>
      <c r="G246" s="10">
        <v>45055</v>
      </c>
      <c r="H246">
        <v>336000</v>
      </c>
      <c r="I246">
        <v>127667</v>
      </c>
      <c r="J246" t="s">
        <v>189</v>
      </c>
      <c r="K246">
        <v>5</v>
      </c>
      <c r="L246" t="s">
        <v>44</v>
      </c>
      <c r="M246" t="s">
        <v>45</v>
      </c>
    </row>
    <row r="247" spans="1:13">
      <c r="A247" t="s">
        <v>178</v>
      </c>
      <c r="B247" t="s">
        <v>179</v>
      </c>
      <c r="C247" t="s">
        <v>45</v>
      </c>
      <c r="D247" t="s">
        <v>706</v>
      </c>
      <c r="E247">
        <v>2</v>
      </c>
      <c r="F247" t="s">
        <v>707</v>
      </c>
      <c r="G247" s="10">
        <v>45044</v>
      </c>
      <c r="H247">
        <v>268800</v>
      </c>
      <c r="I247">
        <v>152134</v>
      </c>
      <c r="J247" t="s">
        <v>189</v>
      </c>
      <c r="K247">
        <v>5</v>
      </c>
      <c r="L247" t="s">
        <v>44</v>
      </c>
      <c r="M247" t="s">
        <v>45</v>
      </c>
    </row>
    <row r="248" spans="1:13">
      <c r="A248" t="s">
        <v>194</v>
      </c>
      <c r="B248" t="s">
        <v>160</v>
      </c>
      <c r="C248" t="s">
        <v>67</v>
      </c>
      <c r="D248" t="s">
        <v>708</v>
      </c>
      <c r="E248">
        <v>1</v>
      </c>
      <c r="F248" t="s">
        <v>709</v>
      </c>
      <c r="G248" s="10">
        <v>45078</v>
      </c>
      <c r="H248">
        <v>38377.5</v>
      </c>
      <c r="I248">
        <v>13377.5</v>
      </c>
      <c r="J248" t="s">
        <v>250</v>
      </c>
      <c r="K248">
        <v>6</v>
      </c>
      <c r="L248" t="s">
        <v>24</v>
      </c>
      <c r="M248" t="s">
        <v>29</v>
      </c>
    </row>
    <row r="249" spans="1:13">
      <c r="A249" t="s">
        <v>261</v>
      </c>
      <c r="B249" t="s">
        <v>160</v>
      </c>
      <c r="C249" t="s">
        <v>67</v>
      </c>
      <c r="D249" t="s">
        <v>710</v>
      </c>
      <c r="E249">
        <v>1</v>
      </c>
      <c r="F249" t="s">
        <v>711</v>
      </c>
      <c r="G249" s="10">
        <v>45108</v>
      </c>
      <c r="H249">
        <v>38377.5</v>
      </c>
      <c r="I249">
        <v>13377.5</v>
      </c>
      <c r="J249" t="s">
        <v>250</v>
      </c>
      <c r="K249">
        <v>6</v>
      </c>
      <c r="L249" t="s">
        <v>24</v>
      </c>
      <c r="M249" t="s">
        <v>29</v>
      </c>
    </row>
    <row r="250" spans="1:13">
      <c r="A250" t="s">
        <v>703</v>
      </c>
      <c r="B250" t="s">
        <v>179</v>
      </c>
      <c r="C250" t="s">
        <v>45</v>
      </c>
      <c r="D250" t="s">
        <v>712</v>
      </c>
      <c r="E250">
        <v>2</v>
      </c>
      <c r="F250" t="s">
        <v>713</v>
      </c>
      <c r="G250" s="10">
        <v>45042</v>
      </c>
      <c r="H250">
        <v>230000</v>
      </c>
      <c r="I250">
        <v>50834</v>
      </c>
      <c r="J250" t="s">
        <v>714</v>
      </c>
      <c r="K250">
        <v>5</v>
      </c>
      <c r="L250" t="s">
        <v>44</v>
      </c>
      <c r="M250" t="s">
        <v>45</v>
      </c>
    </row>
    <row r="251" spans="1:13">
      <c r="A251" t="s">
        <v>194</v>
      </c>
      <c r="B251" t="s">
        <v>160</v>
      </c>
      <c r="C251" t="s">
        <v>67</v>
      </c>
      <c r="D251" t="s">
        <v>715</v>
      </c>
      <c r="E251">
        <v>1</v>
      </c>
      <c r="F251" t="s">
        <v>716</v>
      </c>
      <c r="G251" s="10">
        <v>45061</v>
      </c>
      <c r="H251">
        <v>38377.5</v>
      </c>
      <c r="I251">
        <v>13377.5</v>
      </c>
      <c r="J251" t="s">
        <v>250</v>
      </c>
      <c r="K251">
        <v>6</v>
      </c>
      <c r="L251" t="s">
        <v>24</v>
      </c>
      <c r="M251" t="s">
        <v>29</v>
      </c>
    </row>
    <row r="252" spans="1:13">
      <c r="A252" t="s">
        <v>140</v>
      </c>
      <c r="B252" t="s">
        <v>141</v>
      </c>
      <c r="C252" t="s">
        <v>67</v>
      </c>
      <c r="D252" t="s">
        <v>717</v>
      </c>
      <c r="E252">
        <v>1</v>
      </c>
      <c r="F252" t="s">
        <v>718</v>
      </c>
      <c r="G252" s="10">
        <v>45078</v>
      </c>
      <c r="H252">
        <v>38377.5</v>
      </c>
      <c r="I252">
        <v>13377.5</v>
      </c>
      <c r="J252" t="s">
        <v>250</v>
      </c>
      <c r="K252">
        <v>6</v>
      </c>
      <c r="L252" t="s">
        <v>24</v>
      </c>
      <c r="M252" t="s">
        <v>29</v>
      </c>
    </row>
    <row r="253" spans="1:13">
      <c r="A253" t="s">
        <v>719</v>
      </c>
      <c r="B253" t="s">
        <v>215</v>
      </c>
      <c r="C253" t="s">
        <v>94</v>
      </c>
      <c r="D253" t="s">
        <v>720</v>
      </c>
      <c r="E253">
        <v>2</v>
      </c>
      <c r="F253" t="s">
        <v>721</v>
      </c>
      <c r="G253" s="10">
        <v>45043</v>
      </c>
      <c r="H253">
        <v>120000</v>
      </c>
      <c r="I253">
        <v>53334</v>
      </c>
      <c r="J253" t="s">
        <v>227</v>
      </c>
      <c r="K253">
        <v>6</v>
      </c>
      <c r="L253" t="s">
        <v>41</v>
      </c>
      <c r="M253" t="s">
        <v>42</v>
      </c>
    </row>
    <row r="254" spans="1:13">
      <c r="A254" t="s">
        <v>571</v>
      </c>
      <c r="B254" t="s">
        <v>179</v>
      </c>
      <c r="C254" t="s">
        <v>45</v>
      </c>
      <c r="D254" t="s">
        <v>722</v>
      </c>
      <c r="E254">
        <v>2</v>
      </c>
      <c r="F254" t="s">
        <v>723</v>
      </c>
      <c r="G254" s="10">
        <v>45045</v>
      </c>
      <c r="H254">
        <v>336000</v>
      </c>
      <c r="I254">
        <v>102667</v>
      </c>
      <c r="J254" t="s">
        <v>189</v>
      </c>
      <c r="K254">
        <v>5</v>
      </c>
      <c r="L254" t="s">
        <v>44</v>
      </c>
      <c r="M254" t="s">
        <v>45</v>
      </c>
    </row>
    <row r="255" spans="1:13">
      <c r="A255" t="s">
        <v>642</v>
      </c>
      <c r="B255" t="s">
        <v>179</v>
      </c>
      <c r="C255" t="s">
        <v>45</v>
      </c>
      <c r="D255" t="s">
        <v>724</v>
      </c>
      <c r="E255">
        <v>4</v>
      </c>
      <c r="F255" t="s">
        <v>725</v>
      </c>
      <c r="G255" s="10">
        <v>45044</v>
      </c>
      <c r="H255">
        <v>268800</v>
      </c>
      <c r="I255">
        <v>202134</v>
      </c>
      <c r="J255" t="s">
        <v>189</v>
      </c>
      <c r="K255">
        <v>6</v>
      </c>
      <c r="L255" t="s">
        <v>44</v>
      </c>
      <c r="M255" t="s">
        <v>45</v>
      </c>
    </row>
    <row r="256" spans="1:13">
      <c r="A256" t="s">
        <v>454</v>
      </c>
      <c r="B256" t="s">
        <v>455</v>
      </c>
      <c r="C256" t="s">
        <v>455</v>
      </c>
      <c r="D256" t="s">
        <v>726</v>
      </c>
      <c r="E256">
        <v>2</v>
      </c>
      <c r="F256" t="s">
        <v>727</v>
      </c>
      <c r="G256" s="10">
        <v>45048</v>
      </c>
      <c r="H256">
        <v>107856</v>
      </c>
      <c r="I256">
        <v>16190</v>
      </c>
      <c r="J256" t="s">
        <v>458</v>
      </c>
      <c r="K256">
        <v>5</v>
      </c>
      <c r="L256" t="s">
        <v>37</v>
      </c>
      <c r="M256" t="s">
        <v>33</v>
      </c>
    </row>
    <row r="257" spans="1:13">
      <c r="A257" t="s">
        <v>571</v>
      </c>
      <c r="B257" t="s">
        <v>179</v>
      </c>
      <c r="C257" t="s">
        <v>45</v>
      </c>
      <c r="D257" t="s">
        <v>728</v>
      </c>
      <c r="E257">
        <v>2</v>
      </c>
      <c r="F257" t="s">
        <v>729</v>
      </c>
      <c r="G257" s="10">
        <v>45045</v>
      </c>
      <c r="H257">
        <v>336000</v>
      </c>
      <c r="I257">
        <v>177667</v>
      </c>
      <c r="J257" t="s">
        <v>189</v>
      </c>
      <c r="K257">
        <v>6</v>
      </c>
      <c r="L257" t="s">
        <v>44</v>
      </c>
      <c r="M257" t="s">
        <v>45</v>
      </c>
    </row>
    <row r="258" spans="1:13">
      <c r="A258" t="s">
        <v>617</v>
      </c>
      <c r="B258" t="s">
        <v>179</v>
      </c>
      <c r="C258" t="s">
        <v>45</v>
      </c>
      <c r="D258" t="s">
        <v>730</v>
      </c>
      <c r="E258">
        <v>2</v>
      </c>
      <c r="F258" t="s">
        <v>731</v>
      </c>
      <c r="G258" s="10">
        <v>45044</v>
      </c>
      <c r="H258">
        <v>279000</v>
      </c>
      <c r="I258">
        <v>70667</v>
      </c>
      <c r="J258" t="s">
        <v>714</v>
      </c>
      <c r="K258">
        <v>5</v>
      </c>
      <c r="L258" t="s">
        <v>44</v>
      </c>
      <c r="M258" t="s">
        <v>45</v>
      </c>
    </row>
    <row r="259" spans="1:13">
      <c r="A259" t="s">
        <v>197</v>
      </c>
      <c r="B259" t="s">
        <v>160</v>
      </c>
      <c r="C259" t="s">
        <v>67</v>
      </c>
      <c r="D259" t="s">
        <v>732</v>
      </c>
      <c r="E259">
        <v>1</v>
      </c>
      <c r="F259" t="s">
        <v>733</v>
      </c>
      <c r="G259" s="10">
        <v>45078</v>
      </c>
      <c r="H259">
        <v>0</v>
      </c>
      <c r="I259">
        <v>-25000</v>
      </c>
      <c r="J259" t="s">
        <v>250</v>
      </c>
      <c r="K259">
        <v>6</v>
      </c>
      <c r="L259" t="s">
        <v>24</v>
      </c>
      <c r="M259" t="s">
        <v>29</v>
      </c>
    </row>
    <row r="260" spans="1:13">
      <c r="A260" t="s">
        <v>361</v>
      </c>
      <c r="B260" t="s">
        <v>72</v>
      </c>
      <c r="C260" t="s">
        <v>67</v>
      </c>
      <c r="D260" t="s">
        <v>734</v>
      </c>
      <c r="E260">
        <v>1</v>
      </c>
      <c r="F260" t="s">
        <v>735</v>
      </c>
      <c r="G260" s="10">
        <v>45078</v>
      </c>
      <c r="H260">
        <v>32130</v>
      </c>
      <c r="I260">
        <v>12130</v>
      </c>
      <c r="J260" t="s">
        <v>250</v>
      </c>
      <c r="K260">
        <v>6</v>
      </c>
      <c r="L260" t="s">
        <v>24</v>
      </c>
      <c r="M260" t="s">
        <v>29</v>
      </c>
    </row>
    <row r="261" spans="1:13">
      <c r="A261" t="s">
        <v>361</v>
      </c>
      <c r="B261" t="s">
        <v>72</v>
      </c>
      <c r="C261" t="s">
        <v>67</v>
      </c>
      <c r="D261" t="s">
        <v>736</v>
      </c>
      <c r="E261">
        <v>1</v>
      </c>
      <c r="F261" t="s">
        <v>737</v>
      </c>
      <c r="G261" s="10">
        <v>45078</v>
      </c>
      <c r="H261">
        <v>38377.5</v>
      </c>
      <c r="I261">
        <v>13377.5</v>
      </c>
      <c r="J261" t="s">
        <v>250</v>
      </c>
      <c r="K261">
        <v>6</v>
      </c>
      <c r="L261" t="s">
        <v>24</v>
      </c>
      <c r="M261" t="s">
        <v>29</v>
      </c>
    </row>
    <row r="262" spans="1:13">
      <c r="A262" t="s">
        <v>361</v>
      </c>
      <c r="B262" t="s">
        <v>72</v>
      </c>
      <c r="C262" t="s">
        <v>67</v>
      </c>
      <c r="D262" t="s">
        <v>738</v>
      </c>
      <c r="E262">
        <v>1</v>
      </c>
      <c r="F262" t="s">
        <v>739</v>
      </c>
      <c r="G262" s="10">
        <v>45078</v>
      </c>
      <c r="H262">
        <v>32130</v>
      </c>
      <c r="I262">
        <v>12130</v>
      </c>
      <c r="J262" t="s">
        <v>250</v>
      </c>
      <c r="K262">
        <v>6</v>
      </c>
      <c r="L262" t="s">
        <v>24</v>
      </c>
      <c r="M262" t="s">
        <v>29</v>
      </c>
    </row>
    <row r="263" spans="1:13">
      <c r="A263" t="s">
        <v>740</v>
      </c>
      <c r="B263" t="s">
        <v>123</v>
      </c>
      <c r="C263" t="s">
        <v>741</v>
      </c>
      <c r="D263" t="s">
        <v>742</v>
      </c>
      <c r="E263">
        <v>1</v>
      </c>
      <c r="F263" t="s">
        <v>743</v>
      </c>
      <c r="G263" s="10">
        <v>45078</v>
      </c>
      <c r="H263">
        <v>250740</v>
      </c>
      <c r="I263">
        <v>125740</v>
      </c>
      <c r="J263" t="s">
        <v>744</v>
      </c>
      <c r="K263">
        <v>6</v>
      </c>
      <c r="L263" t="s">
        <v>24</v>
      </c>
      <c r="M263" t="s">
        <v>31</v>
      </c>
    </row>
    <row r="264" spans="1:13">
      <c r="A264" t="s">
        <v>141</v>
      </c>
      <c r="B264" t="s">
        <v>27</v>
      </c>
      <c r="C264" t="s">
        <v>27</v>
      </c>
      <c r="D264" t="s">
        <v>745</v>
      </c>
      <c r="E264">
        <v>1</v>
      </c>
      <c r="F264" t="s">
        <v>746</v>
      </c>
      <c r="G264" s="10">
        <v>45057</v>
      </c>
      <c r="H264">
        <v>67200</v>
      </c>
      <c r="I264">
        <v>13034</v>
      </c>
      <c r="J264" t="s">
        <v>144</v>
      </c>
      <c r="K264">
        <v>6</v>
      </c>
      <c r="L264" t="s">
        <v>38</v>
      </c>
      <c r="M264" t="s">
        <v>25</v>
      </c>
    </row>
    <row r="265" spans="1:13">
      <c r="A265" t="s">
        <v>170</v>
      </c>
      <c r="B265" t="s">
        <v>66</v>
      </c>
      <c r="C265" t="s">
        <v>67</v>
      </c>
      <c r="D265" t="s">
        <v>747</v>
      </c>
      <c r="E265">
        <v>6</v>
      </c>
      <c r="F265" t="s">
        <v>748</v>
      </c>
      <c r="G265" s="10">
        <v>45048</v>
      </c>
      <c r="H265">
        <v>27500</v>
      </c>
      <c r="I265">
        <v>4584</v>
      </c>
      <c r="J265" t="s">
        <v>70</v>
      </c>
      <c r="K265">
        <v>5</v>
      </c>
      <c r="L265" t="s">
        <v>35</v>
      </c>
      <c r="M265" t="s">
        <v>36</v>
      </c>
    </row>
    <row r="266" spans="1:13">
      <c r="A266" t="s">
        <v>656</v>
      </c>
      <c r="B266" t="s">
        <v>231</v>
      </c>
      <c r="C266" t="s">
        <v>400</v>
      </c>
      <c r="D266" t="s">
        <v>749</v>
      </c>
      <c r="E266">
        <v>2</v>
      </c>
      <c r="F266" t="s">
        <v>750</v>
      </c>
      <c r="G266" s="10">
        <v>45049</v>
      </c>
      <c r="H266">
        <v>169500</v>
      </c>
      <c r="I266">
        <v>15334</v>
      </c>
      <c r="J266" t="s">
        <v>227</v>
      </c>
      <c r="K266">
        <v>5</v>
      </c>
      <c r="L266" t="s">
        <v>41</v>
      </c>
      <c r="M266" t="s">
        <v>42</v>
      </c>
    </row>
    <row r="267" spans="1:13">
      <c r="A267" t="s">
        <v>194</v>
      </c>
      <c r="B267" t="s">
        <v>160</v>
      </c>
      <c r="C267" t="s">
        <v>67</v>
      </c>
      <c r="D267" t="s">
        <v>751</v>
      </c>
      <c r="E267">
        <v>1</v>
      </c>
      <c r="F267" t="s">
        <v>752</v>
      </c>
      <c r="G267" s="10">
        <v>45078</v>
      </c>
      <c r="H267">
        <v>38377.5</v>
      </c>
      <c r="I267">
        <v>13377.5</v>
      </c>
      <c r="J267" t="s">
        <v>250</v>
      </c>
      <c r="K267">
        <v>6</v>
      </c>
      <c r="L267" t="s">
        <v>24</v>
      </c>
      <c r="M267" t="s">
        <v>29</v>
      </c>
    </row>
    <row r="268" spans="1:13">
      <c r="A268" t="s">
        <v>197</v>
      </c>
      <c r="B268" t="s">
        <v>160</v>
      </c>
      <c r="C268" t="s">
        <v>67</v>
      </c>
      <c r="D268" t="s">
        <v>753</v>
      </c>
      <c r="E268">
        <v>2</v>
      </c>
      <c r="F268" t="s">
        <v>754</v>
      </c>
      <c r="G268" s="10">
        <v>45049</v>
      </c>
      <c r="H268">
        <v>17400</v>
      </c>
      <c r="I268">
        <v>2400</v>
      </c>
      <c r="J268" t="s">
        <v>193</v>
      </c>
      <c r="K268">
        <v>5</v>
      </c>
      <c r="L268" t="s">
        <v>35</v>
      </c>
      <c r="M268" t="s">
        <v>27</v>
      </c>
    </row>
    <row r="269" spans="1:13">
      <c r="A269" t="s">
        <v>755</v>
      </c>
      <c r="B269" t="s">
        <v>756</v>
      </c>
      <c r="C269" t="s">
        <v>27</v>
      </c>
      <c r="D269" t="s">
        <v>757</v>
      </c>
      <c r="E269">
        <v>2</v>
      </c>
      <c r="F269" t="s">
        <v>758</v>
      </c>
      <c r="G269" s="10">
        <v>45049</v>
      </c>
      <c r="H269">
        <v>17400</v>
      </c>
      <c r="I269">
        <v>2400</v>
      </c>
      <c r="J269" t="s">
        <v>193</v>
      </c>
      <c r="K269">
        <v>6</v>
      </c>
      <c r="L269" t="s">
        <v>35</v>
      </c>
      <c r="M269" t="s">
        <v>27</v>
      </c>
    </row>
    <row r="270" spans="1:13">
      <c r="A270" t="s">
        <v>480</v>
      </c>
      <c r="B270" t="s">
        <v>215</v>
      </c>
      <c r="C270" t="s">
        <v>94</v>
      </c>
      <c r="D270" t="s">
        <v>759</v>
      </c>
      <c r="E270">
        <v>2</v>
      </c>
      <c r="F270" t="s">
        <v>760</v>
      </c>
      <c r="G270" s="10">
        <v>45068</v>
      </c>
      <c r="H270">
        <v>220500</v>
      </c>
      <c r="I270">
        <v>33000</v>
      </c>
      <c r="J270" t="s">
        <v>97</v>
      </c>
      <c r="K270">
        <v>6</v>
      </c>
      <c r="L270" t="s">
        <v>41</v>
      </c>
      <c r="M270" t="s">
        <v>42</v>
      </c>
    </row>
    <row r="271" spans="1:13">
      <c r="A271" t="s">
        <v>194</v>
      </c>
      <c r="B271" t="s">
        <v>160</v>
      </c>
      <c r="C271" t="s">
        <v>67</v>
      </c>
      <c r="D271" t="s">
        <v>761</v>
      </c>
      <c r="E271">
        <v>1</v>
      </c>
      <c r="F271" t="s">
        <v>762</v>
      </c>
      <c r="G271" s="10">
        <v>45078</v>
      </c>
      <c r="H271">
        <v>0</v>
      </c>
      <c r="I271">
        <v>-25000</v>
      </c>
      <c r="J271" t="s">
        <v>250</v>
      </c>
      <c r="K271">
        <v>6</v>
      </c>
      <c r="L271" t="s">
        <v>24</v>
      </c>
      <c r="M271" t="s">
        <v>29</v>
      </c>
    </row>
    <row r="272" spans="1:13">
      <c r="A272" t="s">
        <v>194</v>
      </c>
      <c r="B272" t="s">
        <v>160</v>
      </c>
      <c r="C272" t="s">
        <v>67</v>
      </c>
      <c r="D272" t="s">
        <v>763</v>
      </c>
      <c r="E272">
        <v>1</v>
      </c>
      <c r="F272" t="s">
        <v>764</v>
      </c>
      <c r="G272" s="10">
        <v>45078</v>
      </c>
      <c r="H272">
        <v>38377.5</v>
      </c>
      <c r="I272">
        <v>13377.5</v>
      </c>
      <c r="J272" t="s">
        <v>250</v>
      </c>
      <c r="K272">
        <v>6</v>
      </c>
      <c r="L272" t="s">
        <v>24</v>
      </c>
      <c r="M272" t="s">
        <v>29</v>
      </c>
    </row>
    <row r="273" spans="1:13">
      <c r="A273" t="s">
        <v>190</v>
      </c>
      <c r="B273" t="s">
        <v>160</v>
      </c>
      <c r="C273" t="s">
        <v>67</v>
      </c>
      <c r="D273" t="s">
        <v>765</v>
      </c>
      <c r="E273">
        <v>1</v>
      </c>
      <c r="F273" t="s">
        <v>766</v>
      </c>
      <c r="G273" s="10">
        <v>45061</v>
      </c>
      <c r="H273">
        <v>0</v>
      </c>
      <c r="I273">
        <v>-25000</v>
      </c>
      <c r="J273" t="s">
        <v>250</v>
      </c>
      <c r="K273">
        <v>6</v>
      </c>
      <c r="L273" t="s">
        <v>24</v>
      </c>
      <c r="M273" t="s">
        <v>29</v>
      </c>
    </row>
    <row r="274" spans="1:13">
      <c r="A274" t="s">
        <v>379</v>
      </c>
      <c r="B274" t="s">
        <v>179</v>
      </c>
      <c r="C274" t="s">
        <v>45</v>
      </c>
      <c r="D274" t="s">
        <v>767</v>
      </c>
      <c r="E274">
        <v>2</v>
      </c>
      <c r="F274" t="s">
        <v>768</v>
      </c>
      <c r="G274" s="10">
        <v>45051</v>
      </c>
      <c r="H274">
        <v>268800</v>
      </c>
      <c r="I274">
        <v>102134</v>
      </c>
      <c r="J274" t="s">
        <v>189</v>
      </c>
      <c r="K274">
        <v>6</v>
      </c>
      <c r="L274" t="s">
        <v>44</v>
      </c>
      <c r="M274" t="s">
        <v>45</v>
      </c>
    </row>
    <row r="275" spans="1:13">
      <c r="A275" t="s">
        <v>571</v>
      </c>
      <c r="B275" t="s">
        <v>179</v>
      </c>
      <c r="C275" t="s">
        <v>45</v>
      </c>
      <c r="D275" t="s">
        <v>769</v>
      </c>
      <c r="E275">
        <v>4</v>
      </c>
      <c r="F275" t="s">
        <v>770</v>
      </c>
      <c r="G275" s="10">
        <v>45051</v>
      </c>
      <c r="H275">
        <v>336000</v>
      </c>
      <c r="I275">
        <v>86000</v>
      </c>
      <c r="J275" t="s">
        <v>182</v>
      </c>
      <c r="K275">
        <v>5</v>
      </c>
      <c r="L275" t="s">
        <v>44</v>
      </c>
      <c r="M275" t="s">
        <v>45</v>
      </c>
    </row>
    <row r="276" spans="1:13">
      <c r="A276" t="s">
        <v>175</v>
      </c>
      <c r="B276" t="s">
        <v>66</v>
      </c>
      <c r="C276" t="s">
        <v>67</v>
      </c>
      <c r="D276" t="s">
        <v>771</v>
      </c>
      <c r="E276">
        <v>6</v>
      </c>
      <c r="F276" t="s">
        <v>772</v>
      </c>
      <c r="G276" s="10">
        <v>45048</v>
      </c>
      <c r="H276">
        <v>27500</v>
      </c>
      <c r="I276">
        <v>4584</v>
      </c>
      <c r="J276" t="s">
        <v>70</v>
      </c>
      <c r="K276">
        <v>5</v>
      </c>
      <c r="L276" t="s">
        <v>35</v>
      </c>
      <c r="M276" t="s">
        <v>36</v>
      </c>
    </row>
    <row r="277" spans="1:13">
      <c r="A277" t="s">
        <v>251</v>
      </c>
      <c r="B277" t="s">
        <v>160</v>
      </c>
      <c r="C277" t="s">
        <v>67</v>
      </c>
      <c r="D277" t="s">
        <v>773</v>
      </c>
      <c r="E277">
        <v>2</v>
      </c>
      <c r="F277" t="s">
        <v>774</v>
      </c>
      <c r="G277" s="10">
        <v>45051</v>
      </c>
      <c r="H277">
        <v>33120</v>
      </c>
      <c r="I277">
        <v>4320</v>
      </c>
      <c r="J277" t="s">
        <v>193</v>
      </c>
      <c r="K277">
        <v>6</v>
      </c>
      <c r="L277" t="s">
        <v>35</v>
      </c>
      <c r="M277" t="s">
        <v>27</v>
      </c>
    </row>
    <row r="278" spans="1:13">
      <c r="A278" t="s">
        <v>127</v>
      </c>
      <c r="B278" t="s">
        <v>93</v>
      </c>
      <c r="C278" t="s">
        <v>94</v>
      </c>
      <c r="D278" t="s">
        <v>775</v>
      </c>
      <c r="E278">
        <v>2</v>
      </c>
      <c r="F278" t="s">
        <v>776</v>
      </c>
      <c r="G278" s="10">
        <v>45056</v>
      </c>
      <c r="H278">
        <v>214200</v>
      </c>
      <c r="I278">
        <v>39200</v>
      </c>
      <c r="J278" t="s">
        <v>97</v>
      </c>
      <c r="K278">
        <v>6</v>
      </c>
      <c r="L278" t="s">
        <v>41</v>
      </c>
      <c r="M278" t="s">
        <v>42</v>
      </c>
    </row>
    <row r="279" spans="1:13">
      <c r="A279" t="s">
        <v>522</v>
      </c>
      <c r="B279" t="s">
        <v>72</v>
      </c>
      <c r="C279" t="s">
        <v>67</v>
      </c>
      <c r="D279" t="s">
        <v>777</v>
      </c>
      <c r="E279">
        <v>1</v>
      </c>
      <c r="F279" t="s">
        <v>778</v>
      </c>
      <c r="G279" s="10">
        <v>45061</v>
      </c>
      <c r="H279">
        <v>72292.5</v>
      </c>
      <c r="I279">
        <v>9792.5</v>
      </c>
      <c r="J279" t="s">
        <v>250</v>
      </c>
      <c r="K279">
        <v>6</v>
      </c>
      <c r="L279" t="s">
        <v>24</v>
      </c>
      <c r="M279" t="s">
        <v>29</v>
      </c>
    </row>
    <row r="280" spans="1:13">
      <c r="A280" t="s">
        <v>779</v>
      </c>
      <c r="B280" t="s">
        <v>215</v>
      </c>
      <c r="C280" t="s">
        <v>94</v>
      </c>
      <c r="D280" t="s">
        <v>780</v>
      </c>
      <c r="E280">
        <v>2</v>
      </c>
      <c r="F280" t="s">
        <v>781</v>
      </c>
      <c r="G280" s="10">
        <v>45050</v>
      </c>
      <c r="H280">
        <v>30000</v>
      </c>
      <c r="I280">
        <v>5000</v>
      </c>
      <c r="J280" t="s">
        <v>227</v>
      </c>
      <c r="K280">
        <v>5</v>
      </c>
      <c r="L280" t="s">
        <v>41</v>
      </c>
      <c r="M280" t="s">
        <v>42</v>
      </c>
    </row>
    <row r="281" spans="1:13">
      <c r="A281" t="s">
        <v>159</v>
      </c>
      <c r="B281" t="s">
        <v>160</v>
      </c>
      <c r="C281" t="s">
        <v>67</v>
      </c>
      <c r="D281" t="s">
        <v>782</v>
      </c>
      <c r="E281">
        <v>2</v>
      </c>
      <c r="F281" t="s">
        <v>783</v>
      </c>
      <c r="G281" s="10">
        <v>45051</v>
      </c>
      <c r="H281">
        <v>48000</v>
      </c>
      <c r="I281">
        <v>8000</v>
      </c>
      <c r="J281" t="s">
        <v>163</v>
      </c>
      <c r="K281">
        <v>6</v>
      </c>
      <c r="L281" t="s">
        <v>35</v>
      </c>
      <c r="M281" t="s">
        <v>27</v>
      </c>
    </row>
    <row r="282" spans="1:13">
      <c r="A282" t="s">
        <v>431</v>
      </c>
      <c r="B282" t="s">
        <v>160</v>
      </c>
      <c r="C282" t="s">
        <v>67</v>
      </c>
      <c r="D282" t="s">
        <v>784</v>
      </c>
      <c r="E282">
        <v>2</v>
      </c>
      <c r="F282" t="s">
        <v>785</v>
      </c>
      <c r="G282" s="10">
        <v>45051</v>
      </c>
      <c r="H282">
        <v>40020</v>
      </c>
      <c r="I282">
        <v>5238</v>
      </c>
      <c r="J282" t="s">
        <v>193</v>
      </c>
      <c r="K282">
        <v>6</v>
      </c>
      <c r="L282" t="s">
        <v>35</v>
      </c>
      <c r="M282" t="s">
        <v>27</v>
      </c>
    </row>
    <row r="283" spans="1:13">
      <c r="A283" t="s">
        <v>76</v>
      </c>
      <c r="B283" t="s">
        <v>72</v>
      </c>
      <c r="C283" t="s">
        <v>67</v>
      </c>
      <c r="D283" t="s">
        <v>786</v>
      </c>
      <c r="E283">
        <v>1</v>
      </c>
      <c r="F283" t="s">
        <v>787</v>
      </c>
      <c r="G283" s="10">
        <v>45078</v>
      </c>
      <c r="H283">
        <v>0</v>
      </c>
      <c r="I283">
        <v>-20000</v>
      </c>
      <c r="J283" t="s">
        <v>250</v>
      </c>
      <c r="K283">
        <v>6</v>
      </c>
      <c r="L283" t="s">
        <v>24</v>
      </c>
      <c r="M283" t="s">
        <v>29</v>
      </c>
    </row>
    <row r="284" spans="1:13">
      <c r="A284" t="s">
        <v>379</v>
      </c>
      <c r="B284" t="s">
        <v>179</v>
      </c>
      <c r="C284" t="s">
        <v>45</v>
      </c>
      <c r="D284" t="s">
        <v>788</v>
      </c>
      <c r="E284">
        <v>2</v>
      </c>
      <c r="F284" t="s">
        <v>789</v>
      </c>
      <c r="G284" s="10">
        <v>45056</v>
      </c>
      <c r="H284">
        <v>336000</v>
      </c>
      <c r="I284">
        <v>86000</v>
      </c>
      <c r="J284" t="s">
        <v>189</v>
      </c>
      <c r="K284">
        <v>6</v>
      </c>
      <c r="L284" t="s">
        <v>44</v>
      </c>
      <c r="M284" t="s">
        <v>45</v>
      </c>
    </row>
    <row r="285" spans="1:13">
      <c r="A285" t="s">
        <v>790</v>
      </c>
      <c r="B285" t="s">
        <v>455</v>
      </c>
      <c r="C285" t="s">
        <v>455</v>
      </c>
      <c r="D285" t="s">
        <v>791</v>
      </c>
      <c r="E285">
        <v>2</v>
      </c>
      <c r="F285" t="s">
        <v>792</v>
      </c>
      <c r="G285" s="10">
        <v>45054</v>
      </c>
      <c r="H285">
        <v>140280</v>
      </c>
      <c r="I285">
        <v>31946.67</v>
      </c>
      <c r="J285" t="s">
        <v>458</v>
      </c>
      <c r="K285">
        <v>6</v>
      </c>
      <c r="L285" t="s">
        <v>37</v>
      </c>
      <c r="M285" t="s">
        <v>33</v>
      </c>
    </row>
    <row r="286" spans="1:13">
      <c r="A286" t="s">
        <v>399</v>
      </c>
      <c r="B286" t="s">
        <v>231</v>
      </c>
      <c r="C286" t="s">
        <v>400</v>
      </c>
      <c r="D286" t="s">
        <v>724</v>
      </c>
      <c r="E286">
        <v>2</v>
      </c>
      <c r="F286" t="s">
        <v>793</v>
      </c>
      <c r="G286" s="10">
        <v>45072</v>
      </c>
      <c r="H286">
        <v>108000</v>
      </c>
      <c r="I286">
        <v>8000</v>
      </c>
      <c r="J286" t="s">
        <v>227</v>
      </c>
      <c r="K286">
        <v>5</v>
      </c>
      <c r="L286" t="s">
        <v>41</v>
      </c>
      <c r="M286" t="s">
        <v>42</v>
      </c>
    </row>
    <row r="287" spans="1:13">
      <c r="A287" t="s">
        <v>794</v>
      </c>
      <c r="B287" t="s">
        <v>118</v>
      </c>
      <c r="C287" t="s">
        <v>98</v>
      </c>
      <c r="D287" t="s">
        <v>795</v>
      </c>
      <c r="E287">
        <v>4</v>
      </c>
      <c r="F287" t="s">
        <v>796</v>
      </c>
      <c r="G287" s="10">
        <v>45051</v>
      </c>
      <c r="H287">
        <v>261083.74</v>
      </c>
      <c r="I287">
        <v>44417.74</v>
      </c>
      <c r="J287" t="s">
        <v>121</v>
      </c>
      <c r="K287">
        <v>6</v>
      </c>
      <c r="L287" t="s">
        <v>24</v>
      </c>
      <c r="M287" t="s">
        <v>30</v>
      </c>
    </row>
    <row r="288" spans="1:13">
      <c r="A288" t="s">
        <v>190</v>
      </c>
      <c r="B288" t="s">
        <v>160</v>
      </c>
      <c r="C288" t="s">
        <v>67</v>
      </c>
      <c r="D288" t="s">
        <v>797</v>
      </c>
      <c r="E288">
        <v>2</v>
      </c>
      <c r="F288" t="s">
        <v>798</v>
      </c>
      <c r="G288" s="10">
        <v>45051</v>
      </c>
      <c r="H288">
        <v>30475</v>
      </c>
      <c r="I288">
        <v>3975</v>
      </c>
      <c r="J288" t="s">
        <v>193</v>
      </c>
      <c r="K288">
        <v>5</v>
      </c>
      <c r="L288" t="s">
        <v>35</v>
      </c>
      <c r="M288" t="s">
        <v>27</v>
      </c>
    </row>
    <row r="289" spans="1:13">
      <c r="A289" t="s">
        <v>266</v>
      </c>
      <c r="B289" t="s">
        <v>160</v>
      </c>
      <c r="C289" t="s">
        <v>67</v>
      </c>
      <c r="D289" t="s">
        <v>799</v>
      </c>
      <c r="E289">
        <v>2</v>
      </c>
      <c r="F289" t="s">
        <v>800</v>
      </c>
      <c r="G289" s="10">
        <v>45051</v>
      </c>
      <c r="H289">
        <v>51600</v>
      </c>
      <c r="I289">
        <v>8600</v>
      </c>
      <c r="J289" t="s">
        <v>163</v>
      </c>
      <c r="K289">
        <v>5</v>
      </c>
      <c r="L289" t="s">
        <v>35</v>
      </c>
      <c r="M289" t="s">
        <v>27</v>
      </c>
    </row>
    <row r="290" spans="1:13">
      <c r="A290" t="s">
        <v>140</v>
      </c>
      <c r="B290" t="s">
        <v>141</v>
      </c>
      <c r="C290" t="s">
        <v>67</v>
      </c>
      <c r="D290" t="s">
        <v>801</v>
      </c>
      <c r="E290">
        <v>1</v>
      </c>
      <c r="F290" t="s">
        <v>802</v>
      </c>
      <c r="G290" s="10">
        <v>45057</v>
      </c>
      <c r="H290">
        <v>52500</v>
      </c>
      <c r="I290">
        <v>15000</v>
      </c>
      <c r="J290" t="s">
        <v>144</v>
      </c>
      <c r="K290">
        <v>5</v>
      </c>
      <c r="L290" t="s">
        <v>38</v>
      </c>
      <c r="M290" t="s">
        <v>25</v>
      </c>
    </row>
    <row r="291" spans="1:13">
      <c r="A291" t="s">
        <v>642</v>
      </c>
      <c r="B291" t="s">
        <v>179</v>
      </c>
      <c r="C291" t="s">
        <v>45</v>
      </c>
      <c r="D291" t="s">
        <v>803</v>
      </c>
      <c r="E291">
        <v>2</v>
      </c>
      <c r="F291" t="s">
        <v>804</v>
      </c>
      <c r="G291" s="10">
        <v>45055</v>
      </c>
      <c r="H291">
        <v>386400</v>
      </c>
      <c r="I291">
        <v>153067</v>
      </c>
      <c r="J291" t="s">
        <v>189</v>
      </c>
      <c r="K291">
        <v>6</v>
      </c>
      <c r="L291" t="s">
        <v>44</v>
      </c>
      <c r="M291" t="s">
        <v>45</v>
      </c>
    </row>
    <row r="292" spans="1:13">
      <c r="A292" t="s">
        <v>211</v>
      </c>
      <c r="B292" t="s">
        <v>179</v>
      </c>
      <c r="C292" t="s">
        <v>45</v>
      </c>
      <c r="D292" t="s">
        <v>805</v>
      </c>
      <c r="E292">
        <v>2</v>
      </c>
      <c r="F292" t="s">
        <v>806</v>
      </c>
      <c r="G292" s="10">
        <v>45050</v>
      </c>
      <c r="H292">
        <v>336000</v>
      </c>
      <c r="I292">
        <v>161000</v>
      </c>
      <c r="J292" t="s">
        <v>182</v>
      </c>
      <c r="K292">
        <v>5</v>
      </c>
      <c r="L292" t="s">
        <v>44</v>
      </c>
      <c r="M292" t="s">
        <v>45</v>
      </c>
    </row>
    <row r="293" spans="1:13">
      <c r="A293" t="s">
        <v>275</v>
      </c>
      <c r="B293" t="s">
        <v>160</v>
      </c>
      <c r="C293" t="s">
        <v>67</v>
      </c>
      <c r="D293" t="s">
        <v>807</v>
      </c>
      <c r="E293">
        <v>2</v>
      </c>
      <c r="F293" t="s">
        <v>808</v>
      </c>
      <c r="G293" s="10">
        <v>45055</v>
      </c>
      <c r="H293">
        <v>51600</v>
      </c>
      <c r="I293">
        <v>8600</v>
      </c>
      <c r="J293" t="s">
        <v>163</v>
      </c>
      <c r="K293">
        <v>5</v>
      </c>
      <c r="L293" t="s">
        <v>35</v>
      </c>
      <c r="M293" t="s">
        <v>27</v>
      </c>
    </row>
    <row r="294" spans="1:13">
      <c r="A294" t="s">
        <v>29</v>
      </c>
      <c r="B294" t="s">
        <v>98</v>
      </c>
      <c r="C294" t="s">
        <v>29</v>
      </c>
      <c r="D294" t="s">
        <v>809</v>
      </c>
      <c r="E294">
        <v>1</v>
      </c>
      <c r="F294" t="s">
        <v>810</v>
      </c>
      <c r="G294" s="10">
        <v>45167</v>
      </c>
      <c r="H294">
        <v>26775</v>
      </c>
      <c r="I294">
        <v>6775</v>
      </c>
      <c r="J294" t="s">
        <v>250</v>
      </c>
      <c r="K294">
        <v>6</v>
      </c>
      <c r="L294" t="s">
        <v>24</v>
      </c>
      <c r="M294" t="s">
        <v>29</v>
      </c>
    </row>
    <row r="295" spans="1:13">
      <c r="A295" t="s">
        <v>65</v>
      </c>
      <c r="B295" t="s">
        <v>66</v>
      </c>
      <c r="C295" t="s">
        <v>67</v>
      </c>
      <c r="D295" t="s">
        <v>811</v>
      </c>
      <c r="E295">
        <v>6</v>
      </c>
      <c r="F295" t="s">
        <v>812</v>
      </c>
      <c r="G295" s="10">
        <v>45051</v>
      </c>
      <c r="H295">
        <v>34375</v>
      </c>
      <c r="I295">
        <v>6875</v>
      </c>
      <c r="J295" t="s">
        <v>70</v>
      </c>
      <c r="K295">
        <v>6</v>
      </c>
      <c r="L295" t="s">
        <v>35</v>
      </c>
      <c r="M295" t="s">
        <v>36</v>
      </c>
    </row>
    <row r="296" spans="1:13">
      <c r="A296" t="s">
        <v>813</v>
      </c>
      <c r="B296" t="s">
        <v>43</v>
      </c>
      <c r="C296" t="s">
        <v>94</v>
      </c>
      <c r="D296" t="s">
        <v>814</v>
      </c>
      <c r="E296">
        <v>1</v>
      </c>
      <c r="F296" t="s">
        <v>815</v>
      </c>
      <c r="G296" s="10">
        <v>45078</v>
      </c>
      <c r="H296">
        <v>38377.5</v>
      </c>
      <c r="I296">
        <v>13377.5</v>
      </c>
      <c r="J296" t="s">
        <v>250</v>
      </c>
      <c r="K296">
        <v>6</v>
      </c>
      <c r="L296" t="s">
        <v>24</v>
      </c>
      <c r="M296" t="s">
        <v>29</v>
      </c>
    </row>
    <row r="297" spans="1:13">
      <c r="A297" t="s">
        <v>503</v>
      </c>
      <c r="B297" t="s">
        <v>41</v>
      </c>
      <c r="C297" t="s">
        <v>503</v>
      </c>
      <c r="D297" t="s">
        <v>816</v>
      </c>
      <c r="E297">
        <v>1</v>
      </c>
      <c r="F297" t="s">
        <v>817</v>
      </c>
      <c r="G297" s="10">
        <v>45078</v>
      </c>
      <c r="H297">
        <v>38377.5</v>
      </c>
      <c r="I297">
        <v>13377.5</v>
      </c>
      <c r="J297" t="s">
        <v>250</v>
      </c>
      <c r="K297">
        <v>6</v>
      </c>
      <c r="L297" t="s">
        <v>24</v>
      </c>
      <c r="M297" t="s">
        <v>29</v>
      </c>
    </row>
    <row r="298" spans="1:13">
      <c r="A298" t="s">
        <v>261</v>
      </c>
      <c r="B298" t="s">
        <v>160</v>
      </c>
      <c r="C298" t="s">
        <v>67</v>
      </c>
      <c r="D298" t="s">
        <v>818</v>
      </c>
      <c r="E298">
        <v>1</v>
      </c>
      <c r="F298" t="s">
        <v>819</v>
      </c>
      <c r="G298" s="10">
        <v>45078</v>
      </c>
      <c r="H298">
        <v>0</v>
      </c>
      <c r="I298">
        <v>-25000</v>
      </c>
      <c r="J298" t="s">
        <v>250</v>
      </c>
      <c r="K298">
        <v>6</v>
      </c>
      <c r="L298" t="s">
        <v>24</v>
      </c>
      <c r="M298" t="s">
        <v>29</v>
      </c>
    </row>
    <row r="299" spans="1:13">
      <c r="A299" t="s">
        <v>251</v>
      </c>
      <c r="B299" t="s">
        <v>160</v>
      </c>
      <c r="C299" t="s">
        <v>67</v>
      </c>
      <c r="D299" t="s">
        <v>820</v>
      </c>
      <c r="E299">
        <v>1</v>
      </c>
      <c r="F299" t="s">
        <v>821</v>
      </c>
      <c r="G299" s="10">
        <v>45078</v>
      </c>
      <c r="H299">
        <v>32130</v>
      </c>
      <c r="I299">
        <v>12130</v>
      </c>
      <c r="J299" t="s">
        <v>250</v>
      </c>
      <c r="K299">
        <v>6</v>
      </c>
      <c r="L299" t="s">
        <v>24</v>
      </c>
      <c r="M299" t="s">
        <v>29</v>
      </c>
    </row>
    <row r="300" spans="1:13">
      <c r="A300" t="s">
        <v>136</v>
      </c>
      <c r="B300" t="s">
        <v>117</v>
      </c>
      <c r="C300" t="s">
        <v>137</v>
      </c>
      <c r="D300" t="s">
        <v>822</v>
      </c>
      <c r="E300">
        <v>1</v>
      </c>
      <c r="F300" t="s">
        <v>823</v>
      </c>
      <c r="G300" s="10">
        <v>45057</v>
      </c>
      <c r="H300">
        <v>206896.55</v>
      </c>
      <c r="I300">
        <v>56896.55</v>
      </c>
      <c r="J300" t="s">
        <v>121</v>
      </c>
      <c r="K300">
        <v>6</v>
      </c>
      <c r="L300" t="s">
        <v>24</v>
      </c>
      <c r="M300" t="s">
        <v>30</v>
      </c>
    </row>
    <row r="301" spans="1:13">
      <c r="A301" t="s">
        <v>261</v>
      </c>
      <c r="B301" t="s">
        <v>160</v>
      </c>
      <c r="C301" t="s">
        <v>67</v>
      </c>
      <c r="D301" t="s">
        <v>824</v>
      </c>
      <c r="E301">
        <v>1</v>
      </c>
      <c r="F301" t="s">
        <v>825</v>
      </c>
      <c r="G301" s="10">
        <v>45078</v>
      </c>
      <c r="H301">
        <v>0</v>
      </c>
      <c r="I301">
        <v>-25000</v>
      </c>
      <c r="J301" t="s">
        <v>250</v>
      </c>
      <c r="K301">
        <v>6</v>
      </c>
      <c r="L301" t="s">
        <v>24</v>
      </c>
      <c r="M301" t="s">
        <v>29</v>
      </c>
    </row>
    <row r="302" spans="1:13">
      <c r="A302" t="s">
        <v>341</v>
      </c>
      <c r="B302" t="s">
        <v>179</v>
      </c>
      <c r="C302" t="s">
        <v>45</v>
      </c>
      <c r="D302" t="s">
        <v>826</v>
      </c>
      <c r="E302">
        <v>2</v>
      </c>
      <c r="F302" t="s">
        <v>827</v>
      </c>
      <c r="G302" s="10">
        <v>45056</v>
      </c>
      <c r="H302">
        <v>336000</v>
      </c>
      <c r="I302">
        <v>102667</v>
      </c>
      <c r="J302" t="s">
        <v>189</v>
      </c>
      <c r="K302">
        <v>6</v>
      </c>
      <c r="L302" t="s">
        <v>44</v>
      </c>
      <c r="M302" t="s">
        <v>45</v>
      </c>
    </row>
    <row r="303" spans="1:13">
      <c r="A303" t="s">
        <v>341</v>
      </c>
      <c r="B303" t="s">
        <v>179</v>
      </c>
      <c r="C303" t="s">
        <v>45</v>
      </c>
      <c r="D303" t="s">
        <v>828</v>
      </c>
      <c r="E303">
        <v>2</v>
      </c>
      <c r="F303" t="s">
        <v>829</v>
      </c>
      <c r="G303" s="10">
        <v>45056</v>
      </c>
      <c r="H303">
        <v>386400</v>
      </c>
      <c r="I303">
        <v>11400</v>
      </c>
      <c r="J303" t="s">
        <v>189</v>
      </c>
      <c r="K303">
        <v>6</v>
      </c>
      <c r="L303" t="s">
        <v>44</v>
      </c>
      <c r="M303" t="s">
        <v>45</v>
      </c>
    </row>
    <row r="304" spans="1:13">
      <c r="A304" t="s">
        <v>503</v>
      </c>
      <c r="B304" t="s">
        <v>41</v>
      </c>
      <c r="C304" t="s">
        <v>503</v>
      </c>
      <c r="D304" t="s">
        <v>830</v>
      </c>
      <c r="E304">
        <v>1</v>
      </c>
      <c r="F304" t="s">
        <v>831</v>
      </c>
      <c r="G304" s="10">
        <v>45078</v>
      </c>
      <c r="H304">
        <v>38378</v>
      </c>
      <c r="I304">
        <v>13378</v>
      </c>
      <c r="J304" t="s">
        <v>250</v>
      </c>
      <c r="K304">
        <v>6</v>
      </c>
      <c r="L304" t="s">
        <v>24</v>
      </c>
      <c r="M304" t="s">
        <v>29</v>
      </c>
    </row>
    <row r="305" spans="1:13">
      <c r="A305" t="s">
        <v>676</v>
      </c>
      <c r="B305" t="s">
        <v>28</v>
      </c>
      <c r="C305" t="s">
        <v>238</v>
      </c>
      <c r="D305" t="s">
        <v>832</v>
      </c>
      <c r="E305">
        <v>2</v>
      </c>
      <c r="F305" t="s">
        <v>833</v>
      </c>
      <c r="G305" s="10">
        <v>45061</v>
      </c>
      <c r="H305">
        <v>157500</v>
      </c>
      <c r="I305">
        <v>78334</v>
      </c>
      <c r="J305" t="s">
        <v>834</v>
      </c>
      <c r="K305">
        <v>5</v>
      </c>
      <c r="L305" t="s">
        <v>37</v>
      </c>
      <c r="M305" t="s">
        <v>25</v>
      </c>
    </row>
    <row r="306" spans="1:13">
      <c r="A306" t="s">
        <v>159</v>
      </c>
      <c r="B306" t="s">
        <v>160</v>
      </c>
      <c r="C306" t="s">
        <v>67</v>
      </c>
      <c r="D306" t="s">
        <v>835</v>
      </c>
      <c r="E306">
        <v>1</v>
      </c>
      <c r="F306" t="s">
        <v>836</v>
      </c>
      <c r="G306" s="10">
        <v>45078</v>
      </c>
      <c r="H306">
        <v>38377.5</v>
      </c>
      <c r="I306">
        <v>13377.5</v>
      </c>
      <c r="J306" t="s">
        <v>250</v>
      </c>
      <c r="K306">
        <v>6</v>
      </c>
      <c r="L306" t="s">
        <v>24</v>
      </c>
      <c r="M306" t="s">
        <v>29</v>
      </c>
    </row>
    <row r="307" spans="1:13">
      <c r="A307" t="s">
        <v>159</v>
      </c>
      <c r="B307" t="s">
        <v>160</v>
      </c>
      <c r="C307" t="s">
        <v>67</v>
      </c>
      <c r="D307" t="s">
        <v>837</v>
      </c>
      <c r="E307">
        <v>2</v>
      </c>
      <c r="F307" t="s">
        <v>838</v>
      </c>
      <c r="G307" s="10">
        <v>45055</v>
      </c>
      <c r="H307">
        <v>41400</v>
      </c>
      <c r="I307">
        <v>5400</v>
      </c>
      <c r="J307" t="s">
        <v>193</v>
      </c>
      <c r="K307">
        <v>5</v>
      </c>
      <c r="L307" t="s">
        <v>35</v>
      </c>
      <c r="M307" t="s">
        <v>27</v>
      </c>
    </row>
    <row r="308" spans="1:13">
      <c r="A308" t="s">
        <v>755</v>
      </c>
      <c r="B308" t="s">
        <v>756</v>
      </c>
      <c r="C308" t="s">
        <v>27</v>
      </c>
      <c r="D308" t="s">
        <v>839</v>
      </c>
      <c r="E308">
        <v>1</v>
      </c>
      <c r="F308" t="s">
        <v>840</v>
      </c>
      <c r="G308" s="10">
        <v>45078</v>
      </c>
      <c r="H308">
        <v>38377.5</v>
      </c>
      <c r="I308">
        <v>13377.5</v>
      </c>
      <c r="J308" t="s">
        <v>250</v>
      </c>
      <c r="K308">
        <v>6</v>
      </c>
      <c r="L308" t="s">
        <v>24</v>
      </c>
      <c r="M308" t="s">
        <v>29</v>
      </c>
    </row>
    <row r="309" spans="1:13">
      <c r="A309" t="s">
        <v>197</v>
      </c>
      <c r="B309" t="s">
        <v>160</v>
      </c>
      <c r="C309" t="s">
        <v>67</v>
      </c>
      <c r="D309" t="s">
        <v>841</v>
      </c>
      <c r="E309">
        <v>2</v>
      </c>
      <c r="F309" t="s">
        <v>842</v>
      </c>
      <c r="G309" s="10">
        <v>45058</v>
      </c>
      <c r="H309">
        <v>17400</v>
      </c>
      <c r="I309">
        <v>2400</v>
      </c>
      <c r="J309" t="s">
        <v>193</v>
      </c>
      <c r="K309">
        <v>6</v>
      </c>
      <c r="L309" t="s">
        <v>35</v>
      </c>
      <c r="M309" t="s">
        <v>27</v>
      </c>
    </row>
    <row r="310" spans="1:13">
      <c r="A310" t="s">
        <v>602</v>
      </c>
      <c r="B310" t="s">
        <v>224</v>
      </c>
      <c r="C310" t="s">
        <v>94</v>
      </c>
      <c r="D310" t="s">
        <v>843</v>
      </c>
      <c r="E310">
        <v>2</v>
      </c>
      <c r="F310" t="s">
        <v>844</v>
      </c>
      <c r="G310" s="10">
        <v>45068</v>
      </c>
      <c r="H310">
        <v>30000</v>
      </c>
      <c r="I310">
        <v>5000</v>
      </c>
      <c r="J310" t="s">
        <v>227</v>
      </c>
      <c r="K310">
        <v>5</v>
      </c>
      <c r="L310" t="s">
        <v>41</v>
      </c>
      <c r="M310" t="s">
        <v>42</v>
      </c>
    </row>
    <row r="311" spans="1:13">
      <c r="A311" t="s">
        <v>197</v>
      </c>
      <c r="B311" t="s">
        <v>160</v>
      </c>
      <c r="C311" t="s">
        <v>67</v>
      </c>
      <c r="D311" t="s">
        <v>845</v>
      </c>
      <c r="E311">
        <v>2</v>
      </c>
      <c r="F311" t="s">
        <v>846</v>
      </c>
      <c r="G311" s="10">
        <v>45058</v>
      </c>
      <c r="H311">
        <v>17400</v>
      </c>
      <c r="I311">
        <v>2400</v>
      </c>
      <c r="J311" t="s">
        <v>193</v>
      </c>
      <c r="K311">
        <v>5</v>
      </c>
      <c r="L311" t="s">
        <v>35</v>
      </c>
      <c r="M311" t="s">
        <v>27</v>
      </c>
    </row>
    <row r="312" spans="1:13">
      <c r="A312" t="s">
        <v>847</v>
      </c>
      <c r="B312" t="s">
        <v>848</v>
      </c>
      <c r="C312" t="s">
        <v>98</v>
      </c>
      <c r="D312" t="s">
        <v>849</v>
      </c>
      <c r="E312">
        <v>1</v>
      </c>
      <c r="F312" t="s">
        <v>850</v>
      </c>
      <c r="G312" s="10">
        <v>45061</v>
      </c>
      <c r="H312">
        <v>183000</v>
      </c>
      <c r="I312">
        <v>41334</v>
      </c>
      <c r="J312" t="s">
        <v>851</v>
      </c>
      <c r="K312">
        <v>5</v>
      </c>
      <c r="L312" t="s">
        <v>24</v>
      </c>
      <c r="M312" t="s">
        <v>33</v>
      </c>
    </row>
    <row r="313" spans="1:13">
      <c r="A313" t="s">
        <v>305</v>
      </c>
      <c r="B313" t="s">
        <v>118</v>
      </c>
      <c r="C313" t="s">
        <v>98</v>
      </c>
      <c r="D313" t="s">
        <v>852</v>
      </c>
      <c r="E313">
        <v>4</v>
      </c>
      <c r="F313" t="s">
        <v>853</v>
      </c>
      <c r="G313" s="10">
        <v>45077</v>
      </c>
      <c r="H313">
        <v>300000</v>
      </c>
      <c r="I313">
        <v>50000</v>
      </c>
      <c r="J313" t="s">
        <v>121</v>
      </c>
      <c r="K313">
        <v>6</v>
      </c>
      <c r="L313" t="s">
        <v>24</v>
      </c>
      <c r="M313" t="s">
        <v>30</v>
      </c>
    </row>
    <row r="314" spans="1:13">
      <c r="A314" t="s">
        <v>854</v>
      </c>
      <c r="B314" t="s">
        <v>93</v>
      </c>
      <c r="C314" t="s">
        <v>94</v>
      </c>
      <c r="D314" t="s">
        <v>855</v>
      </c>
      <c r="E314">
        <v>2</v>
      </c>
      <c r="F314" t="s">
        <v>856</v>
      </c>
      <c r="G314" s="10">
        <v>45068</v>
      </c>
      <c r="H314">
        <v>168000</v>
      </c>
      <c r="I314">
        <v>34667</v>
      </c>
      <c r="J314" t="s">
        <v>97</v>
      </c>
      <c r="K314">
        <v>6</v>
      </c>
      <c r="L314" t="s">
        <v>41</v>
      </c>
      <c r="M314" t="s">
        <v>42</v>
      </c>
    </row>
    <row r="315" spans="1:13">
      <c r="A315" t="s">
        <v>847</v>
      </c>
      <c r="B315" t="s">
        <v>848</v>
      </c>
      <c r="C315" t="s">
        <v>98</v>
      </c>
      <c r="D315" t="s">
        <v>857</v>
      </c>
      <c r="E315">
        <v>1</v>
      </c>
      <c r="F315" t="s">
        <v>858</v>
      </c>
      <c r="G315" s="10">
        <v>45071</v>
      </c>
      <c r="H315">
        <v>230680.8</v>
      </c>
      <c r="I315">
        <v>155680.79999999999</v>
      </c>
      <c r="J315" t="s">
        <v>859</v>
      </c>
      <c r="K315">
        <v>6</v>
      </c>
      <c r="L315" t="s">
        <v>24</v>
      </c>
      <c r="M315" t="s">
        <v>24</v>
      </c>
    </row>
    <row r="316" spans="1:13">
      <c r="A316" t="s">
        <v>136</v>
      </c>
      <c r="B316" t="s">
        <v>117</v>
      </c>
      <c r="C316" t="s">
        <v>137</v>
      </c>
      <c r="D316" t="s">
        <v>860</v>
      </c>
      <c r="E316">
        <v>2</v>
      </c>
      <c r="F316" t="s">
        <v>861</v>
      </c>
      <c r="G316" s="10">
        <v>45065</v>
      </c>
      <c r="H316">
        <v>28500</v>
      </c>
      <c r="I316">
        <v>4317.33</v>
      </c>
      <c r="J316" t="s">
        <v>308</v>
      </c>
      <c r="K316">
        <v>5</v>
      </c>
      <c r="L316" t="s">
        <v>24</v>
      </c>
      <c r="M316" t="s">
        <v>32</v>
      </c>
    </row>
    <row r="317" spans="1:13">
      <c r="A317" t="s">
        <v>186</v>
      </c>
      <c r="B317" t="s">
        <v>179</v>
      </c>
      <c r="C317" t="s">
        <v>45</v>
      </c>
      <c r="D317" t="s">
        <v>862</v>
      </c>
      <c r="E317">
        <v>2</v>
      </c>
      <c r="F317" t="s">
        <v>863</v>
      </c>
      <c r="G317" s="10">
        <v>45061</v>
      </c>
      <c r="H317">
        <v>336000</v>
      </c>
      <c r="I317">
        <v>102667</v>
      </c>
      <c r="J317" t="s">
        <v>189</v>
      </c>
      <c r="K317">
        <v>6</v>
      </c>
      <c r="L317" t="s">
        <v>44</v>
      </c>
      <c r="M317" t="s">
        <v>45</v>
      </c>
    </row>
    <row r="318" spans="1:13">
      <c r="A318" t="s">
        <v>130</v>
      </c>
      <c r="B318" t="s">
        <v>82</v>
      </c>
      <c r="C318" t="s">
        <v>28</v>
      </c>
      <c r="D318" t="s">
        <v>864</v>
      </c>
      <c r="E318">
        <v>2</v>
      </c>
      <c r="F318" t="s">
        <v>865</v>
      </c>
      <c r="G318" s="10">
        <v>45065</v>
      </c>
      <c r="H318">
        <v>133358.39999999999</v>
      </c>
      <c r="I318">
        <v>33358.400000000001</v>
      </c>
      <c r="J318" t="s">
        <v>126</v>
      </c>
      <c r="K318">
        <v>5</v>
      </c>
      <c r="L318" t="s">
        <v>24</v>
      </c>
      <c r="M318" t="s">
        <v>26</v>
      </c>
    </row>
    <row r="319" spans="1:13">
      <c r="A319" t="s">
        <v>159</v>
      </c>
      <c r="B319" t="s">
        <v>160</v>
      </c>
      <c r="C319" t="s">
        <v>67</v>
      </c>
      <c r="D319" t="s">
        <v>866</v>
      </c>
      <c r="E319">
        <v>2</v>
      </c>
      <c r="F319" t="s">
        <v>867</v>
      </c>
      <c r="G319" s="10">
        <v>45058</v>
      </c>
      <c r="H319">
        <v>17400</v>
      </c>
      <c r="I319">
        <v>2400</v>
      </c>
      <c r="J319" t="s">
        <v>193</v>
      </c>
      <c r="K319">
        <v>5</v>
      </c>
      <c r="L319" t="s">
        <v>35</v>
      </c>
      <c r="M319" t="s">
        <v>27</v>
      </c>
    </row>
    <row r="320" spans="1:13">
      <c r="A320" t="s">
        <v>280</v>
      </c>
      <c r="B320" t="s">
        <v>160</v>
      </c>
      <c r="C320" t="s">
        <v>67</v>
      </c>
      <c r="D320" t="s">
        <v>868</v>
      </c>
      <c r="E320">
        <v>1</v>
      </c>
      <c r="F320" t="s">
        <v>869</v>
      </c>
      <c r="G320" s="10">
        <v>45078</v>
      </c>
      <c r="H320">
        <v>38377.5</v>
      </c>
      <c r="I320">
        <v>13377.5</v>
      </c>
      <c r="J320" t="s">
        <v>250</v>
      </c>
      <c r="K320">
        <v>6</v>
      </c>
      <c r="L320" t="s">
        <v>24</v>
      </c>
      <c r="M320" t="s">
        <v>29</v>
      </c>
    </row>
    <row r="321" spans="1:13">
      <c r="A321" t="s">
        <v>870</v>
      </c>
      <c r="B321" t="s">
        <v>215</v>
      </c>
      <c r="C321" t="s">
        <v>94</v>
      </c>
      <c r="D321" t="s">
        <v>871</v>
      </c>
      <c r="E321">
        <v>2</v>
      </c>
      <c r="F321" t="s">
        <v>872</v>
      </c>
      <c r="G321" s="10">
        <v>45068</v>
      </c>
      <c r="H321">
        <v>157500</v>
      </c>
      <c r="I321">
        <v>40834</v>
      </c>
      <c r="J321" t="s">
        <v>97</v>
      </c>
      <c r="K321">
        <v>6</v>
      </c>
      <c r="L321" t="s">
        <v>41</v>
      </c>
      <c r="M321" t="s">
        <v>42</v>
      </c>
    </row>
    <row r="322" spans="1:13">
      <c r="A322" t="s">
        <v>130</v>
      </c>
      <c r="B322" t="s">
        <v>82</v>
      </c>
      <c r="C322" t="s">
        <v>28</v>
      </c>
      <c r="D322" t="s">
        <v>873</v>
      </c>
      <c r="E322">
        <v>2</v>
      </c>
      <c r="F322" t="s">
        <v>874</v>
      </c>
      <c r="G322" s="10">
        <v>45063</v>
      </c>
      <c r="H322">
        <v>136080</v>
      </c>
      <c r="I322">
        <v>36080</v>
      </c>
      <c r="J322" t="s">
        <v>126</v>
      </c>
      <c r="K322">
        <v>6</v>
      </c>
      <c r="L322" t="s">
        <v>24</v>
      </c>
      <c r="M322" t="s">
        <v>26</v>
      </c>
    </row>
    <row r="323" spans="1:13">
      <c r="A323" t="s">
        <v>875</v>
      </c>
      <c r="B323" t="s">
        <v>146</v>
      </c>
      <c r="C323" t="s">
        <v>98</v>
      </c>
      <c r="D323" t="s">
        <v>876</v>
      </c>
      <c r="E323">
        <v>2</v>
      </c>
      <c r="F323" t="s">
        <v>877</v>
      </c>
      <c r="G323" s="10">
        <v>45055</v>
      </c>
      <c r="H323">
        <v>479808</v>
      </c>
      <c r="I323">
        <v>204808</v>
      </c>
      <c r="J323" t="s">
        <v>878</v>
      </c>
      <c r="K323">
        <v>5</v>
      </c>
      <c r="L323" t="s">
        <v>44</v>
      </c>
      <c r="M323" t="s">
        <v>48</v>
      </c>
    </row>
    <row r="324" spans="1:13">
      <c r="A324" t="s">
        <v>82</v>
      </c>
      <c r="B324" t="s">
        <v>28</v>
      </c>
      <c r="C324" t="s">
        <v>238</v>
      </c>
      <c r="D324" t="s">
        <v>879</v>
      </c>
      <c r="E324">
        <v>2</v>
      </c>
      <c r="F324" t="s">
        <v>880</v>
      </c>
      <c r="G324" s="10">
        <v>45061</v>
      </c>
      <c r="H324">
        <v>67200</v>
      </c>
      <c r="I324">
        <v>33867</v>
      </c>
      <c r="J324" t="s">
        <v>834</v>
      </c>
      <c r="K324">
        <v>6</v>
      </c>
      <c r="L324" t="s">
        <v>37</v>
      </c>
      <c r="M324" t="s">
        <v>25</v>
      </c>
    </row>
    <row r="325" spans="1:13">
      <c r="A325" t="s">
        <v>881</v>
      </c>
      <c r="B325" t="s">
        <v>44</v>
      </c>
      <c r="C325" t="s">
        <v>881</v>
      </c>
      <c r="D325" t="s">
        <v>882</v>
      </c>
      <c r="E325">
        <v>4</v>
      </c>
      <c r="F325" t="s">
        <v>883</v>
      </c>
      <c r="G325" s="10">
        <v>45077</v>
      </c>
      <c r="H325">
        <v>126000</v>
      </c>
      <c r="I325">
        <v>42666.67</v>
      </c>
      <c r="J325" t="s">
        <v>884</v>
      </c>
      <c r="K325">
        <v>6</v>
      </c>
      <c r="L325" t="s">
        <v>44</v>
      </c>
      <c r="M325" t="s">
        <v>45</v>
      </c>
    </row>
    <row r="326" spans="1:13">
      <c r="A326" t="s">
        <v>256</v>
      </c>
      <c r="B326" t="s">
        <v>160</v>
      </c>
      <c r="C326" t="s">
        <v>67</v>
      </c>
      <c r="D326" t="s">
        <v>885</v>
      </c>
      <c r="E326">
        <v>2</v>
      </c>
      <c r="F326" t="s">
        <v>886</v>
      </c>
      <c r="G326" s="10">
        <v>45058</v>
      </c>
      <c r="H326">
        <v>17400</v>
      </c>
      <c r="I326">
        <v>17400</v>
      </c>
      <c r="J326" t="s">
        <v>193</v>
      </c>
      <c r="K326">
        <v>6</v>
      </c>
      <c r="L326" t="s">
        <v>35</v>
      </c>
      <c r="M326" t="s">
        <v>27</v>
      </c>
    </row>
    <row r="327" spans="1:13">
      <c r="A327" t="s">
        <v>431</v>
      </c>
      <c r="B327" t="s">
        <v>160</v>
      </c>
      <c r="C327" t="s">
        <v>67</v>
      </c>
      <c r="D327" t="s">
        <v>887</v>
      </c>
      <c r="E327">
        <v>2</v>
      </c>
      <c r="F327" t="s">
        <v>888</v>
      </c>
      <c r="G327" s="10">
        <v>45058</v>
      </c>
      <c r="H327">
        <v>17400</v>
      </c>
      <c r="I327">
        <v>2400</v>
      </c>
      <c r="J327" t="s">
        <v>193</v>
      </c>
      <c r="K327">
        <v>5</v>
      </c>
      <c r="L327" t="s">
        <v>35</v>
      </c>
      <c r="M327" t="s">
        <v>27</v>
      </c>
    </row>
    <row r="328" spans="1:13">
      <c r="A328" t="s">
        <v>376</v>
      </c>
      <c r="B328" t="s">
        <v>66</v>
      </c>
      <c r="C328" t="s">
        <v>67</v>
      </c>
      <c r="D328" t="s">
        <v>889</v>
      </c>
      <c r="E328">
        <v>6</v>
      </c>
      <c r="F328" t="s">
        <v>890</v>
      </c>
      <c r="G328" s="10">
        <v>45063</v>
      </c>
      <c r="H328">
        <v>43866.67</v>
      </c>
      <c r="I328">
        <v>4700.67</v>
      </c>
      <c r="J328" t="s">
        <v>70</v>
      </c>
      <c r="K328">
        <v>5</v>
      </c>
      <c r="L328" t="s">
        <v>35</v>
      </c>
      <c r="M328" t="s">
        <v>36</v>
      </c>
    </row>
    <row r="329" spans="1:13">
      <c r="A329" t="s">
        <v>297</v>
      </c>
      <c r="B329" t="s">
        <v>179</v>
      </c>
      <c r="C329" t="s">
        <v>45</v>
      </c>
      <c r="D329" t="s">
        <v>891</v>
      </c>
      <c r="E329">
        <v>2</v>
      </c>
      <c r="F329" t="s">
        <v>892</v>
      </c>
      <c r="G329" s="10">
        <v>45061</v>
      </c>
      <c r="H329">
        <v>233833</v>
      </c>
      <c r="I329">
        <v>42167</v>
      </c>
      <c r="J329" t="s">
        <v>517</v>
      </c>
      <c r="K329">
        <v>5</v>
      </c>
      <c r="L329" t="s">
        <v>44</v>
      </c>
      <c r="M329" t="s">
        <v>48</v>
      </c>
    </row>
    <row r="330" spans="1:13">
      <c r="A330" t="s">
        <v>522</v>
      </c>
      <c r="B330" t="s">
        <v>72</v>
      </c>
      <c r="C330" t="s">
        <v>67</v>
      </c>
      <c r="D330" t="s">
        <v>893</v>
      </c>
      <c r="E330">
        <v>1</v>
      </c>
      <c r="F330" t="s">
        <v>894</v>
      </c>
      <c r="G330" s="10">
        <v>45061</v>
      </c>
      <c r="H330">
        <v>72292.5</v>
      </c>
      <c r="I330">
        <v>9792.5</v>
      </c>
      <c r="J330" t="s">
        <v>250</v>
      </c>
      <c r="K330">
        <v>6</v>
      </c>
      <c r="L330" t="s">
        <v>24</v>
      </c>
      <c r="M330" t="s">
        <v>29</v>
      </c>
    </row>
    <row r="331" spans="1:13">
      <c r="A331" t="s">
        <v>280</v>
      </c>
      <c r="B331" t="s">
        <v>160</v>
      </c>
      <c r="C331" t="s">
        <v>67</v>
      </c>
      <c r="D331" t="s">
        <v>895</v>
      </c>
      <c r="E331">
        <v>1</v>
      </c>
      <c r="F331" t="s">
        <v>896</v>
      </c>
      <c r="G331" s="10">
        <v>45078</v>
      </c>
      <c r="H331">
        <v>38377.5</v>
      </c>
      <c r="I331">
        <v>13377.5</v>
      </c>
      <c r="J331" t="s">
        <v>250</v>
      </c>
      <c r="K331">
        <v>6</v>
      </c>
      <c r="L331" t="s">
        <v>24</v>
      </c>
      <c r="M331" t="s">
        <v>29</v>
      </c>
    </row>
    <row r="332" spans="1:13">
      <c r="A332" t="s">
        <v>382</v>
      </c>
      <c r="B332" t="s">
        <v>141</v>
      </c>
      <c r="C332" t="s">
        <v>67</v>
      </c>
      <c r="D332" t="s">
        <v>897</v>
      </c>
      <c r="E332">
        <v>1</v>
      </c>
      <c r="F332" t="s">
        <v>898</v>
      </c>
      <c r="G332" s="10">
        <v>45078</v>
      </c>
      <c r="H332">
        <v>38377.5</v>
      </c>
      <c r="I332">
        <v>13377.5</v>
      </c>
      <c r="J332" t="s">
        <v>250</v>
      </c>
      <c r="K332">
        <v>6</v>
      </c>
      <c r="L332" t="s">
        <v>24</v>
      </c>
      <c r="M332" t="s">
        <v>29</v>
      </c>
    </row>
    <row r="333" spans="1:13">
      <c r="A333" t="s">
        <v>140</v>
      </c>
      <c r="B333" t="s">
        <v>141</v>
      </c>
      <c r="C333" t="s">
        <v>67</v>
      </c>
      <c r="D333" t="s">
        <v>899</v>
      </c>
      <c r="E333">
        <v>1</v>
      </c>
      <c r="F333" t="s">
        <v>900</v>
      </c>
      <c r="G333" s="10">
        <v>45078</v>
      </c>
      <c r="H333">
        <v>38377.5</v>
      </c>
      <c r="I333">
        <v>13377.5</v>
      </c>
      <c r="J333" t="s">
        <v>250</v>
      </c>
      <c r="K333">
        <v>6</v>
      </c>
      <c r="L333" t="s">
        <v>24</v>
      </c>
      <c r="M333" t="s">
        <v>29</v>
      </c>
    </row>
    <row r="334" spans="1:13">
      <c r="A334" t="s">
        <v>703</v>
      </c>
      <c r="B334" t="s">
        <v>179</v>
      </c>
      <c r="C334" t="s">
        <v>45</v>
      </c>
      <c r="D334" t="s">
        <v>901</v>
      </c>
      <c r="E334">
        <v>2</v>
      </c>
      <c r="F334" t="s">
        <v>902</v>
      </c>
      <c r="G334" s="10">
        <v>45061</v>
      </c>
      <c r="H334">
        <v>386400</v>
      </c>
      <c r="I334">
        <v>73900</v>
      </c>
      <c r="J334" t="s">
        <v>189</v>
      </c>
      <c r="K334">
        <v>5</v>
      </c>
      <c r="L334" t="s">
        <v>44</v>
      </c>
      <c r="M334" t="s">
        <v>45</v>
      </c>
    </row>
    <row r="335" spans="1:13">
      <c r="A335" t="s">
        <v>379</v>
      </c>
      <c r="B335" t="s">
        <v>179</v>
      </c>
      <c r="C335" t="s">
        <v>45</v>
      </c>
      <c r="D335" t="s">
        <v>903</v>
      </c>
      <c r="E335">
        <v>2</v>
      </c>
      <c r="F335" t="s">
        <v>904</v>
      </c>
      <c r="G335" s="10">
        <v>45062</v>
      </c>
      <c r="H335">
        <v>336000</v>
      </c>
      <c r="I335">
        <v>136000</v>
      </c>
      <c r="J335" t="s">
        <v>189</v>
      </c>
      <c r="K335">
        <v>6</v>
      </c>
      <c r="L335" t="s">
        <v>44</v>
      </c>
      <c r="M335" t="s">
        <v>45</v>
      </c>
    </row>
    <row r="336" spans="1:13">
      <c r="A336" t="s">
        <v>178</v>
      </c>
      <c r="B336" t="s">
        <v>179</v>
      </c>
      <c r="C336" t="s">
        <v>45</v>
      </c>
      <c r="D336" t="s">
        <v>905</v>
      </c>
      <c r="E336">
        <v>2</v>
      </c>
      <c r="F336" t="s">
        <v>906</v>
      </c>
      <c r="G336" s="10">
        <v>45061</v>
      </c>
      <c r="H336">
        <v>220000</v>
      </c>
      <c r="I336">
        <v>153334</v>
      </c>
      <c r="J336" t="s">
        <v>714</v>
      </c>
      <c r="K336">
        <v>6</v>
      </c>
      <c r="L336" t="s">
        <v>44</v>
      </c>
      <c r="M336" t="s">
        <v>45</v>
      </c>
    </row>
    <row r="337" spans="1:13">
      <c r="A337" t="s">
        <v>194</v>
      </c>
      <c r="B337" t="s">
        <v>160</v>
      </c>
      <c r="C337" t="s">
        <v>67</v>
      </c>
      <c r="D337" t="s">
        <v>907</v>
      </c>
      <c r="E337">
        <v>2</v>
      </c>
      <c r="F337" t="s">
        <v>908</v>
      </c>
      <c r="G337" s="10">
        <v>45059</v>
      </c>
      <c r="H337">
        <v>47760</v>
      </c>
      <c r="I337">
        <v>7960</v>
      </c>
      <c r="J337" t="s">
        <v>163</v>
      </c>
      <c r="K337">
        <v>6</v>
      </c>
      <c r="L337" t="s">
        <v>35</v>
      </c>
      <c r="M337" t="s">
        <v>27</v>
      </c>
    </row>
    <row r="338" spans="1:13">
      <c r="A338" t="s">
        <v>909</v>
      </c>
      <c r="B338" t="s">
        <v>910</v>
      </c>
      <c r="C338" t="s">
        <v>741</v>
      </c>
      <c r="D338" t="s">
        <v>911</v>
      </c>
      <c r="E338">
        <v>1</v>
      </c>
      <c r="F338" t="s">
        <v>912</v>
      </c>
      <c r="G338" s="10">
        <v>45078</v>
      </c>
      <c r="H338">
        <v>0</v>
      </c>
      <c r="I338">
        <v>-25000</v>
      </c>
      <c r="J338" t="s">
        <v>250</v>
      </c>
      <c r="K338">
        <v>6</v>
      </c>
      <c r="L338" t="s">
        <v>24</v>
      </c>
      <c r="M338" t="s">
        <v>29</v>
      </c>
    </row>
    <row r="339" spans="1:13">
      <c r="A339" t="s">
        <v>480</v>
      </c>
      <c r="B339" t="s">
        <v>215</v>
      </c>
      <c r="C339" t="s">
        <v>94</v>
      </c>
      <c r="D339" t="s">
        <v>913</v>
      </c>
      <c r="E339">
        <v>2</v>
      </c>
      <c r="F339" t="s">
        <v>914</v>
      </c>
      <c r="G339" s="10">
        <v>45082</v>
      </c>
      <c r="H339">
        <v>189000</v>
      </c>
      <c r="I339">
        <v>22334</v>
      </c>
      <c r="J339" t="s">
        <v>97</v>
      </c>
      <c r="K339">
        <v>5</v>
      </c>
      <c r="L339" t="s">
        <v>41</v>
      </c>
      <c r="M339" t="s">
        <v>42</v>
      </c>
    </row>
    <row r="340" spans="1:13">
      <c r="A340" t="s">
        <v>915</v>
      </c>
      <c r="B340" t="s">
        <v>916</v>
      </c>
      <c r="C340" t="s">
        <v>741</v>
      </c>
      <c r="D340" t="s">
        <v>917</v>
      </c>
      <c r="E340">
        <v>1</v>
      </c>
      <c r="F340" t="s">
        <v>918</v>
      </c>
      <c r="G340" s="10">
        <v>45078</v>
      </c>
      <c r="H340">
        <v>0</v>
      </c>
      <c r="I340">
        <v>-25000</v>
      </c>
      <c r="J340" t="s">
        <v>250</v>
      </c>
      <c r="K340">
        <v>6</v>
      </c>
      <c r="L340" t="s">
        <v>24</v>
      </c>
      <c r="M340" t="s">
        <v>29</v>
      </c>
    </row>
    <row r="341" spans="1:13">
      <c r="A341" t="s">
        <v>915</v>
      </c>
      <c r="B341" t="s">
        <v>916</v>
      </c>
      <c r="C341" t="s">
        <v>741</v>
      </c>
      <c r="D341" t="s">
        <v>919</v>
      </c>
      <c r="E341">
        <v>1</v>
      </c>
      <c r="F341" t="s">
        <v>920</v>
      </c>
      <c r="G341" s="10">
        <v>45078</v>
      </c>
      <c r="H341">
        <v>38377.5</v>
      </c>
      <c r="I341">
        <v>13377.5</v>
      </c>
      <c r="J341" t="s">
        <v>250</v>
      </c>
      <c r="K341">
        <v>6</v>
      </c>
      <c r="L341" t="s">
        <v>24</v>
      </c>
      <c r="M341" t="s">
        <v>29</v>
      </c>
    </row>
    <row r="342" spans="1:13">
      <c r="A342" t="s">
        <v>190</v>
      </c>
      <c r="B342" t="s">
        <v>160</v>
      </c>
      <c r="C342" t="s">
        <v>67</v>
      </c>
      <c r="D342" t="s">
        <v>921</v>
      </c>
      <c r="E342">
        <v>1</v>
      </c>
      <c r="F342" t="s">
        <v>922</v>
      </c>
      <c r="G342" s="10">
        <v>45078</v>
      </c>
      <c r="H342">
        <v>0</v>
      </c>
      <c r="I342">
        <v>-25000</v>
      </c>
      <c r="J342" t="s">
        <v>250</v>
      </c>
      <c r="K342">
        <v>6</v>
      </c>
      <c r="L342" t="s">
        <v>24</v>
      </c>
      <c r="M342" t="s">
        <v>29</v>
      </c>
    </row>
    <row r="343" spans="1:13">
      <c r="A343" t="s">
        <v>71</v>
      </c>
      <c r="B343" t="s">
        <v>72</v>
      </c>
      <c r="C343" t="s">
        <v>67</v>
      </c>
      <c r="D343" t="s">
        <v>923</v>
      </c>
      <c r="E343">
        <v>1</v>
      </c>
      <c r="F343" t="s">
        <v>924</v>
      </c>
      <c r="G343" s="10">
        <v>45061</v>
      </c>
      <c r="H343">
        <v>72293</v>
      </c>
      <c r="I343">
        <v>9793</v>
      </c>
      <c r="J343" t="s">
        <v>250</v>
      </c>
      <c r="K343">
        <v>6</v>
      </c>
      <c r="L343" t="s">
        <v>24</v>
      </c>
      <c r="M343" t="s">
        <v>29</v>
      </c>
    </row>
    <row r="344" spans="1:13">
      <c r="A344" t="s">
        <v>915</v>
      </c>
      <c r="B344" t="s">
        <v>916</v>
      </c>
      <c r="C344" t="s">
        <v>741</v>
      </c>
      <c r="D344" t="s">
        <v>925</v>
      </c>
      <c r="E344">
        <v>1</v>
      </c>
      <c r="F344" t="s">
        <v>926</v>
      </c>
      <c r="G344" s="10">
        <v>45078</v>
      </c>
      <c r="H344">
        <v>38377.5</v>
      </c>
      <c r="I344">
        <v>13377.5</v>
      </c>
      <c r="J344" t="s">
        <v>250</v>
      </c>
      <c r="K344">
        <v>6</v>
      </c>
      <c r="L344" t="s">
        <v>24</v>
      </c>
      <c r="M344" t="s">
        <v>29</v>
      </c>
    </row>
    <row r="345" spans="1:13">
      <c r="A345" t="s">
        <v>480</v>
      </c>
      <c r="B345" t="s">
        <v>215</v>
      </c>
      <c r="C345" t="s">
        <v>94</v>
      </c>
      <c r="D345" t="s">
        <v>927</v>
      </c>
      <c r="E345">
        <v>2</v>
      </c>
      <c r="F345" t="s">
        <v>928</v>
      </c>
      <c r="G345" s="10">
        <v>45065</v>
      </c>
      <c r="H345">
        <v>147000</v>
      </c>
      <c r="I345">
        <v>30333.33</v>
      </c>
      <c r="J345" t="s">
        <v>97</v>
      </c>
      <c r="K345">
        <v>6</v>
      </c>
      <c r="L345" t="s">
        <v>41</v>
      </c>
      <c r="M345" t="s">
        <v>42</v>
      </c>
    </row>
    <row r="346" spans="1:13">
      <c r="A346" t="s">
        <v>915</v>
      </c>
      <c r="B346" t="s">
        <v>916</v>
      </c>
      <c r="C346" t="s">
        <v>741</v>
      </c>
      <c r="D346" t="s">
        <v>929</v>
      </c>
      <c r="E346">
        <v>1</v>
      </c>
      <c r="F346" t="s">
        <v>930</v>
      </c>
      <c r="G346" s="10">
        <v>45078</v>
      </c>
      <c r="H346">
        <v>38378</v>
      </c>
      <c r="I346">
        <v>13378</v>
      </c>
      <c r="J346" t="s">
        <v>250</v>
      </c>
      <c r="K346">
        <v>6</v>
      </c>
      <c r="L346" t="s">
        <v>24</v>
      </c>
      <c r="M346" t="s">
        <v>29</v>
      </c>
    </row>
    <row r="347" spans="1:13">
      <c r="A347" t="s">
        <v>794</v>
      </c>
      <c r="B347" t="s">
        <v>118</v>
      </c>
      <c r="C347" t="s">
        <v>98</v>
      </c>
      <c r="D347" t="s">
        <v>931</v>
      </c>
      <c r="E347">
        <v>4</v>
      </c>
      <c r="F347" t="s">
        <v>932</v>
      </c>
      <c r="G347" s="10">
        <v>45070</v>
      </c>
      <c r="H347">
        <v>315270.94</v>
      </c>
      <c r="I347">
        <v>31937.94</v>
      </c>
      <c r="J347" t="s">
        <v>121</v>
      </c>
      <c r="K347">
        <v>6</v>
      </c>
      <c r="L347" t="s">
        <v>24</v>
      </c>
      <c r="M347" t="s">
        <v>30</v>
      </c>
    </row>
    <row r="348" spans="1:13">
      <c r="A348" t="s">
        <v>933</v>
      </c>
      <c r="B348" t="s">
        <v>215</v>
      </c>
      <c r="C348" t="s">
        <v>94</v>
      </c>
      <c r="D348" t="s">
        <v>934</v>
      </c>
      <c r="E348">
        <v>2</v>
      </c>
      <c r="F348" t="s">
        <v>935</v>
      </c>
      <c r="G348" s="10">
        <v>45064</v>
      </c>
      <c r="H348">
        <v>30000</v>
      </c>
      <c r="I348">
        <v>5000</v>
      </c>
      <c r="J348" t="s">
        <v>227</v>
      </c>
      <c r="K348">
        <v>6</v>
      </c>
      <c r="L348" t="s">
        <v>41</v>
      </c>
      <c r="M348" t="s">
        <v>42</v>
      </c>
    </row>
    <row r="349" spans="1:13">
      <c r="A349" t="s">
        <v>136</v>
      </c>
      <c r="B349" t="s">
        <v>117</v>
      </c>
      <c r="C349" t="s">
        <v>137</v>
      </c>
      <c r="D349" t="s">
        <v>936</v>
      </c>
      <c r="E349">
        <v>4</v>
      </c>
      <c r="F349" t="s">
        <v>937</v>
      </c>
      <c r="G349" s="10">
        <v>45078</v>
      </c>
      <c r="H349">
        <v>236453.2</v>
      </c>
      <c r="I349">
        <v>128120.2</v>
      </c>
      <c r="J349" t="s">
        <v>121</v>
      </c>
      <c r="K349">
        <v>6</v>
      </c>
      <c r="L349" t="s">
        <v>24</v>
      </c>
      <c r="M349" t="s">
        <v>30</v>
      </c>
    </row>
    <row r="350" spans="1:13">
      <c r="A350" t="s">
        <v>197</v>
      </c>
      <c r="B350" t="s">
        <v>160</v>
      </c>
      <c r="C350" t="s">
        <v>67</v>
      </c>
      <c r="D350" t="s">
        <v>938</v>
      </c>
      <c r="E350">
        <v>2</v>
      </c>
      <c r="F350" t="s">
        <v>939</v>
      </c>
      <c r="G350" s="10">
        <v>45068</v>
      </c>
      <c r="H350">
        <v>17400</v>
      </c>
      <c r="I350">
        <v>2400</v>
      </c>
      <c r="J350" t="s">
        <v>193</v>
      </c>
      <c r="K350">
        <v>6</v>
      </c>
      <c r="L350" t="s">
        <v>35</v>
      </c>
      <c r="M350" t="s">
        <v>27</v>
      </c>
    </row>
    <row r="351" spans="1:13">
      <c r="A351" t="s">
        <v>235</v>
      </c>
      <c r="B351" t="s">
        <v>215</v>
      </c>
      <c r="C351" t="s">
        <v>94</v>
      </c>
      <c r="D351" t="s">
        <v>940</v>
      </c>
      <c r="E351">
        <v>1</v>
      </c>
      <c r="F351" t="s">
        <v>941</v>
      </c>
      <c r="G351" s="10">
        <v>45064</v>
      </c>
      <c r="H351">
        <v>30000</v>
      </c>
      <c r="I351">
        <v>5000</v>
      </c>
      <c r="J351" t="s">
        <v>227</v>
      </c>
      <c r="K351">
        <v>6</v>
      </c>
      <c r="L351" t="s">
        <v>41</v>
      </c>
      <c r="M351" t="s">
        <v>42</v>
      </c>
    </row>
    <row r="352" spans="1:13">
      <c r="A352" t="s">
        <v>790</v>
      </c>
      <c r="B352" t="s">
        <v>455</v>
      </c>
      <c r="C352" t="s">
        <v>455</v>
      </c>
      <c r="D352" t="s">
        <v>942</v>
      </c>
      <c r="E352">
        <v>2</v>
      </c>
      <c r="F352" t="s">
        <v>943</v>
      </c>
      <c r="G352" s="10">
        <v>45062</v>
      </c>
      <c r="H352">
        <v>140280</v>
      </c>
      <c r="I352">
        <v>40280</v>
      </c>
      <c r="J352" t="s">
        <v>458</v>
      </c>
      <c r="K352">
        <v>6</v>
      </c>
      <c r="L352" t="s">
        <v>37</v>
      </c>
      <c r="M352" t="s">
        <v>33</v>
      </c>
    </row>
    <row r="353" spans="1:13">
      <c r="A353" t="s">
        <v>76</v>
      </c>
      <c r="B353" t="s">
        <v>72</v>
      </c>
      <c r="C353" t="s">
        <v>67</v>
      </c>
      <c r="D353" t="s">
        <v>944</v>
      </c>
      <c r="E353">
        <v>1</v>
      </c>
      <c r="F353" t="s">
        <v>945</v>
      </c>
      <c r="G353" s="10">
        <v>45078</v>
      </c>
      <c r="H353">
        <v>38377.5</v>
      </c>
      <c r="I353">
        <v>13377.5</v>
      </c>
      <c r="J353" t="s">
        <v>250</v>
      </c>
      <c r="K353">
        <v>6</v>
      </c>
      <c r="L353" t="s">
        <v>24</v>
      </c>
      <c r="M353" t="s">
        <v>29</v>
      </c>
    </row>
    <row r="354" spans="1:13">
      <c r="A354" t="s">
        <v>915</v>
      </c>
      <c r="B354" t="s">
        <v>916</v>
      </c>
      <c r="C354" t="s">
        <v>741</v>
      </c>
      <c r="D354" t="s">
        <v>946</v>
      </c>
      <c r="E354">
        <v>1</v>
      </c>
      <c r="F354" t="s">
        <v>947</v>
      </c>
      <c r="G354" s="10">
        <v>45078</v>
      </c>
      <c r="H354">
        <v>38377.5</v>
      </c>
      <c r="I354">
        <v>13377.5</v>
      </c>
      <c r="J354" t="s">
        <v>250</v>
      </c>
      <c r="K354">
        <v>6</v>
      </c>
      <c r="L354" t="s">
        <v>24</v>
      </c>
      <c r="M354" t="s">
        <v>29</v>
      </c>
    </row>
    <row r="355" spans="1:13">
      <c r="A355" t="s">
        <v>813</v>
      </c>
      <c r="B355" t="s">
        <v>43</v>
      </c>
      <c r="C355" t="s">
        <v>94</v>
      </c>
      <c r="D355" t="s">
        <v>948</v>
      </c>
      <c r="E355">
        <v>1</v>
      </c>
      <c r="F355" t="s">
        <v>949</v>
      </c>
      <c r="G355" s="10">
        <v>45078</v>
      </c>
      <c r="H355">
        <v>0</v>
      </c>
      <c r="I355">
        <v>-25000</v>
      </c>
      <c r="J355" t="s">
        <v>250</v>
      </c>
      <c r="K355">
        <v>6</v>
      </c>
      <c r="L355" t="s">
        <v>24</v>
      </c>
      <c r="M355" t="s">
        <v>29</v>
      </c>
    </row>
    <row r="356" spans="1:13">
      <c r="A356" t="s">
        <v>76</v>
      </c>
      <c r="B356" t="s">
        <v>72</v>
      </c>
      <c r="C356" t="s">
        <v>67</v>
      </c>
      <c r="D356" t="s">
        <v>950</v>
      </c>
      <c r="E356">
        <v>1</v>
      </c>
      <c r="F356" t="s">
        <v>951</v>
      </c>
      <c r="G356" s="10">
        <v>45078</v>
      </c>
      <c r="H356">
        <v>38377.5</v>
      </c>
      <c r="I356">
        <v>13377.5</v>
      </c>
      <c r="J356" t="s">
        <v>250</v>
      </c>
      <c r="K356">
        <v>6</v>
      </c>
      <c r="L356" t="s">
        <v>24</v>
      </c>
      <c r="M356" t="s">
        <v>29</v>
      </c>
    </row>
    <row r="357" spans="1:13">
      <c r="A357" t="s">
        <v>656</v>
      </c>
      <c r="B357" t="s">
        <v>231</v>
      </c>
      <c r="C357" t="s">
        <v>400</v>
      </c>
      <c r="D357" t="s">
        <v>952</v>
      </c>
      <c r="E357">
        <v>2</v>
      </c>
      <c r="F357" t="s">
        <v>953</v>
      </c>
      <c r="G357" s="10">
        <v>45075</v>
      </c>
      <c r="H357">
        <v>115000</v>
      </c>
      <c r="I357">
        <v>19167</v>
      </c>
      <c r="J357" t="s">
        <v>227</v>
      </c>
      <c r="K357">
        <v>6</v>
      </c>
      <c r="L357" t="s">
        <v>41</v>
      </c>
      <c r="M357" t="s">
        <v>42</v>
      </c>
    </row>
    <row r="358" spans="1:13">
      <c r="A358" t="s">
        <v>909</v>
      </c>
      <c r="B358" t="s">
        <v>910</v>
      </c>
      <c r="C358" t="s">
        <v>741</v>
      </c>
      <c r="D358" t="s">
        <v>954</v>
      </c>
      <c r="E358">
        <v>1</v>
      </c>
      <c r="F358" t="s">
        <v>955</v>
      </c>
      <c r="G358" s="10">
        <v>45078</v>
      </c>
      <c r="H358">
        <v>38378</v>
      </c>
      <c r="I358">
        <v>13378</v>
      </c>
      <c r="J358" t="s">
        <v>250</v>
      </c>
      <c r="K358">
        <v>6</v>
      </c>
      <c r="L358" t="s">
        <v>24</v>
      </c>
      <c r="M358" t="s">
        <v>29</v>
      </c>
    </row>
    <row r="359" spans="1:13">
      <c r="A359" t="s">
        <v>617</v>
      </c>
      <c r="B359" t="s">
        <v>179</v>
      </c>
      <c r="C359" t="s">
        <v>45</v>
      </c>
      <c r="D359" t="s">
        <v>956</v>
      </c>
      <c r="E359">
        <v>2</v>
      </c>
      <c r="F359" t="s">
        <v>957</v>
      </c>
      <c r="G359" s="10">
        <v>45063</v>
      </c>
      <c r="H359">
        <v>436800</v>
      </c>
      <c r="I359">
        <v>153467</v>
      </c>
      <c r="J359" t="s">
        <v>189</v>
      </c>
      <c r="K359">
        <v>6</v>
      </c>
      <c r="L359" t="s">
        <v>44</v>
      </c>
      <c r="M359" t="s">
        <v>45</v>
      </c>
    </row>
    <row r="360" spans="1:13">
      <c r="A360" t="s">
        <v>494</v>
      </c>
      <c r="B360" t="s">
        <v>112</v>
      </c>
      <c r="C360" t="s">
        <v>113</v>
      </c>
      <c r="D360" t="s">
        <v>958</v>
      </c>
      <c r="E360">
        <v>2</v>
      </c>
      <c r="F360" t="s">
        <v>959</v>
      </c>
      <c r="G360" s="10">
        <v>45082</v>
      </c>
      <c r="H360">
        <v>171066</v>
      </c>
      <c r="I360">
        <v>21066</v>
      </c>
      <c r="J360" t="s">
        <v>97</v>
      </c>
      <c r="K360">
        <v>5</v>
      </c>
      <c r="L360" t="s">
        <v>41</v>
      </c>
      <c r="M360" t="s">
        <v>42</v>
      </c>
    </row>
    <row r="361" spans="1:13">
      <c r="A361" t="s">
        <v>280</v>
      </c>
      <c r="B361" t="s">
        <v>160</v>
      </c>
      <c r="C361" t="s">
        <v>67</v>
      </c>
      <c r="D361" t="s">
        <v>960</v>
      </c>
      <c r="E361">
        <v>2</v>
      </c>
      <c r="F361" t="s">
        <v>961</v>
      </c>
      <c r="G361" s="10">
        <v>45065</v>
      </c>
      <c r="H361">
        <v>21275</v>
      </c>
      <c r="I361">
        <v>2775</v>
      </c>
      <c r="J361" t="s">
        <v>193</v>
      </c>
      <c r="K361">
        <v>5</v>
      </c>
      <c r="L361" t="s">
        <v>35</v>
      </c>
      <c r="M361" t="s">
        <v>27</v>
      </c>
    </row>
    <row r="362" spans="1:13">
      <c r="A362" t="s">
        <v>933</v>
      </c>
      <c r="B362" t="s">
        <v>215</v>
      </c>
      <c r="C362" t="s">
        <v>94</v>
      </c>
      <c r="D362" t="s">
        <v>962</v>
      </c>
      <c r="E362">
        <v>2</v>
      </c>
      <c r="F362" t="s">
        <v>963</v>
      </c>
      <c r="G362" s="10">
        <v>45068</v>
      </c>
      <c r="H362">
        <v>30000</v>
      </c>
      <c r="I362">
        <v>5000</v>
      </c>
      <c r="J362" t="s">
        <v>227</v>
      </c>
      <c r="K362">
        <v>5</v>
      </c>
      <c r="L362" t="s">
        <v>41</v>
      </c>
      <c r="M362" t="s">
        <v>42</v>
      </c>
    </row>
    <row r="363" spans="1:13">
      <c r="A363" t="s">
        <v>719</v>
      </c>
      <c r="B363" t="s">
        <v>215</v>
      </c>
      <c r="C363" t="s">
        <v>94</v>
      </c>
      <c r="D363" t="s">
        <v>964</v>
      </c>
      <c r="E363">
        <v>2</v>
      </c>
      <c r="F363" t="s">
        <v>965</v>
      </c>
      <c r="G363" s="10">
        <v>45064</v>
      </c>
      <c r="H363">
        <v>120000</v>
      </c>
      <c r="I363">
        <v>20000</v>
      </c>
      <c r="J363" t="s">
        <v>227</v>
      </c>
      <c r="K363">
        <v>6</v>
      </c>
      <c r="L363" t="s">
        <v>41</v>
      </c>
      <c r="M363" t="s">
        <v>42</v>
      </c>
    </row>
    <row r="364" spans="1:13">
      <c r="A364" t="s">
        <v>966</v>
      </c>
      <c r="B364" t="s">
        <v>215</v>
      </c>
      <c r="C364" t="s">
        <v>94</v>
      </c>
      <c r="D364" t="s">
        <v>967</v>
      </c>
      <c r="E364">
        <v>7</v>
      </c>
      <c r="F364" t="s">
        <v>968</v>
      </c>
      <c r="G364" s="10">
        <v>45078</v>
      </c>
      <c r="H364">
        <v>75281.8</v>
      </c>
      <c r="I364">
        <v>3241.8</v>
      </c>
      <c r="J364" t="s">
        <v>313</v>
      </c>
      <c r="K364">
        <v>5</v>
      </c>
      <c r="L364" t="s">
        <v>41</v>
      </c>
      <c r="M364" t="s">
        <v>42</v>
      </c>
    </row>
    <row r="365" spans="1:13">
      <c r="A365" t="s">
        <v>969</v>
      </c>
      <c r="B365" t="s">
        <v>93</v>
      </c>
      <c r="C365" t="s">
        <v>94</v>
      </c>
      <c r="D365" t="s">
        <v>970</v>
      </c>
      <c r="E365">
        <v>2</v>
      </c>
      <c r="F365" t="s">
        <v>971</v>
      </c>
      <c r="G365" s="10">
        <v>45068</v>
      </c>
      <c r="H365">
        <v>157500</v>
      </c>
      <c r="I365">
        <v>15834</v>
      </c>
      <c r="J365" t="s">
        <v>97</v>
      </c>
      <c r="K365">
        <v>6</v>
      </c>
      <c r="L365" t="s">
        <v>41</v>
      </c>
      <c r="M365" t="s">
        <v>42</v>
      </c>
    </row>
    <row r="366" spans="1:13">
      <c r="A366" t="s">
        <v>194</v>
      </c>
      <c r="B366" t="s">
        <v>160</v>
      </c>
      <c r="C366" t="s">
        <v>67</v>
      </c>
      <c r="D366" t="s">
        <v>972</v>
      </c>
      <c r="E366">
        <v>2</v>
      </c>
      <c r="F366" t="s">
        <v>973</v>
      </c>
      <c r="G366" s="10">
        <v>45069</v>
      </c>
      <c r="H366">
        <v>51600</v>
      </c>
      <c r="I366">
        <v>8600</v>
      </c>
      <c r="J366" t="s">
        <v>163</v>
      </c>
      <c r="K366">
        <v>6</v>
      </c>
      <c r="L366" t="s">
        <v>35</v>
      </c>
      <c r="M366" t="s">
        <v>27</v>
      </c>
    </row>
    <row r="367" spans="1:13">
      <c r="A367" t="s">
        <v>639</v>
      </c>
      <c r="B367" t="s">
        <v>215</v>
      </c>
      <c r="C367" t="s">
        <v>94</v>
      </c>
      <c r="D367" t="s">
        <v>974</v>
      </c>
      <c r="E367">
        <v>2</v>
      </c>
      <c r="F367" t="s">
        <v>975</v>
      </c>
      <c r="G367" s="10">
        <v>45065</v>
      </c>
      <c r="H367">
        <v>125685</v>
      </c>
      <c r="I367">
        <v>17352</v>
      </c>
      <c r="J367" t="s">
        <v>976</v>
      </c>
      <c r="K367">
        <v>6</v>
      </c>
      <c r="L367" t="s">
        <v>39</v>
      </c>
      <c r="M367" t="s">
        <v>977</v>
      </c>
    </row>
    <row r="368" spans="1:13">
      <c r="A368" t="s">
        <v>261</v>
      </c>
      <c r="B368" t="s">
        <v>160</v>
      </c>
      <c r="C368" t="s">
        <v>67</v>
      </c>
      <c r="D368" t="s">
        <v>978</v>
      </c>
      <c r="E368">
        <v>1</v>
      </c>
      <c r="F368" t="s">
        <v>979</v>
      </c>
      <c r="G368" s="10">
        <v>45078</v>
      </c>
      <c r="H368">
        <v>38377.5</v>
      </c>
      <c r="I368">
        <v>13377.5</v>
      </c>
      <c r="J368" t="s">
        <v>250</v>
      </c>
      <c r="K368">
        <v>6</v>
      </c>
      <c r="L368" t="s">
        <v>24</v>
      </c>
      <c r="M368" t="s">
        <v>29</v>
      </c>
    </row>
    <row r="369" spans="1:13">
      <c r="A369" t="s">
        <v>256</v>
      </c>
      <c r="B369" t="s">
        <v>160</v>
      </c>
      <c r="C369" t="s">
        <v>67</v>
      </c>
      <c r="D369" t="s">
        <v>980</v>
      </c>
      <c r="E369">
        <v>2</v>
      </c>
      <c r="F369" t="s">
        <v>981</v>
      </c>
      <c r="G369" s="10">
        <v>45069</v>
      </c>
      <c r="H369">
        <v>17400</v>
      </c>
      <c r="I369">
        <v>17400</v>
      </c>
      <c r="J369" t="s">
        <v>193</v>
      </c>
      <c r="K369">
        <v>6</v>
      </c>
      <c r="L369" t="s">
        <v>35</v>
      </c>
      <c r="M369" t="s">
        <v>27</v>
      </c>
    </row>
    <row r="370" spans="1:13">
      <c r="A370" t="s">
        <v>194</v>
      </c>
      <c r="B370" t="s">
        <v>160</v>
      </c>
      <c r="C370" t="s">
        <v>67</v>
      </c>
      <c r="D370" t="s">
        <v>982</v>
      </c>
      <c r="E370">
        <v>1</v>
      </c>
      <c r="F370" t="s">
        <v>983</v>
      </c>
      <c r="G370" s="10">
        <v>45078</v>
      </c>
      <c r="H370">
        <v>38377.5</v>
      </c>
      <c r="I370">
        <v>13377.5</v>
      </c>
      <c r="J370" t="s">
        <v>250</v>
      </c>
      <c r="K370">
        <v>6</v>
      </c>
      <c r="L370" t="s">
        <v>24</v>
      </c>
      <c r="M370" t="s">
        <v>29</v>
      </c>
    </row>
    <row r="371" spans="1:13">
      <c r="A371" t="s">
        <v>984</v>
      </c>
      <c r="B371" t="s">
        <v>28</v>
      </c>
      <c r="C371" t="s">
        <v>238</v>
      </c>
      <c r="D371" t="s">
        <v>985</v>
      </c>
      <c r="E371">
        <v>2</v>
      </c>
      <c r="F371" t="s">
        <v>986</v>
      </c>
      <c r="G371" s="10">
        <v>45078</v>
      </c>
      <c r="H371">
        <v>118692</v>
      </c>
      <c r="I371">
        <v>31192</v>
      </c>
      <c r="J371" t="s">
        <v>126</v>
      </c>
      <c r="K371">
        <v>6</v>
      </c>
      <c r="L371" t="s">
        <v>24</v>
      </c>
      <c r="M371" t="s">
        <v>26</v>
      </c>
    </row>
    <row r="372" spans="1:13">
      <c r="A372" t="s">
        <v>159</v>
      </c>
      <c r="B372" t="s">
        <v>160</v>
      </c>
      <c r="C372" t="s">
        <v>67</v>
      </c>
      <c r="D372" t="s">
        <v>987</v>
      </c>
      <c r="E372">
        <v>2</v>
      </c>
      <c r="F372" t="s">
        <v>988</v>
      </c>
      <c r="G372" s="10">
        <v>45072</v>
      </c>
      <c r="H372">
        <v>54625</v>
      </c>
      <c r="I372">
        <v>7125</v>
      </c>
      <c r="J372" t="s">
        <v>193</v>
      </c>
      <c r="K372">
        <v>6</v>
      </c>
      <c r="L372" t="s">
        <v>35</v>
      </c>
      <c r="M372" t="s">
        <v>27</v>
      </c>
    </row>
    <row r="373" spans="1:13">
      <c r="A373" t="s">
        <v>190</v>
      </c>
      <c r="B373" t="s">
        <v>160</v>
      </c>
      <c r="C373" t="s">
        <v>67</v>
      </c>
      <c r="D373" t="s">
        <v>989</v>
      </c>
      <c r="E373">
        <v>2</v>
      </c>
      <c r="F373" t="s">
        <v>990</v>
      </c>
      <c r="G373" s="10">
        <v>45069</v>
      </c>
      <c r="H373">
        <v>28750</v>
      </c>
      <c r="I373">
        <v>3750</v>
      </c>
      <c r="J373" t="s">
        <v>193</v>
      </c>
      <c r="K373">
        <v>6</v>
      </c>
      <c r="L373" t="s">
        <v>35</v>
      </c>
      <c r="M373" t="s">
        <v>27</v>
      </c>
    </row>
    <row r="374" spans="1:13">
      <c r="A374" t="s">
        <v>372</v>
      </c>
      <c r="B374" t="s">
        <v>372</v>
      </c>
      <c r="C374" t="s">
        <v>28</v>
      </c>
      <c r="D374" t="s">
        <v>991</v>
      </c>
      <c r="E374">
        <v>2</v>
      </c>
      <c r="F374" t="s">
        <v>992</v>
      </c>
      <c r="G374" s="10">
        <v>45139</v>
      </c>
      <c r="H374">
        <v>79391</v>
      </c>
      <c r="I374">
        <v>4391</v>
      </c>
      <c r="J374" t="s">
        <v>375</v>
      </c>
      <c r="K374">
        <v>5</v>
      </c>
      <c r="L374" t="s">
        <v>24</v>
      </c>
      <c r="M374" s="5" t="s">
        <v>28</v>
      </c>
    </row>
    <row r="375" spans="1:13">
      <c r="A375" t="s">
        <v>280</v>
      </c>
      <c r="B375" t="s">
        <v>160</v>
      </c>
      <c r="C375" t="s">
        <v>67</v>
      </c>
      <c r="D375" t="s">
        <v>993</v>
      </c>
      <c r="E375">
        <v>2</v>
      </c>
      <c r="F375" t="s">
        <v>994</v>
      </c>
      <c r="G375" s="10">
        <v>45071</v>
      </c>
      <c r="H375">
        <v>19550</v>
      </c>
      <c r="I375">
        <v>2550</v>
      </c>
      <c r="J375" t="s">
        <v>193</v>
      </c>
      <c r="K375">
        <v>6</v>
      </c>
      <c r="L375" t="s">
        <v>35</v>
      </c>
      <c r="M375" t="s">
        <v>27</v>
      </c>
    </row>
    <row r="376" spans="1:13">
      <c r="A376" t="s">
        <v>541</v>
      </c>
      <c r="B376" t="s">
        <v>43</v>
      </c>
      <c r="C376" t="s">
        <v>94</v>
      </c>
      <c r="D376" t="s">
        <v>995</v>
      </c>
      <c r="E376">
        <v>1</v>
      </c>
      <c r="F376" t="s">
        <v>996</v>
      </c>
      <c r="G376" s="10">
        <v>45078</v>
      </c>
      <c r="H376">
        <v>38377.5</v>
      </c>
      <c r="I376">
        <v>13377.5</v>
      </c>
      <c r="J376" t="s">
        <v>250</v>
      </c>
      <c r="K376">
        <v>6</v>
      </c>
      <c r="L376" t="s">
        <v>24</v>
      </c>
      <c r="M376" t="s">
        <v>29</v>
      </c>
    </row>
    <row r="377" spans="1:13">
      <c r="A377" t="s">
        <v>382</v>
      </c>
      <c r="B377" t="s">
        <v>141</v>
      </c>
      <c r="C377" t="s">
        <v>67</v>
      </c>
      <c r="D377" t="s">
        <v>997</v>
      </c>
      <c r="E377">
        <v>2</v>
      </c>
      <c r="F377" t="s">
        <v>998</v>
      </c>
      <c r="G377" s="10">
        <v>45069</v>
      </c>
      <c r="H377">
        <v>28750</v>
      </c>
      <c r="I377">
        <v>3750</v>
      </c>
      <c r="J377" t="s">
        <v>193</v>
      </c>
      <c r="K377">
        <v>5</v>
      </c>
      <c r="L377" t="s">
        <v>35</v>
      </c>
      <c r="M377" t="s">
        <v>27</v>
      </c>
    </row>
    <row r="378" spans="1:13">
      <c r="A378" t="s">
        <v>251</v>
      </c>
      <c r="B378" t="s">
        <v>160</v>
      </c>
      <c r="C378" t="s">
        <v>67</v>
      </c>
      <c r="D378" t="s">
        <v>999</v>
      </c>
      <c r="E378">
        <v>2</v>
      </c>
      <c r="F378" t="s">
        <v>1000</v>
      </c>
      <c r="G378" s="10">
        <v>45075</v>
      </c>
      <c r="H378">
        <v>21275</v>
      </c>
      <c r="I378">
        <v>2775</v>
      </c>
      <c r="J378" t="s">
        <v>193</v>
      </c>
      <c r="K378">
        <v>6</v>
      </c>
      <c r="L378" t="s">
        <v>35</v>
      </c>
      <c r="M378" t="s">
        <v>27</v>
      </c>
    </row>
    <row r="379" spans="1:13">
      <c r="A379" t="s">
        <v>256</v>
      </c>
      <c r="B379" t="s">
        <v>160</v>
      </c>
      <c r="C379" t="s">
        <v>67</v>
      </c>
      <c r="D379" t="s">
        <v>1001</v>
      </c>
      <c r="E379">
        <v>2</v>
      </c>
      <c r="F379" t="s">
        <v>1002</v>
      </c>
      <c r="G379" s="10">
        <v>45075</v>
      </c>
      <c r="H379">
        <v>17400</v>
      </c>
      <c r="I379">
        <v>17400</v>
      </c>
      <c r="J379" t="s">
        <v>193</v>
      </c>
      <c r="K379">
        <v>5</v>
      </c>
      <c r="L379" t="s">
        <v>35</v>
      </c>
      <c r="M379" t="s">
        <v>27</v>
      </c>
    </row>
    <row r="380" spans="1:13">
      <c r="A380" t="s">
        <v>136</v>
      </c>
      <c r="B380" t="s">
        <v>117</v>
      </c>
      <c r="C380" t="s">
        <v>137</v>
      </c>
      <c r="D380" t="s">
        <v>1003</v>
      </c>
      <c r="E380">
        <v>1</v>
      </c>
      <c r="F380" t="s">
        <v>1004</v>
      </c>
      <c r="G380" s="10">
        <v>45070</v>
      </c>
      <c r="H380">
        <v>123152.71</v>
      </c>
      <c r="I380">
        <v>14819.71</v>
      </c>
      <c r="J380" t="s">
        <v>121</v>
      </c>
      <c r="K380">
        <v>6</v>
      </c>
      <c r="L380" t="s">
        <v>24</v>
      </c>
      <c r="M380" t="s">
        <v>30</v>
      </c>
    </row>
    <row r="381" spans="1:13">
      <c r="A381" t="s">
        <v>136</v>
      </c>
      <c r="B381" t="s">
        <v>117</v>
      </c>
      <c r="C381" t="s">
        <v>137</v>
      </c>
      <c r="D381" t="s">
        <v>1005</v>
      </c>
      <c r="E381">
        <v>1</v>
      </c>
      <c r="F381" t="s">
        <v>1006</v>
      </c>
      <c r="G381" s="10">
        <v>45078</v>
      </c>
      <c r="H381">
        <v>123152.71</v>
      </c>
      <c r="I381">
        <v>39819.71</v>
      </c>
      <c r="J381" t="s">
        <v>121</v>
      </c>
      <c r="K381">
        <v>6</v>
      </c>
      <c r="L381" t="s">
        <v>24</v>
      </c>
      <c r="M381" t="s">
        <v>30</v>
      </c>
    </row>
    <row r="382" spans="1:13">
      <c r="A382" t="s">
        <v>190</v>
      </c>
      <c r="B382" t="s">
        <v>160</v>
      </c>
      <c r="C382" t="s">
        <v>67</v>
      </c>
      <c r="D382" t="s">
        <v>1007</v>
      </c>
      <c r="E382">
        <v>2</v>
      </c>
      <c r="F382" t="s">
        <v>1008</v>
      </c>
      <c r="G382" s="10">
        <v>45069</v>
      </c>
      <c r="H382">
        <v>17400</v>
      </c>
      <c r="I382">
        <v>2400</v>
      </c>
      <c r="J382" t="s">
        <v>193</v>
      </c>
      <c r="K382">
        <v>5</v>
      </c>
      <c r="L382" t="s">
        <v>35</v>
      </c>
      <c r="M382" t="s">
        <v>27</v>
      </c>
    </row>
    <row r="383" spans="1:13">
      <c r="A383" t="s">
        <v>190</v>
      </c>
      <c r="B383" t="s">
        <v>160</v>
      </c>
      <c r="C383" t="s">
        <v>67</v>
      </c>
      <c r="D383" t="s">
        <v>1009</v>
      </c>
      <c r="E383">
        <v>2</v>
      </c>
      <c r="F383" t="s">
        <v>1010</v>
      </c>
      <c r="G383" s="10">
        <v>45069</v>
      </c>
      <c r="H383">
        <v>17400</v>
      </c>
      <c r="I383">
        <v>2400</v>
      </c>
      <c r="J383" t="s">
        <v>193</v>
      </c>
      <c r="K383">
        <v>5</v>
      </c>
      <c r="L383" t="s">
        <v>35</v>
      </c>
      <c r="M383" t="s">
        <v>27</v>
      </c>
    </row>
    <row r="384" spans="1:13">
      <c r="A384" t="s">
        <v>372</v>
      </c>
      <c r="B384" t="s">
        <v>372</v>
      </c>
      <c r="C384" t="s">
        <v>28</v>
      </c>
      <c r="D384" t="s">
        <v>1011</v>
      </c>
      <c r="E384">
        <v>2</v>
      </c>
      <c r="F384" t="s">
        <v>1012</v>
      </c>
      <c r="G384" s="10">
        <v>45162</v>
      </c>
      <c r="H384">
        <v>158813</v>
      </c>
      <c r="I384">
        <v>21313</v>
      </c>
      <c r="J384" t="s">
        <v>375</v>
      </c>
      <c r="K384">
        <v>6</v>
      </c>
      <c r="L384" t="s">
        <v>24</v>
      </c>
      <c r="M384" s="5" t="s">
        <v>28</v>
      </c>
    </row>
    <row r="385" spans="1:13">
      <c r="A385" t="s">
        <v>197</v>
      </c>
      <c r="B385" t="s">
        <v>160</v>
      </c>
      <c r="C385" t="s">
        <v>67</v>
      </c>
      <c r="D385" t="s">
        <v>1013</v>
      </c>
      <c r="E385">
        <v>2</v>
      </c>
      <c r="F385" t="s">
        <v>1014</v>
      </c>
      <c r="G385" s="10">
        <v>45075</v>
      </c>
      <c r="H385">
        <v>17400</v>
      </c>
      <c r="I385">
        <v>2400</v>
      </c>
      <c r="J385" t="s">
        <v>193</v>
      </c>
      <c r="K385">
        <v>5</v>
      </c>
      <c r="L385" t="s">
        <v>35</v>
      </c>
      <c r="M385" t="s">
        <v>27</v>
      </c>
    </row>
    <row r="386" spans="1:13">
      <c r="A386" t="s">
        <v>854</v>
      </c>
      <c r="B386" t="s">
        <v>93</v>
      </c>
      <c r="C386" t="s">
        <v>94</v>
      </c>
      <c r="D386" t="s">
        <v>1015</v>
      </c>
      <c r="E386">
        <v>2</v>
      </c>
      <c r="F386" t="s">
        <v>1016</v>
      </c>
      <c r="G386" s="10">
        <v>45082</v>
      </c>
      <c r="H386">
        <v>161700</v>
      </c>
      <c r="I386">
        <v>45034</v>
      </c>
      <c r="J386" t="s">
        <v>97</v>
      </c>
      <c r="K386">
        <v>5</v>
      </c>
      <c r="L386" t="s">
        <v>41</v>
      </c>
      <c r="M386" t="s">
        <v>42</v>
      </c>
    </row>
    <row r="387" spans="1:13">
      <c r="A387" t="s">
        <v>65</v>
      </c>
      <c r="B387" t="s">
        <v>66</v>
      </c>
      <c r="C387" t="s">
        <v>67</v>
      </c>
      <c r="D387" t="s">
        <v>1017</v>
      </c>
      <c r="E387">
        <v>6</v>
      </c>
      <c r="F387" t="s">
        <v>1018</v>
      </c>
      <c r="G387" s="10">
        <v>45075</v>
      </c>
      <c r="H387">
        <v>34375</v>
      </c>
      <c r="I387">
        <v>6875</v>
      </c>
      <c r="J387" t="s">
        <v>70</v>
      </c>
      <c r="K387">
        <v>5</v>
      </c>
      <c r="L387" t="s">
        <v>35</v>
      </c>
      <c r="M387" t="s">
        <v>36</v>
      </c>
    </row>
    <row r="388" spans="1:13">
      <c r="A388" t="s">
        <v>194</v>
      </c>
      <c r="B388" t="s">
        <v>160</v>
      </c>
      <c r="C388" t="s">
        <v>67</v>
      </c>
      <c r="D388" t="s">
        <v>1019</v>
      </c>
      <c r="E388">
        <v>1</v>
      </c>
      <c r="F388" t="s">
        <v>1020</v>
      </c>
      <c r="G388" s="10">
        <v>45078</v>
      </c>
      <c r="H388">
        <v>38377.5</v>
      </c>
      <c r="I388">
        <v>13377.5</v>
      </c>
      <c r="J388" t="s">
        <v>250</v>
      </c>
      <c r="K388">
        <v>6</v>
      </c>
      <c r="L388" t="s">
        <v>24</v>
      </c>
      <c r="M388" t="s">
        <v>29</v>
      </c>
    </row>
    <row r="389" spans="1:13">
      <c r="A389" t="s">
        <v>159</v>
      </c>
      <c r="B389" t="s">
        <v>160</v>
      </c>
      <c r="C389" t="s">
        <v>67</v>
      </c>
      <c r="D389" t="s">
        <v>1021</v>
      </c>
      <c r="E389">
        <v>1</v>
      </c>
      <c r="F389" t="s">
        <v>1022</v>
      </c>
      <c r="G389" s="10">
        <v>45078</v>
      </c>
      <c r="H389">
        <v>38377.5</v>
      </c>
      <c r="I389">
        <v>13377.5</v>
      </c>
      <c r="J389" t="s">
        <v>250</v>
      </c>
      <c r="K389">
        <v>6</v>
      </c>
      <c r="L389" t="s">
        <v>24</v>
      </c>
      <c r="M389" t="s">
        <v>29</v>
      </c>
    </row>
    <row r="390" spans="1:13">
      <c r="A390" t="s">
        <v>431</v>
      </c>
      <c r="B390" t="s">
        <v>160</v>
      </c>
      <c r="C390" t="s">
        <v>67</v>
      </c>
      <c r="D390" t="s">
        <v>1023</v>
      </c>
      <c r="E390">
        <v>2</v>
      </c>
      <c r="F390" t="s">
        <v>1024</v>
      </c>
      <c r="G390" s="10">
        <v>45069</v>
      </c>
      <c r="H390">
        <v>17400</v>
      </c>
      <c r="I390">
        <v>2400</v>
      </c>
      <c r="J390" t="s">
        <v>193</v>
      </c>
      <c r="K390">
        <v>5</v>
      </c>
      <c r="L390" t="s">
        <v>35</v>
      </c>
      <c r="M390" t="s">
        <v>27</v>
      </c>
    </row>
    <row r="391" spans="1:13">
      <c r="A391" t="s">
        <v>266</v>
      </c>
      <c r="B391" t="s">
        <v>160</v>
      </c>
      <c r="C391" t="s">
        <v>67</v>
      </c>
      <c r="D391" t="s">
        <v>1025</v>
      </c>
      <c r="E391">
        <v>2</v>
      </c>
      <c r="F391" t="s">
        <v>1026</v>
      </c>
      <c r="G391" s="10">
        <v>45069</v>
      </c>
      <c r="H391">
        <v>17400</v>
      </c>
      <c r="I391">
        <v>2400</v>
      </c>
      <c r="J391" t="s">
        <v>193</v>
      </c>
      <c r="K391">
        <v>5</v>
      </c>
      <c r="L391" t="s">
        <v>35</v>
      </c>
      <c r="M391" t="s">
        <v>27</v>
      </c>
    </row>
    <row r="392" spans="1:13">
      <c r="A392" t="s">
        <v>382</v>
      </c>
      <c r="B392" t="s">
        <v>141</v>
      </c>
      <c r="C392" t="s">
        <v>67</v>
      </c>
      <c r="D392" t="s">
        <v>1027</v>
      </c>
      <c r="E392">
        <v>1</v>
      </c>
      <c r="F392" t="s">
        <v>1028</v>
      </c>
      <c r="G392" s="10">
        <v>45078</v>
      </c>
      <c r="H392">
        <v>38377.5</v>
      </c>
      <c r="I392">
        <v>13377.5</v>
      </c>
      <c r="J392" t="s">
        <v>250</v>
      </c>
      <c r="K392">
        <v>6</v>
      </c>
      <c r="L392" t="s">
        <v>24</v>
      </c>
      <c r="M392" t="s">
        <v>29</v>
      </c>
    </row>
    <row r="393" spans="1:13">
      <c r="A393" t="s">
        <v>1029</v>
      </c>
      <c r="B393" t="s">
        <v>1030</v>
      </c>
      <c r="C393" t="s">
        <v>94</v>
      </c>
      <c r="D393" t="s">
        <v>1031</v>
      </c>
      <c r="E393">
        <v>2</v>
      </c>
      <c r="F393" t="s">
        <v>1032</v>
      </c>
      <c r="G393" s="10">
        <v>45068</v>
      </c>
      <c r="H393">
        <v>409248</v>
      </c>
      <c r="I393">
        <v>175915</v>
      </c>
      <c r="J393" t="s">
        <v>149</v>
      </c>
      <c r="K393">
        <v>5</v>
      </c>
      <c r="L393" t="s">
        <v>44</v>
      </c>
      <c r="M393" t="s">
        <v>48</v>
      </c>
    </row>
    <row r="394" spans="1:13">
      <c r="A394" t="s">
        <v>915</v>
      </c>
      <c r="B394" t="s">
        <v>916</v>
      </c>
      <c r="C394" t="s">
        <v>741</v>
      </c>
      <c r="D394" t="s">
        <v>1033</v>
      </c>
      <c r="E394">
        <v>1</v>
      </c>
      <c r="F394" t="s">
        <v>1034</v>
      </c>
      <c r="G394" s="10">
        <v>45108</v>
      </c>
      <c r="H394">
        <v>0</v>
      </c>
      <c r="I394">
        <v>-25000</v>
      </c>
      <c r="J394" t="s">
        <v>250</v>
      </c>
      <c r="K394">
        <v>6</v>
      </c>
      <c r="L394" t="s">
        <v>24</v>
      </c>
      <c r="M394" t="s">
        <v>29</v>
      </c>
    </row>
    <row r="395" spans="1:13">
      <c r="A395" t="s">
        <v>431</v>
      </c>
      <c r="B395" t="s">
        <v>160</v>
      </c>
      <c r="C395" t="s">
        <v>67</v>
      </c>
      <c r="D395" t="s">
        <v>1035</v>
      </c>
      <c r="E395">
        <v>1</v>
      </c>
      <c r="F395" t="s">
        <v>1036</v>
      </c>
      <c r="G395" s="10">
        <v>45078</v>
      </c>
      <c r="H395">
        <v>38377.5</v>
      </c>
      <c r="I395">
        <v>13377.5</v>
      </c>
      <c r="J395" t="s">
        <v>250</v>
      </c>
      <c r="K395">
        <v>6</v>
      </c>
      <c r="L395" t="s">
        <v>24</v>
      </c>
      <c r="M395" t="s">
        <v>29</v>
      </c>
    </row>
    <row r="396" spans="1:13">
      <c r="A396" t="s">
        <v>915</v>
      </c>
      <c r="B396" t="s">
        <v>916</v>
      </c>
      <c r="C396" t="s">
        <v>741</v>
      </c>
      <c r="D396" t="s">
        <v>1037</v>
      </c>
      <c r="E396">
        <v>1</v>
      </c>
      <c r="F396" t="s">
        <v>1038</v>
      </c>
      <c r="G396" s="10">
        <v>45108</v>
      </c>
      <c r="H396">
        <v>38377.5</v>
      </c>
      <c r="I396">
        <v>13377.5</v>
      </c>
      <c r="J396" t="s">
        <v>250</v>
      </c>
      <c r="K396">
        <v>6</v>
      </c>
      <c r="L396" t="s">
        <v>24</v>
      </c>
      <c r="M396" t="s">
        <v>29</v>
      </c>
    </row>
    <row r="397" spans="1:13">
      <c r="A397" t="s">
        <v>1039</v>
      </c>
      <c r="B397" t="s">
        <v>28</v>
      </c>
      <c r="C397" t="s">
        <v>238</v>
      </c>
      <c r="D397" t="s">
        <v>1040</v>
      </c>
      <c r="E397">
        <v>2</v>
      </c>
      <c r="F397" t="s">
        <v>1041</v>
      </c>
      <c r="G397" s="10">
        <v>45070</v>
      </c>
      <c r="H397">
        <v>86834</v>
      </c>
      <c r="I397">
        <v>3501</v>
      </c>
      <c r="J397" t="s">
        <v>85</v>
      </c>
      <c r="K397">
        <v>5</v>
      </c>
      <c r="L397" t="s">
        <v>24</v>
      </c>
      <c r="M397" t="s">
        <v>25</v>
      </c>
    </row>
    <row r="398" spans="1:13">
      <c r="A398" t="s">
        <v>186</v>
      </c>
      <c r="B398" t="s">
        <v>179</v>
      </c>
      <c r="C398" t="s">
        <v>45</v>
      </c>
      <c r="D398" t="s">
        <v>1042</v>
      </c>
      <c r="E398">
        <v>2</v>
      </c>
      <c r="F398" t="s">
        <v>1043</v>
      </c>
      <c r="G398" s="10">
        <v>45071</v>
      </c>
      <c r="H398">
        <v>386400</v>
      </c>
      <c r="I398">
        <v>223900</v>
      </c>
      <c r="J398" t="s">
        <v>189</v>
      </c>
      <c r="K398">
        <v>6</v>
      </c>
      <c r="L398" t="s">
        <v>44</v>
      </c>
      <c r="M398" t="s">
        <v>45</v>
      </c>
    </row>
    <row r="399" spans="1:13">
      <c r="A399" t="s">
        <v>1044</v>
      </c>
      <c r="B399" t="s">
        <v>93</v>
      </c>
      <c r="C399" t="s">
        <v>94</v>
      </c>
      <c r="D399" t="s">
        <v>1045</v>
      </c>
      <c r="E399">
        <v>1</v>
      </c>
      <c r="F399" t="s">
        <v>1046</v>
      </c>
      <c r="G399" s="10">
        <v>45071</v>
      </c>
      <c r="H399">
        <v>79409.55</v>
      </c>
      <c r="I399">
        <v>3419.55</v>
      </c>
      <c r="J399" t="s">
        <v>313</v>
      </c>
      <c r="K399">
        <v>5</v>
      </c>
      <c r="L399" t="s">
        <v>41</v>
      </c>
      <c r="M399" t="s">
        <v>42</v>
      </c>
    </row>
    <row r="400" spans="1:13">
      <c r="A400" t="s">
        <v>140</v>
      </c>
      <c r="B400" t="s">
        <v>141</v>
      </c>
      <c r="C400" t="s">
        <v>67</v>
      </c>
      <c r="D400" t="s">
        <v>1047</v>
      </c>
      <c r="E400">
        <v>1</v>
      </c>
      <c r="F400" t="s">
        <v>1048</v>
      </c>
      <c r="G400" s="10">
        <v>45078</v>
      </c>
      <c r="H400">
        <v>38377.5</v>
      </c>
      <c r="I400">
        <v>13377.5</v>
      </c>
      <c r="J400" t="s">
        <v>250</v>
      </c>
      <c r="K400">
        <v>6</v>
      </c>
      <c r="L400" t="s">
        <v>24</v>
      </c>
      <c r="M400" t="s">
        <v>29</v>
      </c>
    </row>
    <row r="401" spans="1:13">
      <c r="A401" t="s">
        <v>211</v>
      </c>
      <c r="B401" t="s">
        <v>179</v>
      </c>
      <c r="C401" t="s">
        <v>45</v>
      </c>
      <c r="D401" t="s">
        <v>1049</v>
      </c>
      <c r="E401">
        <v>4</v>
      </c>
      <c r="F401" t="s">
        <v>1050</v>
      </c>
      <c r="G401" s="10">
        <v>45070</v>
      </c>
      <c r="H401">
        <v>302400</v>
      </c>
      <c r="I401">
        <v>44067</v>
      </c>
      <c r="J401" t="s">
        <v>189</v>
      </c>
      <c r="K401">
        <v>6</v>
      </c>
      <c r="L401" t="s">
        <v>44</v>
      </c>
      <c r="M401" t="s">
        <v>45</v>
      </c>
    </row>
    <row r="402" spans="1:13">
      <c r="A402" t="s">
        <v>136</v>
      </c>
      <c r="B402" t="s">
        <v>117</v>
      </c>
      <c r="C402" t="s">
        <v>137</v>
      </c>
      <c r="D402" t="s">
        <v>1051</v>
      </c>
      <c r="E402">
        <v>4</v>
      </c>
      <c r="F402" t="s">
        <v>1052</v>
      </c>
      <c r="G402" s="10">
        <v>45078</v>
      </c>
      <c r="H402">
        <v>258128.08</v>
      </c>
      <c r="I402">
        <v>99795.08</v>
      </c>
      <c r="J402" t="s">
        <v>121</v>
      </c>
      <c r="K402">
        <v>6</v>
      </c>
      <c r="L402" t="s">
        <v>24</v>
      </c>
      <c r="M402" t="s">
        <v>30</v>
      </c>
    </row>
    <row r="403" spans="1:13">
      <c r="A403" t="s">
        <v>431</v>
      </c>
      <c r="B403" t="s">
        <v>160</v>
      </c>
      <c r="C403" t="s">
        <v>67</v>
      </c>
      <c r="D403" t="s">
        <v>1053</v>
      </c>
      <c r="E403">
        <v>2</v>
      </c>
      <c r="F403" t="s">
        <v>1054</v>
      </c>
      <c r="G403" s="10">
        <v>45078</v>
      </c>
      <c r="H403">
        <v>34500</v>
      </c>
      <c r="I403">
        <v>4500</v>
      </c>
      <c r="J403" t="s">
        <v>163</v>
      </c>
      <c r="K403">
        <v>6</v>
      </c>
      <c r="L403" t="s">
        <v>35</v>
      </c>
      <c r="M403" t="s">
        <v>27</v>
      </c>
    </row>
    <row r="404" spans="1:13">
      <c r="A404" t="s">
        <v>65</v>
      </c>
      <c r="B404" t="s">
        <v>66</v>
      </c>
      <c r="C404" t="s">
        <v>67</v>
      </c>
      <c r="D404" t="s">
        <v>1055</v>
      </c>
      <c r="E404">
        <v>6</v>
      </c>
      <c r="F404" t="s">
        <v>1056</v>
      </c>
      <c r="G404" s="10">
        <v>45075</v>
      </c>
      <c r="H404">
        <v>34375</v>
      </c>
      <c r="I404">
        <v>6875</v>
      </c>
      <c r="J404" t="s">
        <v>70</v>
      </c>
      <c r="K404">
        <v>6</v>
      </c>
      <c r="L404" t="s">
        <v>35</v>
      </c>
      <c r="M404" t="s">
        <v>36</v>
      </c>
    </row>
    <row r="405" spans="1:13">
      <c r="A405" t="s">
        <v>568</v>
      </c>
      <c r="B405" t="s">
        <v>179</v>
      </c>
      <c r="C405" t="s">
        <v>45</v>
      </c>
      <c r="D405" t="s">
        <v>1057</v>
      </c>
      <c r="E405">
        <v>4</v>
      </c>
      <c r="F405" t="s">
        <v>1058</v>
      </c>
      <c r="G405" s="10">
        <v>45071</v>
      </c>
      <c r="H405">
        <v>302400</v>
      </c>
      <c r="I405">
        <v>144067</v>
      </c>
      <c r="J405" t="s">
        <v>189</v>
      </c>
      <c r="K405">
        <v>6</v>
      </c>
      <c r="L405" t="s">
        <v>44</v>
      </c>
      <c r="M405" t="s">
        <v>45</v>
      </c>
    </row>
    <row r="406" spans="1:13">
      <c r="A406" t="s">
        <v>602</v>
      </c>
      <c r="B406" t="s">
        <v>224</v>
      </c>
      <c r="C406" t="s">
        <v>94</v>
      </c>
      <c r="D406" t="s">
        <v>1059</v>
      </c>
      <c r="E406">
        <v>2</v>
      </c>
      <c r="F406" t="s">
        <v>1060</v>
      </c>
      <c r="G406" s="10">
        <v>45096</v>
      </c>
      <c r="H406">
        <v>115000</v>
      </c>
      <c r="I406">
        <v>23334</v>
      </c>
      <c r="J406" t="s">
        <v>227</v>
      </c>
      <c r="K406">
        <v>5</v>
      </c>
      <c r="L406" t="s">
        <v>41</v>
      </c>
      <c r="M406" t="s">
        <v>42</v>
      </c>
    </row>
    <row r="407" spans="1:13">
      <c r="A407" t="s">
        <v>65</v>
      </c>
      <c r="B407" t="s">
        <v>66</v>
      </c>
      <c r="C407" t="s">
        <v>67</v>
      </c>
      <c r="D407" t="s">
        <v>1061</v>
      </c>
      <c r="E407">
        <v>6</v>
      </c>
      <c r="F407" t="s">
        <v>1062</v>
      </c>
      <c r="G407" s="10">
        <v>45075</v>
      </c>
      <c r="H407">
        <v>34375</v>
      </c>
      <c r="I407">
        <v>6875</v>
      </c>
      <c r="J407" t="s">
        <v>70</v>
      </c>
      <c r="K407">
        <v>5</v>
      </c>
      <c r="L407" t="s">
        <v>35</v>
      </c>
      <c r="M407" t="s">
        <v>36</v>
      </c>
    </row>
    <row r="408" spans="1:13">
      <c r="A408" t="s">
        <v>361</v>
      </c>
      <c r="B408" t="s">
        <v>72</v>
      </c>
      <c r="C408" t="s">
        <v>67</v>
      </c>
      <c r="D408" t="s">
        <v>1063</v>
      </c>
      <c r="E408">
        <v>1</v>
      </c>
      <c r="F408" t="s">
        <v>1064</v>
      </c>
      <c r="G408" s="10">
        <v>45083</v>
      </c>
      <c r="H408">
        <v>42483</v>
      </c>
      <c r="I408">
        <v>9150</v>
      </c>
      <c r="J408" t="s">
        <v>75</v>
      </c>
      <c r="K408">
        <v>5</v>
      </c>
      <c r="L408" t="s">
        <v>35</v>
      </c>
      <c r="M408" t="s">
        <v>29</v>
      </c>
    </row>
    <row r="409" spans="1:13">
      <c r="A409" t="s">
        <v>190</v>
      </c>
      <c r="B409" t="s">
        <v>160</v>
      </c>
      <c r="C409" t="s">
        <v>67</v>
      </c>
      <c r="D409" t="s">
        <v>1065</v>
      </c>
      <c r="E409">
        <v>1</v>
      </c>
      <c r="F409" t="s">
        <v>1066</v>
      </c>
      <c r="G409" s="10">
        <v>45108</v>
      </c>
      <c r="H409">
        <v>0</v>
      </c>
      <c r="I409">
        <v>-25000</v>
      </c>
      <c r="J409" t="s">
        <v>250</v>
      </c>
      <c r="K409">
        <v>6</v>
      </c>
      <c r="L409" t="s">
        <v>24</v>
      </c>
      <c r="M409" t="s">
        <v>29</v>
      </c>
    </row>
    <row r="410" spans="1:13">
      <c r="A410" t="s">
        <v>1067</v>
      </c>
      <c r="B410" t="s">
        <v>93</v>
      </c>
      <c r="C410" t="s">
        <v>94</v>
      </c>
      <c r="D410" t="s">
        <v>1068</v>
      </c>
      <c r="E410">
        <v>1</v>
      </c>
      <c r="F410" t="s">
        <v>1069</v>
      </c>
      <c r="G410" s="10">
        <v>45078</v>
      </c>
      <c r="H410">
        <v>0</v>
      </c>
      <c r="I410">
        <v>-20000</v>
      </c>
      <c r="J410" t="s">
        <v>441</v>
      </c>
      <c r="K410">
        <v>6</v>
      </c>
      <c r="L410" t="s">
        <v>24</v>
      </c>
      <c r="M410" t="s">
        <v>29</v>
      </c>
    </row>
    <row r="411" spans="1:13">
      <c r="A411" t="s">
        <v>656</v>
      </c>
      <c r="B411" t="s">
        <v>231</v>
      </c>
      <c r="C411" t="s">
        <v>400</v>
      </c>
      <c r="D411" t="s">
        <v>1070</v>
      </c>
      <c r="E411">
        <v>2</v>
      </c>
      <c r="F411" t="s">
        <v>1071</v>
      </c>
      <c r="G411" s="10">
        <v>45082</v>
      </c>
      <c r="H411">
        <v>60000</v>
      </c>
      <c r="I411">
        <v>5834</v>
      </c>
      <c r="J411" t="s">
        <v>227</v>
      </c>
      <c r="K411">
        <v>5</v>
      </c>
      <c r="L411" t="s">
        <v>41</v>
      </c>
      <c r="M411" t="s">
        <v>42</v>
      </c>
    </row>
    <row r="412" spans="1:13">
      <c r="A412" t="s">
        <v>140</v>
      </c>
      <c r="B412" t="s">
        <v>141</v>
      </c>
      <c r="C412" t="s">
        <v>67</v>
      </c>
      <c r="D412" t="s">
        <v>1072</v>
      </c>
      <c r="E412">
        <v>2</v>
      </c>
      <c r="F412" t="s">
        <v>1073</v>
      </c>
      <c r="G412" s="10">
        <v>45196</v>
      </c>
      <c r="H412">
        <v>96860</v>
      </c>
      <c r="I412">
        <v>13527</v>
      </c>
      <c r="J412" t="s">
        <v>375</v>
      </c>
      <c r="K412">
        <v>5</v>
      </c>
      <c r="L412" t="s">
        <v>24</v>
      </c>
      <c r="M412" s="5" t="s">
        <v>28</v>
      </c>
    </row>
    <row r="413" spans="1:13">
      <c r="A413" t="s">
        <v>280</v>
      </c>
      <c r="B413" t="s">
        <v>160</v>
      </c>
      <c r="C413" t="s">
        <v>67</v>
      </c>
      <c r="D413" t="s">
        <v>1074</v>
      </c>
      <c r="E413">
        <v>2</v>
      </c>
      <c r="F413" t="s">
        <v>1075</v>
      </c>
      <c r="G413" s="10">
        <v>45072</v>
      </c>
      <c r="H413">
        <v>48000</v>
      </c>
      <c r="I413">
        <v>8000</v>
      </c>
      <c r="J413" t="s">
        <v>163</v>
      </c>
      <c r="K413">
        <v>6</v>
      </c>
      <c r="L413" t="s">
        <v>35</v>
      </c>
      <c r="M413" t="s">
        <v>27</v>
      </c>
    </row>
    <row r="414" spans="1:13">
      <c r="A414" t="s">
        <v>197</v>
      </c>
      <c r="B414" t="s">
        <v>160</v>
      </c>
      <c r="C414" t="s">
        <v>67</v>
      </c>
      <c r="D414" t="s">
        <v>1076</v>
      </c>
      <c r="E414">
        <v>2</v>
      </c>
      <c r="F414" t="s">
        <v>1077</v>
      </c>
      <c r="G414" s="10">
        <v>45072</v>
      </c>
      <c r="H414">
        <v>17400</v>
      </c>
      <c r="I414">
        <v>2400</v>
      </c>
      <c r="J414" t="s">
        <v>193</v>
      </c>
      <c r="K414">
        <v>6</v>
      </c>
      <c r="L414" t="s">
        <v>35</v>
      </c>
      <c r="M414" t="s">
        <v>27</v>
      </c>
    </row>
    <row r="415" spans="1:13">
      <c r="A415" t="s">
        <v>280</v>
      </c>
      <c r="B415" t="s">
        <v>160</v>
      </c>
      <c r="C415" t="s">
        <v>67</v>
      </c>
      <c r="D415" t="s">
        <v>1078</v>
      </c>
      <c r="E415">
        <v>2</v>
      </c>
      <c r="F415" t="s">
        <v>1079</v>
      </c>
      <c r="G415" s="10">
        <v>45075</v>
      </c>
      <c r="H415">
        <v>34500</v>
      </c>
      <c r="I415">
        <v>4500</v>
      </c>
      <c r="J415" t="s">
        <v>163</v>
      </c>
      <c r="K415">
        <v>6</v>
      </c>
      <c r="L415" t="s">
        <v>35</v>
      </c>
      <c r="M415" t="s">
        <v>27</v>
      </c>
    </row>
    <row r="416" spans="1:13">
      <c r="A416" t="s">
        <v>141</v>
      </c>
      <c r="B416" t="s">
        <v>27</v>
      </c>
      <c r="C416" t="s">
        <v>27</v>
      </c>
      <c r="D416" t="s">
        <v>1080</v>
      </c>
      <c r="E416">
        <v>1</v>
      </c>
      <c r="F416" t="s">
        <v>1081</v>
      </c>
      <c r="G416" s="10">
        <v>45078</v>
      </c>
      <c r="H416">
        <v>52500</v>
      </c>
      <c r="I416">
        <v>21667</v>
      </c>
      <c r="J416" t="s">
        <v>144</v>
      </c>
      <c r="K416">
        <v>5</v>
      </c>
      <c r="L416" t="s">
        <v>38</v>
      </c>
      <c r="M416" t="s">
        <v>25</v>
      </c>
    </row>
    <row r="417" spans="1:13">
      <c r="A417" t="s">
        <v>140</v>
      </c>
      <c r="B417" t="s">
        <v>141</v>
      </c>
      <c r="C417" t="s">
        <v>67</v>
      </c>
      <c r="D417" t="s">
        <v>1082</v>
      </c>
      <c r="E417">
        <v>2</v>
      </c>
      <c r="F417" t="s">
        <v>1083</v>
      </c>
      <c r="G417" s="10">
        <v>45294</v>
      </c>
      <c r="H417">
        <v>135360</v>
      </c>
      <c r="I417">
        <v>135359</v>
      </c>
      <c r="J417" t="s">
        <v>375</v>
      </c>
      <c r="K417">
        <v>5</v>
      </c>
      <c r="L417" t="s">
        <v>24</v>
      </c>
      <c r="M417" s="5" t="s">
        <v>28</v>
      </c>
    </row>
    <row r="418" spans="1:13">
      <c r="A418" t="s">
        <v>251</v>
      </c>
      <c r="B418" t="s">
        <v>160</v>
      </c>
      <c r="C418" t="s">
        <v>67</v>
      </c>
      <c r="D418" t="s">
        <v>1084</v>
      </c>
      <c r="E418">
        <v>2</v>
      </c>
      <c r="F418" t="s">
        <v>1085</v>
      </c>
      <c r="G418" s="10">
        <v>45079</v>
      </c>
      <c r="H418">
        <v>51600</v>
      </c>
      <c r="I418">
        <v>8600</v>
      </c>
      <c r="J418" t="s">
        <v>163</v>
      </c>
      <c r="K418">
        <v>6</v>
      </c>
      <c r="L418" t="s">
        <v>35</v>
      </c>
      <c r="M418" t="s">
        <v>27</v>
      </c>
    </row>
    <row r="419" spans="1:13">
      <c r="A419" t="s">
        <v>969</v>
      </c>
      <c r="B419" t="s">
        <v>93</v>
      </c>
      <c r="C419" t="s">
        <v>94</v>
      </c>
      <c r="D419" t="s">
        <v>1086</v>
      </c>
      <c r="E419">
        <v>2</v>
      </c>
      <c r="F419" t="s">
        <v>1087</v>
      </c>
      <c r="G419" s="10">
        <v>45089</v>
      </c>
      <c r="H419">
        <v>241500</v>
      </c>
      <c r="I419">
        <v>24834</v>
      </c>
      <c r="J419" t="s">
        <v>97</v>
      </c>
      <c r="K419">
        <v>6</v>
      </c>
      <c r="L419" t="s">
        <v>41</v>
      </c>
      <c r="M419" t="s">
        <v>42</v>
      </c>
    </row>
    <row r="420" spans="1:13">
      <c r="A420" t="s">
        <v>28</v>
      </c>
      <c r="B420" t="s">
        <v>37</v>
      </c>
      <c r="C420" t="s">
        <v>28</v>
      </c>
      <c r="D420" t="s">
        <v>1088</v>
      </c>
      <c r="E420">
        <v>2</v>
      </c>
      <c r="F420" t="s">
        <v>1089</v>
      </c>
      <c r="G420" s="10">
        <v>45085</v>
      </c>
      <c r="H420">
        <v>157500</v>
      </c>
      <c r="I420">
        <v>82500</v>
      </c>
      <c r="J420" t="s">
        <v>834</v>
      </c>
      <c r="K420">
        <v>6</v>
      </c>
      <c r="L420" t="s">
        <v>37</v>
      </c>
      <c r="M420" t="s">
        <v>25</v>
      </c>
    </row>
    <row r="421" spans="1:13">
      <c r="A421" t="s">
        <v>133</v>
      </c>
      <c r="B421" t="s">
        <v>82</v>
      </c>
      <c r="C421" t="s">
        <v>28</v>
      </c>
      <c r="D421" t="s">
        <v>1090</v>
      </c>
      <c r="E421">
        <v>2</v>
      </c>
      <c r="F421" t="s">
        <v>1091</v>
      </c>
      <c r="G421" s="10">
        <v>45096</v>
      </c>
      <c r="H421">
        <v>119700</v>
      </c>
      <c r="I421">
        <v>36367</v>
      </c>
      <c r="J421" t="s">
        <v>834</v>
      </c>
      <c r="K421">
        <v>5</v>
      </c>
      <c r="L421" t="s">
        <v>37</v>
      </c>
      <c r="M421" t="s">
        <v>25</v>
      </c>
    </row>
    <row r="422" spans="1:13">
      <c r="A422" t="s">
        <v>1092</v>
      </c>
      <c r="B422" t="s">
        <v>123</v>
      </c>
      <c r="C422" t="s">
        <v>1093</v>
      </c>
      <c r="D422" t="s">
        <v>1094</v>
      </c>
      <c r="E422">
        <v>2</v>
      </c>
      <c r="F422" t="s">
        <v>1095</v>
      </c>
      <c r="G422" s="10">
        <v>45084</v>
      </c>
      <c r="H422">
        <v>291648</v>
      </c>
      <c r="I422">
        <v>141648</v>
      </c>
      <c r="J422" t="s">
        <v>1096</v>
      </c>
      <c r="K422">
        <v>5</v>
      </c>
      <c r="L422" t="s">
        <v>24</v>
      </c>
      <c r="M422" t="s">
        <v>25</v>
      </c>
    </row>
    <row r="423" spans="1:13">
      <c r="A423" t="s">
        <v>568</v>
      </c>
      <c r="B423" t="s">
        <v>179</v>
      </c>
      <c r="C423" t="s">
        <v>45</v>
      </c>
      <c r="D423" t="s">
        <v>1097</v>
      </c>
      <c r="E423">
        <v>2</v>
      </c>
      <c r="F423" t="s">
        <v>1098</v>
      </c>
      <c r="G423" s="10">
        <v>45072</v>
      </c>
      <c r="H423">
        <v>125000</v>
      </c>
      <c r="I423">
        <v>62500</v>
      </c>
      <c r="J423" t="s">
        <v>714</v>
      </c>
      <c r="K423">
        <v>5</v>
      </c>
      <c r="L423" t="s">
        <v>44</v>
      </c>
      <c r="M423" t="s">
        <v>45</v>
      </c>
    </row>
    <row r="424" spans="1:13">
      <c r="A424" t="s">
        <v>71</v>
      </c>
      <c r="B424" t="s">
        <v>72</v>
      </c>
      <c r="C424" t="s">
        <v>67</v>
      </c>
      <c r="D424" t="s">
        <v>1099</v>
      </c>
      <c r="E424">
        <v>1</v>
      </c>
      <c r="F424" t="s">
        <v>1100</v>
      </c>
      <c r="G424" s="10">
        <v>45078</v>
      </c>
      <c r="H424">
        <v>72293</v>
      </c>
      <c r="I424">
        <v>9793</v>
      </c>
      <c r="J424" t="s">
        <v>250</v>
      </c>
      <c r="K424">
        <v>6</v>
      </c>
      <c r="L424" t="s">
        <v>24</v>
      </c>
      <c r="M424" t="s">
        <v>29</v>
      </c>
    </row>
    <row r="425" spans="1:13">
      <c r="A425" t="s">
        <v>266</v>
      </c>
      <c r="B425" t="s">
        <v>160</v>
      </c>
      <c r="C425" t="s">
        <v>67</v>
      </c>
      <c r="D425" t="s">
        <v>1101</v>
      </c>
      <c r="E425">
        <v>2</v>
      </c>
      <c r="F425" t="s">
        <v>1102</v>
      </c>
      <c r="G425" s="10">
        <v>45096</v>
      </c>
      <c r="H425">
        <v>32500</v>
      </c>
      <c r="I425">
        <v>7500</v>
      </c>
      <c r="J425" t="s">
        <v>163</v>
      </c>
      <c r="K425">
        <v>6</v>
      </c>
      <c r="L425" t="s">
        <v>35</v>
      </c>
      <c r="M425" t="s">
        <v>27</v>
      </c>
    </row>
    <row r="426" spans="1:13">
      <c r="A426" t="s">
        <v>256</v>
      </c>
      <c r="B426" t="s">
        <v>160</v>
      </c>
      <c r="C426" t="s">
        <v>67</v>
      </c>
      <c r="D426" t="s">
        <v>1103</v>
      </c>
      <c r="E426">
        <v>1</v>
      </c>
      <c r="F426" t="s">
        <v>1104</v>
      </c>
      <c r="G426" s="10">
        <v>45108</v>
      </c>
      <c r="H426">
        <v>38377.5</v>
      </c>
      <c r="I426">
        <v>38377.5</v>
      </c>
      <c r="J426" t="s">
        <v>250</v>
      </c>
      <c r="K426">
        <v>6</v>
      </c>
      <c r="L426" t="s">
        <v>24</v>
      </c>
      <c r="M426" t="s">
        <v>29</v>
      </c>
    </row>
    <row r="427" spans="1:13">
      <c r="A427" t="s">
        <v>76</v>
      </c>
      <c r="B427" t="s">
        <v>72</v>
      </c>
      <c r="C427" t="s">
        <v>67</v>
      </c>
      <c r="D427" t="s">
        <v>1105</v>
      </c>
      <c r="E427">
        <v>1</v>
      </c>
      <c r="F427" t="s">
        <v>1106</v>
      </c>
      <c r="G427" s="10">
        <v>45108</v>
      </c>
      <c r="H427">
        <v>38377.5</v>
      </c>
      <c r="I427">
        <v>13377.5</v>
      </c>
      <c r="J427" t="s">
        <v>250</v>
      </c>
      <c r="K427">
        <v>6</v>
      </c>
      <c r="L427" t="s">
        <v>24</v>
      </c>
      <c r="M427" t="s">
        <v>29</v>
      </c>
    </row>
    <row r="428" spans="1:13">
      <c r="A428" t="s">
        <v>703</v>
      </c>
      <c r="B428" t="s">
        <v>179</v>
      </c>
      <c r="C428" t="s">
        <v>45</v>
      </c>
      <c r="D428" t="s">
        <v>1107</v>
      </c>
      <c r="E428">
        <v>2</v>
      </c>
      <c r="F428" t="s">
        <v>1108</v>
      </c>
      <c r="G428" s="10">
        <v>45075</v>
      </c>
      <c r="H428">
        <v>336000</v>
      </c>
      <c r="I428">
        <v>169334</v>
      </c>
      <c r="J428" t="s">
        <v>189</v>
      </c>
      <c r="K428">
        <v>6</v>
      </c>
      <c r="L428" t="s">
        <v>44</v>
      </c>
      <c r="M428" t="s">
        <v>45</v>
      </c>
    </row>
    <row r="429" spans="1:13">
      <c r="A429" t="s">
        <v>190</v>
      </c>
      <c r="B429" t="s">
        <v>160</v>
      </c>
      <c r="C429" t="s">
        <v>67</v>
      </c>
      <c r="D429" t="s">
        <v>1109</v>
      </c>
      <c r="E429">
        <v>2</v>
      </c>
      <c r="F429" t="s">
        <v>1110</v>
      </c>
      <c r="G429" s="10">
        <v>45079</v>
      </c>
      <c r="H429">
        <v>30000</v>
      </c>
      <c r="I429">
        <v>5000</v>
      </c>
      <c r="J429" t="s">
        <v>163</v>
      </c>
      <c r="K429">
        <v>5</v>
      </c>
      <c r="L429" t="s">
        <v>35</v>
      </c>
      <c r="M429" t="s">
        <v>27</v>
      </c>
    </row>
    <row r="430" spans="1:13">
      <c r="A430" t="s">
        <v>190</v>
      </c>
      <c r="B430" t="s">
        <v>160</v>
      </c>
      <c r="C430" t="s">
        <v>67</v>
      </c>
      <c r="D430" t="s">
        <v>1111</v>
      </c>
      <c r="E430">
        <v>2</v>
      </c>
      <c r="F430" t="s">
        <v>1112</v>
      </c>
      <c r="G430" s="10">
        <v>45083</v>
      </c>
      <c r="H430">
        <v>17400</v>
      </c>
      <c r="I430">
        <v>2400</v>
      </c>
      <c r="J430" t="s">
        <v>193</v>
      </c>
      <c r="K430">
        <v>6</v>
      </c>
      <c r="L430" t="s">
        <v>35</v>
      </c>
      <c r="M430" t="s">
        <v>27</v>
      </c>
    </row>
    <row r="431" spans="1:13">
      <c r="A431" t="s">
        <v>376</v>
      </c>
      <c r="B431" t="s">
        <v>66</v>
      </c>
      <c r="C431" t="s">
        <v>67</v>
      </c>
      <c r="D431" t="s">
        <v>1113</v>
      </c>
      <c r="E431">
        <v>2</v>
      </c>
      <c r="F431" t="s">
        <v>1114</v>
      </c>
      <c r="G431" s="10">
        <v>45083</v>
      </c>
      <c r="H431">
        <v>42483</v>
      </c>
      <c r="I431">
        <v>7483</v>
      </c>
      <c r="J431" t="s">
        <v>75</v>
      </c>
      <c r="K431">
        <v>5</v>
      </c>
      <c r="L431" t="s">
        <v>35</v>
      </c>
      <c r="M431" t="s">
        <v>29</v>
      </c>
    </row>
    <row r="432" spans="1:13">
      <c r="A432" t="s">
        <v>71</v>
      </c>
      <c r="B432" t="s">
        <v>72</v>
      </c>
      <c r="C432" t="s">
        <v>67</v>
      </c>
      <c r="D432" t="s">
        <v>1115</v>
      </c>
      <c r="E432">
        <v>1</v>
      </c>
      <c r="F432" t="s">
        <v>1116</v>
      </c>
      <c r="G432" s="10">
        <v>45077</v>
      </c>
      <c r="H432">
        <v>72292.5</v>
      </c>
      <c r="I432">
        <v>12292.5</v>
      </c>
      <c r="J432" t="s">
        <v>250</v>
      </c>
      <c r="K432">
        <v>6</v>
      </c>
      <c r="L432" t="s">
        <v>24</v>
      </c>
      <c r="M432" t="s">
        <v>29</v>
      </c>
    </row>
    <row r="433" spans="1:13">
      <c r="A433" t="s">
        <v>361</v>
      </c>
      <c r="B433" t="s">
        <v>72</v>
      </c>
      <c r="C433" t="s">
        <v>67</v>
      </c>
      <c r="D433" t="s">
        <v>1117</v>
      </c>
      <c r="E433">
        <v>1</v>
      </c>
      <c r="F433" t="s">
        <v>1118</v>
      </c>
      <c r="G433" s="10">
        <v>45108</v>
      </c>
      <c r="H433">
        <v>38377.5</v>
      </c>
      <c r="I433">
        <v>13377.5</v>
      </c>
      <c r="J433" t="s">
        <v>250</v>
      </c>
      <c r="K433">
        <v>6</v>
      </c>
      <c r="L433" t="s">
        <v>24</v>
      </c>
      <c r="M433" t="s">
        <v>29</v>
      </c>
    </row>
    <row r="434" spans="1:13">
      <c r="A434" t="s">
        <v>361</v>
      </c>
      <c r="B434" t="s">
        <v>72</v>
      </c>
      <c r="C434" t="s">
        <v>67</v>
      </c>
      <c r="D434" t="s">
        <v>1119</v>
      </c>
      <c r="E434">
        <v>1</v>
      </c>
      <c r="F434" t="s">
        <v>1120</v>
      </c>
      <c r="G434" s="10">
        <v>45108</v>
      </c>
      <c r="H434">
        <v>0</v>
      </c>
      <c r="I434">
        <v>-25000</v>
      </c>
      <c r="J434" t="s">
        <v>250</v>
      </c>
      <c r="K434">
        <v>6</v>
      </c>
      <c r="L434" t="s">
        <v>24</v>
      </c>
      <c r="M434" t="s">
        <v>29</v>
      </c>
    </row>
    <row r="435" spans="1:13">
      <c r="A435" t="s">
        <v>71</v>
      </c>
      <c r="B435" t="s">
        <v>72</v>
      </c>
      <c r="C435" t="s">
        <v>67</v>
      </c>
      <c r="D435" t="s">
        <v>1121</v>
      </c>
      <c r="E435">
        <v>1</v>
      </c>
      <c r="F435" t="s">
        <v>1122</v>
      </c>
      <c r="G435" s="10">
        <v>45108</v>
      </c>
      <c r="H435">
        <v>38377.5</v>
      </c>
      <c r="I435">
        <v>13377.5</v>
      </c>
      <c r="J435" t="s">
        <v>250</v>
      </c>
      <c r="K435">
        <v>6</v>
      </c>
      <c r="L435" t="s">
        <v>24</v>
      </c>
      <c r="M435" t="s">
        <v>29</v>
      </c>
    </row>
    <row r="436" spans="1:13">
      <c r="A436" t="s">
        <v>361</v>
      </c>
      <c r="B436" t="s">
        <v>72</v>
      </c>
      <c r="C436" t="s">
        <v>67</v>
      </c>
      <c r="D436" t="s">
        <v>1123</v>
      </c>
      <c r="E436">
        <v>1</v>
      </c>
      <c r="F436" t="s">
        <v>1124</v>
      </c>
      <c r="G436" s="10">
        <v>45108</v>
      </c>
      <c r="H436">
        <v>38377.5</v>
      </c>
      <c r="I436">
        <v>13377.5</v>
      </c>
      <c r="J436" t="s">
        <v>250</v>
      </c>
      <c r="K436">
        <v>6</v>
      </c>
      <c r="L436" t="s">
        <v>24</v>
      </c>
      <c r="M436" t="s">
        <v>29</v>
      </c>
    </row>
    <row r="437" spans="1:13">
      <c r="A437" t="s">
        <v>361</v>
      </c>
      <c r="B437" t="s">
        <v>72</v>
      </c>
      <c r="C437" t="s">
        <v>67</v>
      </c>
      <c r="D437" t="s">
        <v>1125</v>
      </c>
      <c r="E437">
        <v>1</v>
      </c>
      <c r="F437" t="s">
        <v>1126</v>
      </c>
      <c r="G437" s="10">
        <v>45108</v>
      </c>
      <c r="H437">
        <v>38377.5</v>
      </c>
      <c r="I437">
        <v>13377.5</v>
      </c>
      <c r="J437" t="s">
        <v>250</v>
      </c>
      <c r="K437">
        <v>6</v>
      </c>
      <c r="L437" t="s">
        <v>24</v>
      </c>
      <c r="M437" t="s">
        <v>29</v>
      </c>
    </row>
    <row r="438" spans="1:13">
      <c r="A438" t="s">
        <v>71</v>
      </c>
      <c r="B438" t="s">
        <v>72</v>
      </c>
      <c r="C438" t="s">
        <v>67</v>
      </c>
      <c r="D438" t="s">
        <v>1127</v>
      </c>
      <c r="E438">
        <v>1</v>
      </c>
      <c r="F438" t="s">
        <v>1128</v>
      </c>
      <c r="G438" s="10">
        <v>45108</v>
      </c>
      <c r="H438">
        <v>38377.5</v>
      </c>
      <c r="I438">
        <v>13377.5</v>
      </c>
      <c r="J438" t="s">
        <v>250</v>
      </c>
      <c r="K438">
        <v>6</v>
      </c>
      <c r="L438" t="s">
        <v>24</v>
      </c>
      <c r="M438" t="s">
        <v>29</v>
      </c>
    </row>
    <row r="439" spans="1:13">
      <c r="A439" t="s">
        <v>65</v>
      </c>
      <c r="B439" t="s">
        <v>66</v>
      </c>
      <c r="C439" t="s">
        <v>67</v>
      </c>
      <c r="D439" t="s">
        <v>1129</v>
      </c>
      <c r="E439">
        <v>6</v>
      </c>
      <c r="F439" t="s">
        <v>1130</v>
      </c>
      <c r="G439" s="10">
        <v>45075</v>
      </c>
      <c r="H439">
        <v>34375</v>
      </c>
      <c r="I439">
        <v>6875</v>
      </c>
      <c r="J439" t="s">
        <v>70</v>
      </c>
      <c r="K439">
        <v>5</v>
      </c>
      <c r="L439" t="s">
        <v>35</v>
      </c>
      <c r="M439" t="s">
        <v>36</v>
      </c>
    </row>
    <row r="440" spans="1:13">
      <c r="A440" t="s">
        <v>969</v>
      </c>
      <c r="B440" t="s">
        <v>93</v>
      </c>
      <c r="C440" t="s">
        <v>94</v>
      </c>
      <c r="D440" t="s">
        <v>1131</v>
      </c>
      <c r="E440">
        <v>2</v>
      </c>
      <c r="F440" t="s">
        <v>1132</v>
      </c>
      <c r="G440" s="10">
        <v>45089</v>
      </c>
      <c r="H440">
        <v>214220.79</v>
      </c>
      <c r="I440">
        <v>35054.79</v>
      </c>
      <c r="J440" t="s">
        <v>97</v>
      </c>
      <c r="K440">
        <v>6</v>
      </c>
      <c r="L440" t="s">
        <v>41</v>
      </c>
      <c r="M440" t="s">
        <v>42</v>
      </c>
    </row>
    <row r="441" spans="1:13">
      <c r="A441" t="s">
        <v>71</v>
      </c>
      <c r="B441" t="s">
        <v>72</v>
      </c>
      <c r="C441" t="s">
        <v>67</v>
      </c>
      <c r="D441" t="s">
        <v>1133</v>
      </c>
      <c r="E441">
        <v>1</v>
      </c>
      <c r="F441" t="s">
        <v>1134</v>
      </c>
      <c r="G441" s="10">
        <v>45108</v>
      </c>
      <c r="H441">
        <v>38377.5</v>
      </c>
      <c r="I441">
        <v>13377.5</v>
      </c>
      <c r="J441" t="s">
        <v>250</v>
      </c>
      <c r="K441">
        <v>6</v>
      </c>
      <c r="L441" t="s">
        <v>24</v>
      </c>
      <c r="M441" t="s">
        <v>29</v>
      </c>
    </row>
    <row r="442" spans="1:13">
      <c r="A442" t="s">
        <v>361</v>
      </c>
      <c r="B442" t="s">
        <v>72</v>
      </c>
      <c r="C442" t="s">
        <v>67</v>
      </c>
      <c r="D442" t="s">
        <v>1135</v>
      </c>
      <c r="E442">
        <v>1</v>
      </c>
      <c r="F442" t="s">
        <v>1136</v>
      </c>
      <c r="G442" s="10">
        <v>45108</v>
      </c>
      <c r="H442">
        <v>38378</v>
      </c>
      <c r="I442">
        <v>13378</v>
      </c>
      <c r="J442" t="s">
        <v>250</v>
      </c>
      <c r="K442">
        <v>6</v>
      </c>
      <c r="L442" t="s">
        <v>24</v>
      </c>
      <c r="M442" t="s">
        <v>29</v>
      </c>
    </row>
    <row r="443" spans="1:13">
      <c r="A443" t="s">
        <v>71</v>
      </c>
      <c r="B443" t="s">
        <v>72</v>
      </c>
      <c r="C443" t="s">
        <v>67</v>
      </c>
      <c r="D443" t="s">
        <v>1137</v>
      </c>
      <c r="E443">
        <v>1</v>
      </c>
      <c r="F443" t="s">
        <v>1138</v>
      </c>
      <c r="G443" s="10">
        <v>45108</v>
      </c>
      <c r="H443">
        <v>0</v>
      </c>
      <c r="I443">
        <v>-25000</v>
      </c>
      <c r="J443" t="s">
        <v>250</v>
      </c>
      <c r="K443">
        <v>6</v>
      </c>
      <c r="L443" t="s">
        <v>24</v>
      </c>
      <c r="M443" t="s">
        <v>29</v>
      </c>
    </row>
    <row r="444" spans="1:13">
      <c r="A444" t="s">
        <v>71</v>
      </c>
      <c r="B444" t="s">
        <v>72</v>
      </c>
      <c r="C444" t="s">
        <v>67</v>
      </c>
      <c r="D444" t="s">
        <v>1139</v>
      </c>
      <c r="E444">
        <v>1</v>
      </c>
      <c r="F444" t="s">
        <v>1140</v>
      </c>
      <c r="G444" s="10">
        <v>45108</v>
      </c>
      <c r="H444">
        <v>38377.5</v>
      </c>
      <c r="I444">
        <v>13377.5</v>
      </c>
      <c r="J444" t="s">
        <v>250</v>
      </c>
      <c r="K444">
        <v>6</v>
      </c>
      <c r="L444" t="s">
        <v>24</v>
      </c>
      <c r="M444" t="s">
        <v>29</v>
      </c>
    </row>
    <row r="445" spans="1:13">
      <c r="A445" t="s">
        <v>71</v>
      </c>
      <c r="B445" t="s">
        <v>72</v>
      </c>
      <c r="C445" t="s">
        <v>67</v>
      </c>
      <c r="D445" t="s">
        <v>1141</v>
      </c>
      <c r="E445">
        <v>1</v>
      </c>
      <c r="F445" t="s">
        <v>1142</v>
      </c>
      <c r="G445" s="10">
        <v>45108</v>
      </c>
      <c r="H445">
        <v>38377.5</v>
      </c>
      <c r="I445">
        <v>13377.5</v>
      </c>
      <c r="J445" t="s">
        <v>250</v>
      </c>
      <c r="K445">
        <v>6</v>
      </c>
      <c r="L445" t="s">
        <v>24</v>
      </c>
      <c r="M445" t="s">
        <v>29</v>
      </c>
    </row>
    <row r="446" spans="1:13">
      <c r="A446" t="s">
        <v>361</v>
      </c>
      <c r="B446" t="s">
        <v>72</v>
      </c>
      <c r="C446" t="s">
        <v>67</v>
      </c>
      <c r="D446" t="s">
        <v>1143</v>
      </c>
      <c r="E446">
        <v>1</v>
      </c>
      <c r="F446" t="s">
        <v>1144</v>
      </c>
      <c r="G446" s="10">
        <v>45108</v>
      </c>
      <c r="H446">
        <v>38377.5</v>
      </c>
      <c r="I446">
        <v>13377.5</v>
      </c>
      <c r="J446" t="s">
        <v>250</v>
      </c>
      <c r="K446">
        <v>6</v>
      </c>
      <c r="L446" t="s">
        <v>24</v>
      </c>
      <c r="M446" t="s">
        <v>29</v>
      </c>
    </row>
    <row r="447" spans="1:13">
      <c r="A447" t="s">
        <v>235</v>
      </c>
      <c r="B447" t="s">
        <v>215</v>
      </c>
      <c r="C447" t="s">
        <v>94</v>
      </c>
      <c r="D447" t="s">
        <v>1145</v>
      </c>
      <c r="E447">
        <v>2</v>
      </c>
      <c r="F447" t="s">
        <v>1146</v>
      </c>
      <c r="G447" s="10">
        <v>45078</v>
      </c>
      <c r="H447">
        <v>125000</v>
      </c>
      <c r="I447">
        <v>37500</v>
      </c>
      <c r="J447" t="s">
        <v>227</v>
      </c>
      <c r="K447">
        <v>5</v>
      </c>
      <c r="L447" t="s">
        <v>41</v>
      </c>
      <c r="M447" t="s">
        <v>42</v>
      </c>
    </row>
    <row r="448" spans="1:13">
      <c r="A448" t="s">
        <v>71</v>
      </c>
      <c r="B448" t="s">
        <v>72</v>
      </c>
      <c r="C448" t="s">
        <v>67</v>
      </c>
      <c r="D448" t="s">
        <v>1147</v>
      </c>
      <c r="E448">
        <v>1</v>
      </c>
      <c r="F448" t="s">
        <v>1148</v>
      </c>
      <c r="G448" s="10">
        <v>45108</v>
      </c>
      <c r="H448">
        <v>38377.5</v>
      </c>
      <c r="I448">
        <v>13377.5</v>
      </c>
      <c r="J448" t="s">
        <v>250</v>
      </c>
      <c r="K448">
        <v>6</v>
      </c>
      <c r="L448" t="s">
        <v>24</v>
      </c>
      <c r="M448" t="s">
        <v>29</v>
      </c>
    </row>
    <row r="449" spans="1:13">
      <c r="A449" t="s">
        <v>197</v>
      </c>
      <c r="B449" t="s">
        <v>160</v>
      </c>
      <c r="C449" t="s">
        <v>67</v>
      </c>
      <c r="D449" t="s">
        <v>1149</v>
      </c>
      <c r="E449">
        <v>2</v>
      </c>
      <c r="F449" t="s">
        <v>1150</v>
      </c>
      <c r="G449" s="10">
        <v>45077</v>
      </c>
      <c r="H449">
        <v>34500</v>
      </c>
      <c r="I449">
        <v>4500</v>
      </c>
      <c r="J449" t="s">
        <v>163</v>
      </c>
      <c r="K449">
        <v>5</v>
      </c>
      <c r="L449" t="s">
        <v>35</v>
      </c>
      <c r="M449" t="s">
        <v>27</v>
      </c>
    </row>
    <row r="450" spans="1:13">
      <c r="A450" t="s">
        <v>602</v>
      </c>
      <c r="B450" t="s">
        <v>224</v>
      </c>
      <c r="C450" t="s">
        <v>94</v>
      </c>
      <c r="D450" t="s">
        <v>1151</v>
      </c>
      <c r="E450">
        <v>2</v>
      </c>
      <c r="F450" t="s">
        <v>1152</v>
      </c>
      <c r="G450" s="10">
        <v>45076</v>
      </c>
      <c r="H450">
        <v>38000</v>
      </c>
      <c r="I450">
        <v>5500</v>
      </c>
      <c r="J450" t="s">
        <v>227</v>
      </c>
      <c r="K450">
        <v>5</v>
      </c>
      <c r="L450" t="s">
        <v>41</v>
      </c>
      <c r="M450" t="s">
        <v>42</v>
      </c>
    </row>
    <row r="451" spans="1:13">
      <c r="A451" t="s">
        <v>431</v>
      </c>
      <c r="B451" t="s">
        <v>160</v>
      </c>
      <c r="C451" t="s">
        <v>67</v>
      </c>
      <c r="D451" t="s">
        <v>1153</v>
      </c>
      <c r="E451">
        <v>2</v>
      </c>
      <c r="F451" t="s">
        <v>1154</v>
      </c>
      <c r="G451" s="10">
        <v>45078</v>
      </c>
      <c r="H451">
        <v>29900</v>
      </c>
      <c r="I451">
        <v>3900</v>
      </c>
      <c r="J451" t="s">
        <v>163</v>
      </c>
      <c r="K451">
        <v>5</v>
      </c>
      <c r="L451" t="s">
        <v>35</v>
      </c>
      <c r="M451" t="s">
        <v>27</v>
      </c>
    </row>
    <row r="452" spans="1:13">
      <c r="A452" t="s">
        <v>194</v>
      </c>
      <c r="B452" t="s">
        <v>160</v>
      </c>
      <c r="C452" t="s">
        <v>67</v>
      </c>
      <c r="D452" t="s">
        <v>1155</v>
      </c>
      <c r="E452">
        <v>2</v>
      </c>
      <c r="F452" t="s">
        <v>1156</v>
      </c>
      <c r="G452" s="10">
        <v>45077</v>
      </c>
      <c r="H452">
        <v>41400</v>
      </c>
      <c r="I452">
        <v>5400</v>
      </c>
      <c r="J452" t="s">
        <v>193</v>
      </c>
      <c r="K452">
        <v>5</v>
      </c>
      <c r="L452" t="s">
        <v>35</v>
      </c>
      <c r="M452" t="s">
        <v>27</v>
      </c>
    </row>
    <row r="453" spans="1:13">
      <c r="A453" t="s">
        <v>194</v>
      </c>
      <c r="B453" t="s">
        <v>160</v>
      </c>
      <c r="C453" t="s">
        <v>67</v>
      </c>
      <c r="D453" t="s">
        <v>1157</v>
      </c>
      <c r="E453">
        <v>2</v>
      </c>
      <c r="F453" t="s">
        <v>1158</v>
      </c>
      <c r="G453" s="10">
        <v>45077</v>
      </c>
      <c r="H453">
        <v>41400</v>
      </c>
      <c r="I453">
        <v>5400</v>
      </c>
      <c r="J453" t="s">
        <v>193</v>
      </c>
      <c r="K453">
        <v>5</v>
      </c>
      <c r="L453" t="s">
        <v>35</v>
      </c>
      <c r="M453" t="s">
        <v>27</v>
      </c>
    </row>
    <row r="454" spans="1:13">
      <c r="A454" t="s">
        <v>266</v>
      </c>
      <c r="B454" t="s">
        <v>160</v>
      </c>
      <c r="C454" t="s">
        <v>67</v>
      </c>
      <c r="D454" t="s">
        <v>1159</v>
      </c>
      <c r="E454">
        <v>2</v>
      </c>
      <c r="F454" t="s">
        <v>1160</v>
      </c>
      <c r="G454" s="10">
        <v>45092</v>
      </c>
      <c r="H454">
        <v>30666</v>
      </c>
      <c r="I454">
        <v>4000</v>
      </c>
      <c r="J454" t="s">
        <v>193</v>
      </c>
      <c r="K454">
        <v>5</v>
      </c>
      <c r="L454" t="s">
        <v>35</v>
      </c>
      <c r="M454" t="s">
        <v>27</v>
      </c>
    </row>
    <row r="455" spans="1:13">
      <c r="A455" t="s">
        <v>266</v>
      </c>
      <c r="B455" t="s">
        <v>160</v>
      </c>
      <c r="C455" t="s">
        <v>67</v>
      </c>
      <c r="D455" t="s">
        <v>1161</v>
      </c>
      <c r="E455">
        <v>2</v>
      </c>
      <c r="F455" t="s">
        <v>1162</v>
      </c>
      <c r="G455" s="10">
        <v>45085</v>
      </c>
      <c r="H455">
        <v>28750</v>
      </c>
      <c r="I455">
        <v>3750</v>
      </c>
      <c r="J455" t="s">
        <v>193</v>
      </c>
      <c r="K455">
        <v>6</v>
      </c>
      <c r="L455" t="s">
        <v>35</v>
      </c>
      <c r="M455" t="s">
        <v>27</v>
      </c>
    </row>
    <row r="456" spans="1:13">
      <c r="A456" t="s">
        <v>915</v>
      </c>
      <c r="B456" t="s">
        <v>916</v>
      </c>
      <c r="C456" t="s">
        <v>741</v>
      </c>
      <c r="D456" t="s">
        <v>1163</v>
      </c>
      <c r="E456">
        <v>1</v>
      </c>
      <c r="F456" t="s">
        <v>1164</v>
      </c>
      <c r="G456" s="10">
        <v>45108</v>
      </c>
      <c r="H456">
        <v>0</v>
      </c>
      <c r="I456">
        <v>-25000</v>
      </c>
      <c r="J456" t="s">
        <v>250</v>
      </c>
      <c r="K456">
        <v>6</v>
      </c>
      <c r="L456" t="s">
        <v>24</v>
      </c>
      <c r="M456" t="s">
        <v>29</v>
      </c>
    </row>
    <row r="457" spans="1:13">
      <c r="A457" t="s">
        <v>266</v>
      </c>
      <c r="B457" t="s">
        <v>160</v>
      </c>
      <c r="C457" t="s">
        <v>67</v>
      </c>
      <c r="D457" t="s">
        <v>1165</v>
      </c>
      <c r="E457">
        <v>2</v>
      </c>
      <c r="F457" t="s">
        <v>1166</v>
      </c>
      <c r="G457" s="10">
        <v>45096</v>
      </c>
      <c r="H457">
        <v>48000</v>
      </c>
      <c r="I457">
        <v>8000</v>
      </c>
      <c r="J457" t="s">
        <v>163</v>
      </c>
      <c r="K457">
        <v>5</v>
      </c>
      <c r="L457" t="s">
        <v>35</v>
      </c>
      <c r="M457" t="s">
        <v>27</v>
      </c>
    </row>
    <row r="458" spans="1:13">
      <c r="A458" t="s">
        <v>251</v>
      </c>
      <c r="B458" t="s">
        <v>160</v>
      </c>
      <c r="C458" t="s">
        <v>67</v>
      </c>
      <c r="D458" t="s">
        <v>1167</v>
      </c>
      <c r="E458">
        <v>1</v>
      </c>
      <c r="F458" t="s">
        <v>1168</v>
      </c>
      <c r="G458" s="10">
        <v>45108</v>
      </c>
      <c r="H458">
        <v>38377.5</v>
      </c>
      <c r="I458">
        <v>13377.5</v>
      </c>
      <c r="J458" t="s">
        <v>250</v>
      </c>
      <c r="K458">
        <v>6</v>
      </c>
      <c r="L458" t="s">
        <v>24</v>
      </c>
      <c r="M458" t="s">
        <v>29</v>
      </c>
    </row>
    <row r="459" spans="1:13">
      <c r="A459" t="s">
        <v>266</v>
      </c>
      <c r="B459" t="s">
        <v>160</v>
      </c>
      <c r="C459" t="s">
        <v>67</v>
      </c>
      <c r="D459" t="s">
        <v>1169</v>
      </c>
      <c r="E459">
        <v>1</v>
      </c>
      <c r="F459" t="s">
        <v>1170</v>
      </c>
      <c r="G459" s="10">
        <v>45108</v>
      </c>
      <c r="H459">
        <v>38377.5</v>
      </c>
      <c r="I459">
        <v>13377.5</v>
      </c>
      <c r="J459" t="s">
        <v>250</v>
      </c>
      <c r="K459">
        <v>6</v>
      </c>
      <c r="L459" t="s">
        <v>24</v>
      </c>
      <c r="M459" t="s">
        <v>29</v>
      </c>
    </row>
    <row r="460" spans="1:13">
      <c r="A460" t="s">
        <v>1171</v>
      </c>
      <c r="B460" t="s">
        <v>43</v>
      </c>
      <c r="C460" t="s">
        <v>94</v>
      </c>
      <c r="D460" t="s">
        <v>1172</v>
      </c>
      <c r="E460">
        <v>1</v>
      </c>
      <c r="F460" t="s">
        <v>1173</v>
      </c>
      <c r="G460" s="10">
        <v>45108</v>
      </c>
      <c r="H460">
        <v>38377.5</v>
      </c>
      <c r="I460">
        <v>13377.5</v>
      </c>
      <c r="J460" t="s">
        <v>250</v>
      </c>
      <c r="K460">
        <v>6</v>
      </c>
      <c r="L460" t="s">
        <v>24</v>
      </c>
      <c r="M460" t="s">
        <v>29</v>
      </c>
    </row>
    <row r="461" spans="1:13">
      <c r="A461" t="s">
        <v>376</v>
      </c>
      <c r="B461" t="s">
        <v>66</v>
      </c>
      <c r="C461" t="s">
        <v>67</v>
      </c>
      <c r="D461" t="s">
        <v>1174</v>
      </c>
      <c r="E461">
        <v>6</v>
      </c>
      <c r="F461" t="s">
        <v>1175</v>
      </c>
      <c r="G461" s="10">
        <v>45075</v>
      </c>
      <c r="H461">
        <v>34375</v>
      </c>
      <c r="I461">
        <v>6875</v>
      </c>
      <c r="J461" t="s">
        <v>70</v>
      </c>
      <c r="K461">
        <v>5</v>
      </c>
      <c r="L461" t="s">
        <v>35</v>
      </c>
      <c r="M461" t="s">
        <v>36</v>
      </c>
    </row>
    <row r="462" spans="1:13">
      <c r="A462" t="s">
        <v>503</v>
      </c>
      <c r="B462" t="s">
        <v>41</v>
      </c>
      <c r="C462" t="s">
        <v>503</v>
      </c>
      <c r="D462" t="s">
        <v>1176</v>
      </c>
      <c r="E462">
        <v>1</v>
      </c>
      <c r="F462" t="s">
        <v>1177</v>
      </c>
      <c r="G462" s="10">
        <v>45108</v>
      </c>
      <c r="H462">
        <v>38378</v>
      </c>
      <c r="I462">
        <v>13378</v>
      </c>
      <c r="J462" t="s">
        <v>250</v>
      </c>
      <c r="K462">
        <v>6</v>
      </c>
      <c r="L462" t="s">
        <v>24</v>
      </c>
      <c r="M462" t="s">
        <v>29</v>
      </c>
    </row>
    <row r="463" spans="1:13">
      <c r="A463" t="s">
        <v>503</v>
      </c>
      <c r="B463" t="s">
        <v>41</v>
      </c>
      <c r="C463" t="s">
        <v>503</v>
      </c>
      <c r="D463" t="s">
        <v>1178</v>
      </c>
      <c r="E463">
        <v>1</v>
      </c>
      <c r="F463" t="s">
        <v>1179</v>
      </c>
      <c r="G463" s="10">
        <v>45108</v>
      </c>
      <c r="H463">
        <v>38377.5</v>
      </c>
      <c r="I463">
        <v>13377.5</v>
      </c>
      <c r="J463" t="s">
        <v>250</v>
      </c>
      <c r="K463">
        <v>6</v>
      </c>
      <c r="L463" t="s">
        <v>24</v>
      </c>
      <c r="M463" t="s">
        <v>29</v>
      </c>
    </row>
    <row r="464" spans="1:13">
      <c r="A464" t="s">
        <v>541</v>
      </c>
      <c r="B464" t="s">
        <v>43</v>
      </c>
      <c r="C464" t="s">
        <v>94</v>
      </c>
      <c r="D464" t="s">
        <v>1180</v>
      </c>
      <c r="E464">
        <v>1</v>
      </c>
      <c r="F464" t="s">
        <v>1181</v>
      </c>
      <c r="G464" s="10">
        <v>45108</v>
      </c>
      <c r="H464">
        <v>38378</v>
      </c>
      <c r="I464">
        <v>13378</v>
      </c>
      <c r="J464" t="s">
        <v>250</v>
      </c>
      <c r="K464">
        <v>6</v>
      </c>
      <c r="L464" t="s">
        <v>24</v>
      </c>
      <c r="M464" t="s">
        <v>29</v>
      </c>
    </row>
    <row r="465" spans="1:13">
      <c r="A465" t="s">
        <v>813</v>
      </c>
      <c r="B465" t="s">
        <v>43</v>
      </c>
      <c r="C465" t="s">
        <v>94</v>
      </c>
      <c r="D465" t="s">
        <v>1182</v>
      </c>
      <c r="E465">
        <v>1</v>
      </c>
      <c r="F465" t="s">
        <v>1183</v>
      </c>
      <c r="G465" s="10">
        <v>45108</v>
      </c>
      <c r="H465">
        <v>38377.5</v>
      </c>
      <c r="I465">
        <v>13377.5</v>
      </c>
      <c r="J465" t="s">
        <v>250</v>
      </c>
      <c r="K465">
        <v>6</v>
      </c>
      <c r="L465" t="s">
        <v>24</v>
      </c>
      <c r="M465" t="s">
        <v>29</v>
      </c>
    </row>
    <row r="466" spans="1:13">
      <c r="A466" t="s">
        <v>1184</v>
      </c>
      <c r="B466" t="s">
        <v>179</v>
      </c>
      <c r="C466" t="s">
        <v>45</v>
      </c>
      <c r="D466" t="s">
        <v>1185</v>
      </c>
      <c r="E466">
        <v>4</v>
      </c>
      <c r="F466" t="s">
        <v>1186</v>
      </c>
      <c r="G466" s="10">
        <v>45077</v>
      </c>
      <c r="H466">
        <v>352800</v>
      </c>
      <c r="I466">
        <v>77800</v>
      </c>
      <c r="J466" t="s">
        <v>189</v>
      </c>
      <c r="K466">
        <v>6</v>
      </c>
      <c r="L466" t="s">
        <v>44</v>
      </c>
      <c r="M466" t="s">
        <v>45</v>
      </c>
    </row>
    <row r="467" spans="1:13">
      <c r="A467" t="s">
        <v>442</v>
      </c>
      <c r="B467" t="s">
        <v>43</v>
      </c>
      <c r="C467" t="s">
        <v>94</v>
      </c>
      <c r="D467" t="s">
        <v>1187</v>
      </c>
      <c r="E467">
        <v>1</v>
      </c>
      <c r="F467" t="s">
        <v>1188</v>
      </c>
      <c r="G467" s="10">
        <v>45108</v>
      </c>
      <c r="H467">
        <v>38377.5</v>
      </c>
      <c r="I467">
        <v>13377.5</v>
      </c>
      <c r="J467" t="s">
        <v>250</v>
      </c>
      <c r="K467">
        <v>6</v>
      </c>
      <c r="L467" t="s">
        <v>24</v>
      </c>
      <c r="M467" t="s">
        <v>29</v>
      </c>
    </row>
    <row r="468" spans="1:13">
      <c r="A468" t="s">
        <v>438</v>
      </c>
      <c r="B468" t="s">
        <v>43</v>
      </c>
      <c r="C468" t="s">
        <v>94</v>
      </c>
      <c r="D468" t="s">
        <v>1189</v>
      </c>
      <c r="E468">
        <v>1</v>
      </c>
      <c r="F468" t="s">
        <v>1190</v>
      </c>
      <c r="G468" s="10">
        <v>45108</v>
      </c>
      <c r="H468">
        <v>38377.5</v>
      </c>
      <c r="I468">
        <v>13377.5</v>
      </c>
      <c r="J468" t="s">
        <v>250</v>
      </c>
      <c r="K468">
        <v>6</v>
      </c>
      <c r="L468" t="s">
        <v>24</v>
      </c>
      <c r="M468" t="s">
        <v>29</v>
      </c>
    </row>
    <row r="469" spans="1:13">
      <c r="A469" t="s">
        <v>442</v>
      </c>
      <c r="B469" t="s">
        <v>43</v>
      </c>
      <c r="C469" t="s">
        <v>94</v>
      </c>
      <c r="D469" t="s">
        <v>1191</v>
      </c>
      <c r="E469">
        <v>1</v>
      </c>
      <c r="F469" t="s">
        <v>1192</v>
      </c>
      <c r="G469" s="10">
        <v>45108</v>
      </c>
      <c r="H469">
        <v>38377.5</v>
      </c>
      <c r="I469">
        <v>13377.5</v>
      </c>
      <c r="J469" t="s">
        <v>250</v>
      </c>
      <c r="K469">
        <v>6</v>
      </c>
      <c r="L469" t="s">
        <v>24</v>
      </c>
      <c r="M469" t="s">
        <v>29</v>
      </c>
    </row>
    <row r="470" spans="1:13">
      <c r="A470" t="s">
        <v>1193</v>
      </c>
      <c r="B470" t="s">
        <v>141</v>
      </c>
      <c r="C470" t="s">
        <v>67</v>
      </c>
      <c r="D470" t="s">
        <v>1194</v>
      </c>
      <c r="E470">
        <v>2</v>
      </c>
      <c r="F470" t="s">
        <v>1195</v>
      </c>
      <c r="G470" s="10">
        <v>45246</v>
      </c>
      <c r="H470">
        <v>66875</v>
      </c>
      <c r="I470">
        <v>66875</v>
      </c>
      <c r="J470" t="s">
        <v>375</v>
      </c>
      <c r="K470">
        <v>5</v>
      </c>
      <c r="L470" t="s">
        <v>24</v>
      </c>
      <c r="M470" s="5" t="s">
        <v>28</v>
      </c>
    </row>
    <row r="471" spans="1:13">
      <c r="A471" t="s">
        <v>361</v>
      </c>
      <c r="B471" t="s">
        <v>72</v>
      </c>
      <c r="C471" t="s">
        <v>67</v>
      </c>
      <c r="D471" t="s">
        <v>1196</v>
      </c>
      <c r="E471">
        <v>1</v>
      </c>
      <c r="F471" t="s">
        <v>1197</v>
      </c>
      <c r="G471" s="10">
        <v>45108</v>
      </c>
      <c r="H471">
        <v>38377.5</v>
      </c>
      <c r="I471">
        <v>13377.5</v>
      </c>
      <c r="J471" t="s">
        <v>250</v>
      </c>
      <c r="K471">
        <v>6</v>
      </c>
      <c r="L471" t="s">
        <v>24</v>
      </c>
      <c r="M471" t="s">
        <v>29</v>
      </c>
    </row>
    <row r="472" spans="1:13">
      <c r="A472" t="s">
        <v>361</v>
      </c>
      <c r="B472" t="s">
        <v>72</v>
      </c>
      <c r="C472" t="s">
        <v>67</v>
      </c>
      <c r="D472" t="s">
        <v>1198</v>
      </c>
      <c r="E472">
        <v>1</v>
      </c>
      <c r="F472" t="s">
        <v>1199</v>
      </c>
      <c r="G472" s="10">
        <v>45108</v>
      </c>
      <c r="H472">
        <v>38377.5</v>
      </c>
      <c r="I472">
        <v>13377.5</v>
      </c>
      <c r="J472" t="s">
        <v>250</v>
      </c>
      <c r="K472">
        <v>6</v>
      </c>
      <c r="L472" t="s">
        <v>24</v>
      </c>
      <c r="M472" t="s">
        <v>29</v>
      </c>
    </row>
    <row r="473" spans="1:13">
      <c r="A473" t="s">
        <v>141</v>
      </c>
      <c r="B473" t="s">
        <v>27</v>
      </c>
      <c r="C473" t="s">
        <v>27</v>
      </c>
      <c r="D473" t="s">
        <v>1200</v>
      </c>
      <c r="E473">
        <v>1</v>
      </c>
      <c r="F473" t="s">
        <v>1201</v>
      </c>
      <c r="G473" s="10">
        <v>45078</v>
      </c>
      <c r="H473">
        <v>52500</v>
      </c>
      <c r="I473">
        <v>22500</v>
      </c>
      <c r="J473" t="s">
        <v>144</v>
      </c>
      <c r="K473">
        <v>5</v>
      </c>
      <c r="L473" t="s">
        <v>38</v>
      </c>
      <c r="M473" t="s">
        <v>25</v>
      </c>
    </row>
    <row r="474" spans="1:13">
      <c r="A474" t="s">
        <v>141</v>
      </c>
      <c r="B474" t="s">
        <v>27</v>
      </c>
      <c r="C474" t="s">
        <v>27</v>
      </c>
      <c r="D474" t="s">
        <v>1202</v>
      </c>
      <c r="E474">
        <v>1</v>
      </c>
      <c r="F474" t="s">
        <v>1203</v>
      </c>
      <c r="G474" s="10">
        <v>45078</v>
      </c>
      <c r="H474">
        <v>67200</v>
      </c>
      <c r="I474">
        <v>18867</v>
      </c>
      <c r="J474" t="s">
        <v>144</v>
      </c>
      <c r="K474">
        <v>6</v>
      </c>
      <c r="L474" t="s">
        <v>38</v>
      </c>
      <c r="M474" t="s">
        <v>25</v>
      </c>
    </row>
    <row r="475" spans="1:13">
      <c r="A475" t="s">
        <v>140</v>
      </c>
      <c r="B475" t="s">
        <v>141</v>
      </c>
      <c r="C475" t="s">
        <v>67</v>
      </c>
      <c r="D475" t="s">
        <v>1204</v>
      </c>
      <c r="E475">
        <v>2</v>
      </c>
      <c r="F475" t="s">
        <v>1205</v>
      </c>
      <c r="G475" s="10">
        <v>45260</v>
      </c>
      <c r="H475">
        <v>79390.5</v>
      </c>
      <c r="I475">
        <v>3780.5</v>
      </c>
      <c r="J475" t="s">
        <v>375</v>
      </c>
      <c r="K475">
        <v>5</v>
      </c>
      <c r="L475" t="s">
        <v>24</v>
      </c>
      <c r="M475" s="5" t="s">
        <v>28</v>
      </c>
    </row>
    <row r="476" spans="1:13">
      <c r="A476" t="s">
        <v>186</v>
      </c>
      <c r="B476" t="s">
        <v>179</v>
      </c>
      <c r="C476" t="s">
        <v>45</v>
      </c>
      <c r="D476" t="s">
        <v>1206</v>
      </c>
      <c r="E476">
        <v>4</v>
      </c>
      <c r="F476" t="s">
        <v>1207</v>
      </c>
      <c r="G476" s="10">
        <v>45078</v>
      </c>
      <c r="H476">
        <v>180000</v>
      </c>
      <c r="I476">
        <v>42500</v>
      </c>
      <c r="J476" t="s">
        <v>714</v>
      </c>
      <c r="K476">
        <v>6</v>
      </c>
      <c r="L476" t="s">
        <v>44</v>
      </c>
      <c r="M476" t="s">
        <v>45</v>
      </c>
    </row>
    <row r="477" spans="1:13">
      <c r="A477" t="s">
        <v>522</v>
      </c>
      <c r="B477" t="s">
        <v>72</v>
      </c>
      <c r="C477" t="s">
        <v>67</v>
      </c>
      <c r="D477" t="s">
        <v>1208</v>
      </c>
      <c r="E477">
        <v>1</v>
      </c>
      <c r="F477" t="s">
        <v>1209</v>
      </c>
      <c r="G477" s="10">
        <v>45078</v>
      </c>
      <c r="H477">
        <v>32130</v>
      </c>
      <c r="I477">
        <v>12130</v>
      </c>
      <c r="J477" t="s">
        <v>250</v>
      </c>
      <c r="K477">
        <v>6</v>
      </c>
      <c r="L477" t="s">
        <v>24</v>
      </c>
      <c r="M477" t="s">
        <v>29</v>
      </c>
    </row>
    <row r="478" spans="1:13">
      <c r="A478" t="s">
        <v>266</v>
      </c>
      <c r="B478" t="s">
        <v>160</v>
      </c>
      <c r="C478" t="s">
        <v>67</v>
      </c>
      <c r="D478" t="s">
        <v>1210</v>
      </c>
      <c r="E478">
        <v>2</v>
      </c>
      <c r="F478" t="s">
        <v>1211</v>
      </c>
      <c r="G478" s="10">
        <v>45096</v>
      </c>
      <c r="H478">
        <v>32500</v>
      </c>
      <c r="I478">
        <v>7500</v>
      </c>
      <c r="J478" t="s">
        <v>163</v>
      </c>
      <c r="K478">
        <v>5</v>
      </c>
      <c r="L478" t="s">
        <v>35</v>
      </c>
      <c r="M478" t="s">
        <v>27</v>
      </c>
    </row>
    <row r="479" spans="1:13">
      <c r="A479" t="s">
        <v>140</v>
      </c>
      <c r="B479" t="s">
        <v>141</v>
      </c>
      <c r="C479" t="s">
        <v>67</v>
      </c>
      <c r="D479" t="s">
        <v>1212</v>
      </c>
      <c r="E479">
        <v>1</v>
      </c>
      <c r="F479" t="s">
        <v>1213</v>
      </c>
      <c r="G479" s="10">
        <v>45085</v>
      </c>
      <c r="H479">
        <v>52500</v>
      </c>
      <c r="I479">
        <v>10834</v>
      </c>
      <c r="J479" t="s">
        <v>144</v>
      </c>
      <c r="K479">
        <v>6</v>
      </c>
      <c r="L479" t="s">
        <v>38</v>
      </c>
      <c r="M479" t="s">
        <v>25</v>
      </c>
    </row>
    <row r="480" spans="1:13">
      <c r="A480" t="s">
        <v>141</v>
      </c>
      <c r="B480" t="s">
        <v>27</v>
      </c>
      <c r="C480" t="s">
        <v>27</v>
      </c>
      <c r="D480" t="s">
        <v>1214</v>
      </c>
      <c r="E480">
        <v>1</v>
      </c>
      <c r="F480" t="s">
        <v>1215</v>
      </c>
      <c r="G480" s="10">
        <v>45108</v>
      </c>
      <c r="H480">
        <v>38378</v>
      </c>
      <c r="I480">
        <v>13378</v>
      </c>
      <c r="J480" t="s">
        <v>250</v>
      </c>
      <c r="K480">
        <v>6</v>
      </c>
      <c r="L480" t="s">
        <v>24</v>
      </c>
      <c r="M480" t="s">
        <v>29</v>
      </c>
    </row>
    <row r="481" spans="1:13">
      <c r="A481" t="s">
        <v>194</v>
      </c>
      <c r="B481" t="s">
        <v>160</v>
      </c>
      <c r="C481" t="s">
        <v>67</v>
      </c>
      <c r="D481" t="s">
        <v>1216</v>
      </c>
      <c r="E481">
        <v>2</v>
      </c>
      <c r="F481" t="s">
        <v>1217</v>
      </c>
      <c r="G481" s="10">
        <v>45103</v>
      </c>
      <c r="H481">
        <v>48000</v>
      </c>
      <c r="I481">
        <v>8000</v>
      </c>
      <c r="J481" t="s">
        <v>163</v>
      </c>
      <c r="K481">
        <v>6</v>
      </c>
      <c r="L481" t="s">
        <v>35</v>
      </c>
      <c r="M481" t="s">
        <v>27</v>
      </c>
    </row>
    <row r="482" spans="1:13">
      <c r="A482" t="s">
        <v>794</v>
      </c>
      <c r="B482" t="s">
        <v>118</v>
      </c>
      <c r="C482" t="s">
        <v>98</v>
      </c>
      <c r="D482" t="s">
        <v>1218</v>
      </c>
      <c r="E482">
        <v>4</v>
      </c>
      <c r="F482" t="s">
        <v>1219</v>
      </c>
      <c r="G482" s="10">
        <v>45078</v>
      </c>
      <c r="H482">
        <v>236453.2</v>
      </c>
      <c r="I482">
        <v>36453.199999999997</v>
      </c>
      <c r="J482" t="s">
        <v>121</v>
      </c>
      <c r="K482">
        <v>6</v>
      </c>
      <c r="L482" t="s">
        <v>24</v>
      </c>
      <c r="M482" t="s">
        <v>30</v>
      </c>
    </row>
    <row r="483" spans="1:13">
      <c r="A483" t="s">
        <v>1193</v>
      </c>
      <c r="B483" t="s">
        <v>141</v>
      </c>
      <c r="C483" t="s">
        <v>67</v>
      </c>
      <c r="D483" t="s">
        <v>1220</v>
      </c>
      <c r="E483">
        <v>2</v>
      </c>
      <c r="F483" t="s">
        <v>1221</v>
      </c>
      <c r="G483" s="10">
        <v>45323</v>
      </c>
      <c r="H483">
        <v>193140</v>
      </c>
      <c r="I483">
        <v>9807</v>
      </c>
      <c r="J483" t="s">
        <v>375</v>
      </c>
      <c r="K483">
        <v>5</v>
      </c>
      <c r="L483" t="s">
        <v>24</v>
      </c>
      <c r="M483" s="5" t="s">
        <v>28</v>
      </c>
    </row>
    <row r="484" spans="1:13">
      <c r="A484" t="s">
        <v>266</v>
      </c>
      <c r="B484" t="s">
        <v>160</v>
      </c>
      <c r="C484" t="s">
        <v>67</v>
      </c>
      <c r="D484" t="s">
        <v>1222</v>
      </c>
      <c r="E484">
        <v>2</v>
      </c>
      <c r="F484" t="s">
        <v>1223</v>
      </c>
      <c r="G484" s="10">
        <v>45103</v>
      </c>
      <c r="H484">
        <v>32500</v>
      </c>
      <c r="I484">
        <v>7500</v>
      </c>
      <c r="J484" t="s">
        <v>163</v>
      </c>
      <c r="K484">
        <v>5</v>
      </c>
      <c r="L484" t="s">
        <v>35</v>
      </c>
      <c r="M484" t="s">
        <v>27</v>
      </c>
    </row>
    <row r="485" spans="1:13">
      <c r="A485" t="s">
        <v>82</v>
      </c>
      <c r="B485" t="s">
        <v>28</v>
      </c>
      <c r="C485" t="s">
        <v>238</v>
      </c>
      <c r="D485" t="s">
        <v>1224</v>
      </c>
      <c r="E485">
        <v>2</v>
      </c>
      <c r="F485" t="s">
        <v>1225</v>
      </c>
      <c r="G485" s="10">
        <v>45079</v>
      </c>
      <c r="H485">
        <v>34735</v>
      </c>
      <c r="I485">
        <v>1402</v>
      </c>
      <c r="J485" t="s">
        <v>85</v>
      </c>
      <c r="K485">
        <v>6</v>
      </c>
      <c r="L485" t="s">
        <v>24</v>
      </c>
      <c r="M485" t="s">
        <v>25</v>
      </c>
    </row>
    <row r="486" spans="1:13">
      <c r="A486" t="s">
        <v>969</v>
      </c>
      <c r="B486" t="s">
        <v>93</v>
      </c>
      <c r="C486" t="s">
        <v>94</v>
      </c>
      <c r="D486" t="s">
        <v>1226</v>
      </c>
      <c r="E486">
        <v>2</v>
      </c>
      <c r="F486" t="s">
        <v>1227</v>
      </c>
      <c r="G486" s="10">
        <v>45089</v>
      </c>
      <c r="H486">
        <v>140700</v>
      </c>
      <c r="I486">
        <v>65700</v>
      </c>
      <c r="J486" t="s">
        <v>97</v>
      </c>
      <c r="K486">
        <v>5</v>
      </c>
      <c r="L486" t="s">
        <v>41</v>
      </c>
      <c r="M486" t="s">
        <v>42</v>
      </c>
    </row>
    <row r="487" spans="1:13">
      <c r="A487" t="s">
        <v>1228</v>
      </c>
      <c r="B487" t="s">
        <v>224</v>
      </c>
      <c r="C487" t="s">
        <v>94</v>
      </c>
      <c r="D487" t="s">
        <v>1229</v>
      </c>
      <c r="E487">
        <v>7</v>
      </c>
      <c r="F487" t="s">
        <v>1230</v>
      </c>
      <c r="G487" s="10">
        <v>45089</v>
      </c>
      <c r="H487">
        <v>88292.05</v>
      </c>
      <c r="I487">
        <v>3802.05</v>
      </c>
      <c r="J487" t="s">
        <v>313</v>
      </c>
      <c r="K487">
        <v>6</v>
      </c>
      <c r="L487" t="s">
        <v>41</v>
      </c>
      <c r="M487" t="s">
        <v>42</v>
      </c>
    </row>
    <row r="488" spans="1:13">
      <c r="A488" t="s">
        <v>65</v>
      </c>
      <c r="B488" t="s">
        <v>66</v>
      </c>
      <c r="C488" t="s">
        <v>67</v>
      </c>
      <c r="D488" t="s">
        <v>1231</v>
      </c>
      <c r="E488">
        <v>6</v>
      </c>
      <c r="F488" t="s">
        <v>1232</v>
      </c>
      <c r="G488" s="10">
        <v>45083</v>
      </c>
      <c r="H488">
        <v>34375</v>
      </c>
      <c r="I488">
        <v>6875</v>
      </c>
      <c r="J488" t="s">
        <v>70</v>
      </c>
      <c r="K488">
        <v>6</v>
      </c>
      <c r="L488" t="s">
        <v>35</v>
      </c>
      <c r="M488" t="s">
        <v>36</v>
      </c>
    </row>
    <row r="489" spans="1:13">
      <c r="A489" t="s">
        <v>230</v>
      </c>
      <c r="B489" t="s">
        <v>231</v>
      </c>
      <c r="C489" t="s">
        <v>232</v>
      </c>
      <c r="D489" t="s">
        <v>1233</v>
      </c>
      <c r="E489">
        <v>7</v>
      </c>
      <c r="F489" t="s">
        <v>1234</v>
      </c>
      <c r="G489" s="10">
        <v>45103</v>
      </c>
      <c r="H489">
        <v>67653</v>
      </c>
      <c r="I489">
        <v>2913</v>
      </c>
      <c r="J489" t="s">
        <v>313</v>
      </c>
      <c r="K489">
        <v>6</v>
      </c>
      <c r="L489" t="s">
        <v>41</v>
      </c>
      <c r="M489" t="s">
        <v>42</v>
      </c>
    </row>
    <row r="490" spans="1:13">
      <c r="A490" t="s">
        <v>376</v>
      </c>
      <c r="B490" t="s">
        <v>66</v>
      </c>
      <c r="C490" t="s">
        <v>67</v>
      </c>
      <c r="D490" t="s">
        <v>1235</v>
      </c>
      <c r="E490">
        <v>6</v>
      </c>
      <c r="F490" t="s">
        <v>1236</v>
      </c>
      <c r="G490" s="10">
        <v>45083</v>
      </c>
      <c r="H490">
        <v>34375</v>
      </c>
      <c r="I490">
        <v>6875</v>
      </c>
      <c r="J490" t="s">
        <v>70</v>
      </c>
      <c r="K490">
        <v>5</v>
      </c>
      <c r="L490" t="s">
        <v>35</v>
      </c>
      <c r="M490" t="s">
        <v>36</v>
      </c>
    </row>
    <row r="491" spans="1:13">
      <c r="A491" t="s">
        <v>65</v>
      </c>
      <c r="B491" t="s">
        <v>66</v>
      </c>
      <c r="C491" t="s">
        <v>67</v>
      </c>
      <c r="D491" t="s">
        <v>1237</v>
      </c>
      <c r="E491">
        <v>6</v>
      </c>
      <c r="F491" t="s">
        <v>1238</v>
      </c>
      <c r="G491" s="10">
        <v>45083</v>
      </c>
      <c r="H491">
        <v>34375</v>
      </c>
      <c r="I491">
        <v>6875</v>
      </c>
      <c r="J491" t="s">
        <v>70</v>
      </c>
      <c r="K491">
        <v>6</v>
      </c>
      <c r="L491" t="s">
        <v>35</v>
      </c>
      <c r="M491" t="s">
        <v>36</v>
      </c>
    </row>
    <row r="492" spans="1:13">
      <c r="A492" t="s">
        <v>65</v>
      </c>
      <c r="B492" t="s">
        <v>66</v>
      </c>
      <c r="C492" t="s">
        <v>67</v>
      </c>
      <c r="D492" t="s">
        <v>1239</v>
      </c>
      <c r="E492">
        <v>6</v>
      </c>
      <c r="F492" t="s">
        <v>1240</v>
      </c>
      <c r="G492" s="10">
        <v>45083</v>
      </c>
      <c r="H492">
        <v>34375</v>
      </c>
      <c r="I492">
        <v>6875</v>
      </c>
      <c r="J492" t="s">
        <v>70</v>
      </c>
      <c r="K492">
        <v>6</v>
      </c>
      <c r="L492" t="s">
        <v>35</v>
      </c>
      <c r="M492" t="s">
        <v>36</v>
      </c>
    </row>
    <row r="493" spans="1:13">
      <c r="A493" t="s">
        <v>256</v>
      </c>
      <c r="B493" t="s">
        <v>160</v>
      </c>
      <c r="C493" t="s">
        <v>67</v>
      </c>
      <c r="D493" t="s">
        <v>1241</v>
      </c>
      <c r="E493">
        <v>2</v>
      </c>
      <c r="F493" t="s">
        <v>1242</v>
      </c>
      <c r="G493" s="10">
        <v>45083</v>
      </c>
      <c r="H493">
        <v>17400</v>
      </c>
      <c r="I493">
        <v>2400</v>
      </c>
      <c r="J493" t="s">
        <v>193</v>
      </c>
      <c r="K493">
        <v>5</v>
      </c>
      <c r="L493" t="s">
        <v>35</v>
      </c>
      <c r="M493" t="s">
        <v>27</v>
      </c>
    </row>
    <row r="494" spans="1:13">
      <c r="A494" t="s">
        <v>65</v>
      </c>
      <c r="B494" t="s">
        <v>66</v>
      </c>
      <c r="C494" t="s">
        <v>67</v>
      </c>
      <c r="D494" t="s">
        <v>1243</v>
      </c>
      <c r="E494">
        <v>6</v>
      </c>
      <c r="F494" t="s">
        <v>1244</v>
      </c>
      <c r="G494" s="10">
        <v>45092</v>
      </c>
      <c r="H494">
        <v>34375</v>
      </c>
      <c r="I494">
        <v>6875</v>
      </c>
      <c r="J494" t="s">
        <v>70</v>
      </c>
      <c r="K494">
        <v>6</v>
      </c>
      <c r="L494" t="s">
        <v>35</v>
      </c>
      <c r="M494" t="s">
        <v>36</v>
      </c>
    </row>
    <row r="495" spans="1:13">
      <c r="A495" t="s">
        <v>65</v>
      </c>
      <c r="B495" t="s">
        <v>66</v>
      </c>
      <c r="C495" t="s">
        <v>67</v>
      </c>
      <c r="D495" t="s">
        <v>1245</v>
      </c>
      <c r="E495">
        <v>6</v>
      </c>
      <c r="F495" t="s">
        <v>1246</v>
      </c>
      <c r="G495" s="10">
        <v>45092</v>
      </c>
      <c r="H495">
        <v>34375</v>
      </c>
      <c r="I495">
        <v>6875</v>
      </c>
      <c r="J495" t="s">
        <v>70</v>
      </c>
      <c r="K495">
        <v>5</v>
      </c>
      <c r="L495" t="s">
        <v>35</v>
      </c>
      <c r="M495" t="s">
        <v>36</v>
      </c>
    </row>
    <row r="496" spans="1:13">
      <c r="A496" t="s">
        <v>256</v>
      </c>
      <c r="B496" t="s">
        <v>160</v>
      </c>
      <c r="C496" t="s">
        <v>67</v>
      </c>
      <c r="D496" t="s">
        <v>1247</v>
      </c>
      <c r="E496">
        <v>1</v>
      </c>
      <c r="F496" t="s">
        <v>1248</v>
      </c>
      <c r="G496" s="10">
        <v>45085</v>
      </c>
      <c r="H496">
        <v>28750</v>
      </c>
      <c r="I496">
        <v>3750</v>
      </c>
      <c r="J496" t="s">
        <v>193</v>
      </c>
      <c r="K496">
        <v>6</v>
      </c>
      <c r="L496" t="s">
        <v>35</v>
      </c>
      <c r="M496" t="s">
        <v>27</v>
      </c>
    </row>
    <row r="497" spans="1:13">
      <c r="A497" t="s">
        <v>256</v>
      </c>
      <c r="B497" t="s">
        <v>160</v>
      </c>
      <c r="C497" t="s">
        <v>67</v>
      </c>
      <c r="D497" t="s">
        <v>1249</v>
      </c>
      <c r="E497">
        <v>2</v>
      </c>
      <c r="F497" t="s">
        <v>1250</v>
      </c>
      <c r="G497" s="10">
        <v>45083</v>
      </c>
      <c r="H497">
        <v>17400</v>
      </c>
      <c r="I497">
        <v>2400</v>
      </c>
      <c r="J497" t="s">
        <v>193</v>
      </c>
      <c r="K497">
        <v>5</v>
      </c>
      <c r="L497" t="s">
        <v>35</v>
      </c>
      <c r="M497" t="s">
        <v>27</v>
      </c>
    </row>
    <row r="498" spans="1:13">
      <c r="A498" t="s">
        <v>915</v>
      </c>
      <c r="B498" t="s">
        <v>916</v>
      </c>
      <c r="C498" t="s">
        <v>741</v>
      </c>
      <c r="D498" t="s">
        <v>1251</v>
      </c>
      <c r="E498">
        <v>1</v>
      </c>
      <c r="F498" t="s">
        <v>1252</v>
      </c>
      <c r="G498" s="10">
        <v>45108</v>
      </c>
      <c r="H498">
        <v>38377.5</v>
      </c>
      <c r="I498">
        <v>13377.5</v>
      </c>
      <c r="J498" t="s">
        <v>250</v>
      </c>
      <c r="K498">
        <v>6</v>
      </c>
      <c r="L498" t="s">
        <v>24</v>
      </c>
      <c r="M498" t="s">
        <v>29</v>
      </c>
    </row>
    <row r="499" spans="1:13">
      <c r="A499" t="s">
        <v>503</v>
      </c>
      <c r="B499" t="s">
        <v>41</v>
      </c>
      <c r="C499" t="s">
        <v>503</v>
      </c>
      <c r="D499" t="s">
        <v>1253</v>
      </c>
      <c r="E499">
        <v>1</v>
      </c>
      <c r="F499" t="s">
        <v>1254</v>
      </c>
      <c r="G499" s="10">
        <v>45108</v>
      </c>
      <c r="H499">
        <v>38378</v>
      </c>
      <c r="I499">
        <v>13378</v>
      </c>
      <c r="J499" t="s">
        <v>250</v>
      </c>
      <c r="K499">
        <v>5</v>
      </c>
      <c r="L499" t="s">
        <v>24</v>
      </c>
      <c r="M499" t="s">
        <v>29</v>
      </c>
    </row>
    <row r="500" spans="1:13">
      <c r="A500" t="s">
        <v>438</v>
      </c>
      <c r="B500" t="s">
        <v>43</v>
      </c>
      <c r="C500" t="s">
        <v>94</v>
      </c>
      <c r="D500" t="s">
        <v>1255</v>
      </c>
      <c r="E500">
        <v>1</v>
      </c>
      <c r="F500" t="s">
        <v>1256</v>
      </c>
      <c r="G500" s="10">
        <v>45108</v>
      </c>
      <c r="H500">
        <v>38377.5</v>
      </c>
      <c r="I500">
        <v>13377.5</v>
      </c>
      <c r="J500" t="s">
        <v>250</v>
      </c>
      <c r="K500">
        <v>6</v>
      </c>
      <c r="L500" t="s">
        <v>24</v>
      </c>
      <c r="M500" t="s">
        <v>29</v>
      </c>
    </row>
    <row r="501" spans="1:13">
      <c r="A501" t="s">
        <v>628</v>
      </c>
      <c r="B501" t="s">
        <v>66</v>
      </c>
      <c r="C501" t="s">
        <v>67</v>
      </c>
      <c r="D501" t="s">
        <v>1257</v>
      </c>
      <c r="E501">
        <v>6</v>
      </c>
      <c r="F501" t="s">
        <v>1258</v>
      </c>
      <c r="G501" s="10">
        <v>45083</v>
      </c>
      <c r="H501">
        <v>34375</v>
      </c>
      <c r="I501">
        <v>6875</v>
      </c>
      <c r="J501" t="s">
        <v>70</v>
      </c>
      <c r="K501">
        <v>6</v>
      </c>
      <c r="L501" t="s">
        <v>35</v>
      </c>
      <c r="M501" t="s">
        <v>36</v>
      </c>
    </row>
    <row r="502" spans="1:13">
      <c r="A502" t="s">
        <v>251</v>
      </c>
      <c r="B502" t="s">
        <v>160</v>
      </c>
      <c r="C502" t="s">
        <v>67</v>
      </c>
      <c r="D502" t="s">
        <v>1259</v>
      </c>
      <c r="E502">
        <v>2</v>
      </c>
      <c r="F502" t="s">
        <v>1260</v>
      </c>
      <c r="G502" s="10">
        <v>45083</v>
      </c>
      <c r="H502">
        <v>17400</v>
      </c>
      <c r="I502">
        <v>2400</v>
      </c>
      <c r="J502" t="s">
        <v>193</v>
      </c>
      <c r="K502">
        <v>5</v>
      </c>
      <c r="L502" t="s">
        <v>35</v>
      </c>
      <c r="M502" t="s">
        <v>27</v>
      </c>
    </row>
    <row r="503" spans="1:13">
      <c r="A503" t="s">
        <v>628</v>
      </c>
      <c r="B503" t="s">
        <v>66</v>
      </c>
      <c r="C503" t="s">
        <v>67</v>
      </c>
      <c r="D503" t="s">
        <v>1261</v>
      </c>
      <c r="E503">
        <v>6</v>
      </c>
      <c r="F503" t="s">
        <v>1262</v>
      </c>
      <c r="G503" s="10">
        <v>45083</v>
      </c>
      <c r="H503">
        <v>34375</v>
      </c>
      <c r="I503">
        <v>6875</v>
      </c>
      <c r="J503" t="s">
        <v>70</v>
      </c>
      <c r="K503">
        <v>5</v>
      </c>
      <c r="L503" t="s">
        <v>35</v>
      </c>
      <c r="M503" t="s">
        <v>36</v>
      </c>
    </row>
    <row r="504" spans="1:13">
      <c r="A504" t="s">
        <v>794</v>
      </c>
      <c r="B504" t="s">
        <v>118</v>
      </c>
      <c r="C504" t="s">
        <v>98</v>
      </c>
      <c r="D504" t="s">
        <v>1263</v>
      </c>
      <c r="E504">
        <v>4</v>
      </c>
      <c r="F504" t="s">
        <v>1264</v>
      </c>
      <c r="G504" s="10">
        <v>45084</v>
      </c>
      <c r="H504">
        <v>123152.71</v>
      </c>
      <c r="I504">
        <v>31486.71</v>
      </c>
      <c r="J504" t="s">
        <v>121</v>
      </c>
      <c r="K504">
        <v>6</v>
      </c>
      <c r="L504" t="s">
        <v>24</v>
      </c>
      <c r="M504" t="s">
        <v>30</v>
      </c>
    </row>
    <row r="505" spans="1:13">
      <c r="A505" t="s">
        <v>676</v>
      </c>
      <c r="B505" t="s">
        <v>28</v>
      </c>
      <c r="C505" t="s">
        <v>238</v>
      </c>
      <c r="D505" t="s">
        <v>1265</v>
      </c>
      <c r="E505">
        <v>2</v>
      </c>
      <c r="F505" t="s">
        <v>1266</v>
      </c>
      <c r="G505" s="10">
        <v>45124</v>
      </c>
      <c r="H505">
        <v>104200</v>
      </c>
      <c r="I505">
        <v>4200</v>
      </c>
      <c r="J505" t="s">
        <v>85</v>
      </c>
      <c r="K505">
        <v>5</v>
      </c>
      <c r="L505" t="s">
        <v>24</v>
      </c>
      <c r="M505" t="s">
        <v>25</v>
      </c>
    </row>
    <row r="506" spans="1:13">
      <c r="A506" t="s">
        <v>82</v>
      </c>
      <c r="B506" t="s">
        <v>28</v>
      </c>
      <c r="C506" t="s">
        <v>238</v>
      </c>
      <c r="D506" t="s">
        <v>628</v>
      </c>
      <c r="E506">
        <v>2</v>
      </c>
      <c r="F506" t="s">
        <v>1267</v>
      </c>
      <c r="G506" s="10">
        <v>45173</v>
      </c>
      <c r="H506">
        <v>69467</v>
      </c>
      <c r="I506">
        <v>2801</v>
      </c>
      <c r="J506" t="s">
        <v>85</v>
      </c>
      <c r="K506">
        <v>5</v>
      </c>
      <c r="L506" t="s">
        <v>24</v>
      </c>
      <c r="M506" t="s">
        <v>25</v>
      </c>
    </row>
    <row r="507" spans="1:13">
      <c r="A507" t="s">
        <v>175</v>
      </c>
      <c r="B507" t="s">
        <v>66</v>
      </c>
      <c r="C507" t="s">
        <v>67</v>
      </c>
      <c r="D507" t="s">
        <v>1268</v>
      </c>
      <c r="E507">
        <v>6</v>
      </c>
      <c r="F507" t="s">
        <v>1269</v>
      </c>
      <c r="G507" s="10">
        <v>45083</v>
      </c>
      <c r="H507">
        <v>34375</v>
      </c>
      <c r="I507">
        <v>6875</v>
      </c>
      <c r="J507" t="s">
        <v>70</v>
      </c>
      <c r="K507">
        <v>5</v>
      </c>
      <c r="L507" t="s">
        <v>35</v>
      </c>
      <c r="M507" t="s">
        <v>36</v>
      </c>
    </row>
    <row r="508" spans="1:13">
      <c r="A508" t="s">
        <v>170</v>
      </c>
      <c r="B508" t="s">
        <v>66</v>
      </c>
      <c r="C508" t="s">
        <v>67</v>
      </c>
      <c r="D508" t="s">
        <v>1270</v>
      </c>
      <c r="E508">
        <v>6</v>
      </c>
      <c r="F508" t="s">
        <v>1271</v>
      </c>
      <c r="G508" s="10">
        <v>45083</v>
      </c>
      <c r="H508">
        <v>34375</v>
      </c>
      <c r="I508">
        <v>6875</v>
      </c>
      <c r="J508" t="s">
        <v>70</v>
      </c>
      <c r="K508">
        <v>6</v>
      </c>
      <c r="L508" t="s">
        <v>35</v>
      </c>
      <c r="M508" t="s">
        <v>36</v>
      </c>
    </row>
    <row r="509" spans="1:13">
      <c r="A509" t="s">
        <v>170</v>
      </c>
      <c r="B509" t="s">
        <v>66</v>
      </c>
      <c r="C509" t="s">
        <v>67</v>
      </c>
      <c r="D509" t="s">
        <v>1272</v>
      </c>
      <c r="E509">
        <v>6</v>
      </c>
      <c r="F509" t="s">
        <v>1273</v>
      </c>
      <c r="G509" s="10">
        <v>45083</v>
      </c>
      <c r="H509">
        <v>34375</v>
      </c>
      <c r="I509">
        <v>6875</v>
      </c>
      <c r="J509" t="s">
        <v>70</v>
      </c>
      <c r="K509">
        <v>6</v>
      </c>
      <c r="L509" t="s">
        <v>35</v>
      </c>
      <c r="M509" t="s">
        <v>36</v>
      </c>
    </row>
    <row r="510" spans="1:13">
      <c r="A510" t="s">
        <v>175</v>
      </c>
      <c r="B510" t="s">
        <v>66</v>
      </c>
      <c r="C510" t="s">
        <v>67</v>
      </c>
      <c r="D510" t="s">
        <v>1274</v>
      </c>
      <c r="E510">
        <v>6</v>
      </c>
      <c r="F510" t="s">
        <v>1275</v>
      </c>
      <c r="G510" s="10">
        <v>45083</v>
      </c>
      <c r="H510">
        <v>34375</v>
      </c>
      <c r="I510">
        <v>6875</v>
      </c>
      <c r="J510" t="s">
        <v>70</v>
      </c>
      <c r="K510">
        <v>5</v>
      </c>
      <c r="L510" t="s">
        <v>35</v>
      </c>
      <c r="M510" t="s">
        <v>36</v>
      </c>
    </row>
    <row r="511" spans="1:13">
      <c r="A511" t="s">
        <v>915</v>
      </c>
      <c r="B511" t="s">
        <v>916</v>
      </c>
      <c r="C511" t="s">
        <v>741</v>
      </c>
      <c r="D511" t="s">
        <v>1276</v>
      </c>
      <c r="E511">
        <v>1</v>
      </c>
      <c r="F511" t="s">
        <v>1277</v>
      </c>
      <c r="G511" s="10">
        <v>45108</v>
      </c>
      <c r="H511">
        <v>38377.5</v>
      </c>
      <c r="I511">
        <v>13377.5</v>
      </c>
      <c r="J511" t="s">
        <v>250</v>
      </c>
      <c r="K511">
        <v>6</v>
      </c>
      <c r="L511" t="s">
        <v>24</v>
      </c>
      <c r="M511" t="s">
        <v>29</v>
      </c>
    </row>
    <row r="512" spans="1:13">
      <c r="A512" t="s">
        <v>170</v>
      </c>
      <c r="B512" t="s">
        <v>66</v>
      </c>
      <c r="C512" t="s">
        <v>67</v>
      </c>
      <c r="D512" t="s">
        <v>1278</v>
      </c>
      <c r="E512">
        <v>6</v>
      </c>
      <c r="F512" t="s">
        <v>1279</v>
      </c>
      <c r="G512" s="10">
        <v>45083</v>
      </c>
      <c r="H512">
        <v>34375</v>
      </c>
      <c r="I512">
        <v>6875</v>
      </c>
      <c r="J512" t="s">
        <v>70</v>
      </c>
      <c r="K512">
        <v>5</v>
      </c>
      <c r="L512" t="s">
        <v>35</v>
      </c>
      <c r="M512" t="s">
        <v>36</v>
      </c>
    </row>
    <row r="513" spans="1:13">
      <c r="A513" t="s">
        <v>909</v>
      </c>
      <c r="B513" t="s">
        <v>910</v>
      </c>
      <c r="C513" t="s">
        <v>741</v>
      </c>
      <c r="D513" t="s">
        <v>1280</v>
      </c>
      <c r="E513">
        <v>1</v>
      </c>
      <c r="F513" t="s">
        <v>1281</v>
      </c>
      <c r="G513" s="10">
        <v>45108</v>
      </c>
      <c r="H513">
        <v>38377.5</v>
      </c>
      <c r="I513">
        <v>13377.5</v>
      </c>
      <c r="J513" t="s">
        <v>250</v>
      </c>
      <c r="K513">
        <v>6</v>
      </c>
      <c r="L513" t="s">
        <v>24</v>
      </c>
      <c r="M513" t="s">
        <v>29</v>
      </c>
    </row>
    <row r="514" spans="1:13">
      <c r="A514" t="s">
        <v>909</v>
      </c>
      <c r="B514" t="s">
        <v>910</v>
      </c>
      <c r="C514" t="s">
        <v>741</v>
      </c>
      <c r="D514" t="s">
        <v>1282</v>
      </c>
      <c r="E514">
        <v>1</v>
      </c>
      <c r="F514" t="s">
        <v>1283</v>
      </c>
      <c r="G514" s="10">
        <v>45108</v>
      </c>
      <c r="H514">
        <v>38377.5</v>
      </c>
      <c r="I514">
        <v>13377.5</v>
      </c>
      <c r="J514" t="s">
        <v>250</v>
      </c>
      <c r="K514">
        <v>6</v>
      </c>
      <c r="L514" t="s">
        <v>24</v>
      </c>
      <c r="M514" t="s">
        <v>29</v>
      </c>
    </row>
    <row r="515" spans="1:13">
      <c r="A515" t="s">
        <v>194</v>
      </c>
      <c r="B515" t="s">
        <v>160</v>
      </c>
      <c r="C515" t="s">
        <v>67</v>
      </c>
      <c r="D515" t="s">
        <v>1284</v>
      </c>
      <c r="E515">
        <v>2</v>
      </c>
      <c r="F515" t="s">
        <v>1285</v>
      </c>
      <c r="G515" s="10">
        <v>45096</v>
      </c>
      <c r="H515">
        <v>32500</v>
      </c>
      <c r="I515">
        <v>7500</v>
      </c>
      <c r="J515" t="s">
        <v>163</v>
      </c>
      <c r="K515">
        <v>6</v>
      </c>
      <c r="L515" t="s">
        <v>35</v>
      </c>
      <c r="M515" t="s">
        <v>27</v>
      </c>
    </row>
    <row r="516" spans="1:13">
      <c r="A516" t="s">
        <v>186</v>
      </c>
      <c r="B516" t="s">
        <v>179</v>
      </c>
      <c r="C516" t="s">
        <v>45</v>
      </c>
      <c r="D516" t="s">
        <v>1286</v>
      </c>
      <c r="E516">
        <v>2</v>
      </c>
      <c r="F516" t="s">
        <v>1287</v>
      </c>
      <c r="G516" s="10">
        <v>45086</v>
      </c>
      <c r="H516">
        <v>115000</v>
      </c>
      <c r="I516">
        <v>48334</v>
      </c>
      <c r="J516" t="s">
        <v>714</v>
      </c>
      <c r="K516">
        <v>5</v>
      </c>
      <c r="L516" t="s">
        <v>44</v>
      </c>
      <c r="M516" t="s">
        <v>45</v>
      </c>
    </row>
    <row r="517" spans="1:13">
      <c r="A517" t="s">
        <v>190</v>
      </c>
      <c r="B517" t="s">
        <v>160</v>
      </c>
      <c r="C517" t="s">
        <v>67</v>
      </c>
      <c r="D517" t="s">
        <v>1288</v>
      </c>
      <c r="E517">
        <v>2</v>
      </c>
      <c r="F517" t="s">
        <v>1289</v>
      </c>
      <c r="G517" s="10">
        <v>45084</v>
      </c>
      <c r="H517">
        <v>28750</v>
      </c>
      <c r="I517">
        <v>3750</v>
      </c>
      <c r="J517" t="s">
        <v>193</v>
      </c>
      <c r="K517">
        <v>6</v>
      </c>
      <c r="L517" t="s">
        <v>35</v>
      </c>
      <c r="M517" t="s">
        <v>27</v>
      </c>
    </row>
    <row r="518" spans="1:13">
      <c r="A518" t="s">
        <v>190</v>
      </c>
      <c r="B518" t="s">
        <v>160</v>
      </c>
      <c r="C518" t="s">
        <v>67</v>
      </c>
      <c r="D518" t="s">
        <v>1290</v>
      </c>
      <c r="E518">
        <v>2</v>
      </c>
      <c r="F518" t="s">
        <v>1291</v>
      </c>
      <c r="G518" s="10">
        <v>45085</v>
      </c>
      <c r="H518">
        <v>28750</v>
      </c>
      <c r="I518">
        <v>3750</v>
      </c>
      <c r="J518" t="s">
        <v>163</v>
      </c>
      <c r="K518">
        <v>6</v>
      </c>
      <c r="L518" t="s">
        <v>35</v>
      </c>
      <c r="M518" t="s">
        <v>27</v>
      </c>
    </row>
    <row r="519" spans="1:13">
      <c r="A519" t="s">
        <v>122</v>
      </c>
      <c r="B519" t="s">
        <v>123</v>
      </c>
      <c r="C519" t="s">
        <v>28</v>
      </c>
      <c r="D519" t="s">
        <v>1292</v>
      </c>
      <c r="E519">
        <v>2</v>
      </c>
      <c r="F519" t="s">
        <v>1293</v>
      </c>
      <c r="G519" s="10">
        <v>45084</v>
      </c>
      <c r="H519">
        <v>115584</v>
      </c>
      <c r="I519">
        <v>30584</v>
      </c>
      <c r="J519" t="s">
        <v>126</v>
      </c>
      <c r="K519">
        <v>6</v>
      </c>
      <c r="L519" t="s">
        <v>24</v>
      </c>
      <c r="M519" t="s">
        <v>26</v>
      </c>
    </row>
    <row r="520" spans="1:13">
      <c r="A520" t="s">
        <v>76</v>
      </c>
      <c r="B520" t="s">
        <v>72</v>
      </c>
      <c r="C520" t="s">
        <v>67</v>
      </c>
      <c r="D520" t="s">
        <v>1294</v>
      </c>
      <c r="E520">
        <v>1</v>
      </c>
      <c r="F520" t="s">
        <v>1295</v>
      </c>
      <c r="G520" s="10">
        <v>45108</v>
      </c>
      <c r="H520">
        <v>38377.5</v>
      </c>
      <c r="I520">
        <v>13377.5</v>
      </c>
      <c r="J520" t="s">
        <v>250</v>
      </c>
      <c r="K520">
        <v>6</v>
      </c>
      <c r="L520" t="s">
        <v>24</v>
      </c>
      <c r="M520" t="s">
        <v>29</v>
      </c>
    </row>
    <row r="521" spans="1:13">
      <c r="A521" t="s">
        <v>1296</v>
      </c>
      <c r="B521" t="s">
        <v>224</v>
      </c>
      <c r="C521" t="s">
        <v>94</v>
      </c>
      <c r="D521" t="s">
        <v>1297</v>
      </c>
      <c r="E521">
        <v>7</v>
      </c>
      <c r="F521" t="s">
        <v>1298</v>
      </c>
      <c r="G521" s="10">
        <v>45089</v>
      </c>
      <c r="H521">
        <v>51926.05</v>
      </c>
      <c r="I521">
        <v>2236.0500000000002</v>
      </c>
      <c r="J521" t="s">
        <v>313</v>
      </c>
      <c r="K521">
        <v>5</v>
      </c>
      <c r="L521" t="s">
        <v>41</v>
      </c>
      <c r="M521" t="s">
        <v>42</v>
      </c>
    </row>
    <row r="522" spans="1:13">
      <c r="A522" t="s">
        <v>361</v>
      </c>
      <c r="B522" t="s">
        <v>72</v>
      </c>
      <c r="C522" t="s">
        <v>67</v>
      </c>
      <c r="D522" t="s">
        <v>1299</v>
      </c>
      <c r="E522">
        <v>1</v>
      </c>
      <c r="F522" t="s">
        <v>1300</v>
      </c>
      <c r="G522" s="10">
        <v>45108</v>
      </c>
      <c r="H522">
        <v>38377.5</v>
      </c>
      <c r="I522">
        <v>13377.5</v>
      </c>
      <c r="J522" t="s">
        <v>250</v>
      </c>
      <c r="K522">
        <v>6</v>
      </c>
      <c r="L522" t="s">
        <v>24</v>
      </c>
      <c r="M522" t="s">
        <v>29</v>
      </c>
    </row>
    <row r="523" spans="1:13">
      <c r="A523" t="s">
        <v>361</v>
      </c>
      <c r="B523" t="s">
        <v>72</v>
      </c>
      <c r="C523" t="s">
        <v>67</v>
      </c>
      <c r="D523" t="s">
        <v>1301</v>
      </c>
      <c r="E523">
        <v>1</v>
      </c>
      <c r="F523" t="s">
        <v>1302</v>
      </c>
      <c r="G523" s="10">
        <v>45108</v>
      </c>
      <c r="H523">
        <v>0</v>
      </c>
      <c r="I523">
        <v>-25000</v>
      </c>
      <c r="J523" t="s">
        <v>250</v>
      </c>
      <c r="K523">
        <v>6</v>
      </c>
      <c r="L523" t="s">
        <v>24</v>
      </c>
      <c r="M523" t="s">
        <v>29</v>
      </c>
    </row>
    <row r="524" spans="1:13">
      <c r="A524" t="s">
        <v>1303</v>
      </c>
      <c r="B524" t="s">
        <v>118</v>
      </c>
      <c r="C524" t="s">
        <v>98</v>
      </c>
      <c r="D524" t="s">
        <v>1304</v>
      </c>
      <c r="E524">
        <v>2</v>
      </c>
      <c r="F524" t="s">
        <v>1305</v>
      </c>
      <c r="G524" s="10">
        <v>45348</v>
      </c>
      <c r="H524">
        <v>110361</v>
      </c>
      <c r="I524">
        <v>10361</v>
      </c>
      <c r="J524" t="s">
        <v>375</v>
      </c>
      <c r="K524">
        <v>5</v>
      </c>
      <c r="L524" t="s">
        <v>24</v>
      </c>
      <c r="M524" s="5" t="s">
        <v>28</v>
      </c>
    </row>
    <row r="525" spans="1:13">
      <c r="A525" t="s">
        <v>256</v>
      </c>
      <c r="B525" t="s">
        <v>160</v>
      </c>
      <c r="C525" t="s">
        <v>67</v>
      </c>
      <c r="D525" t="s">
        <v>1306</v>
      </c>
      <c r="E525">
        <v>2</v>
      </c>
      <c r="F525" t="s">
        <v>1307</v>
      </c>
      <c r="G525" s="10">
        <v>45091</v>
      </c>
      <c r="H525">
        <v>28750</v>
      </c>
      <c r="I525">
        <v>3750</v>
      </c>
      <c r="J525" t="s">
        <v>193</v>
      </c>
      <c r="K525">
        <v>5</v>
      </c>
      <c r="L525" t="s">
        <v>35</v>
      </c>
      <c r="M525" t="s">
        <v>27</v>
      </c>
    </row>
    <row r="526" spans="1:13">
      <c r="A526" t="s">
        <v>280</v>
      </c>
      <c r="B526" t="s">
        <v>160</v>
      </c>
      <c r="C526" t="s">
        <v>67</v>
      </c>
      <c r="D526" t="s">
        <v>1308</v>
      </c>
      <c r="E526">
        <v>2</v>
      </c>
      <c r="F526" t="s">
        <v>1309</v>
      </c>
      <c r="G526" s="10">
        <v>45103</v>
      </c>
      <c r="H526">
        <v>48000</v>
      </c>
      <c r="I526">
        <v>8000</v>
      </c>
      <c r="J526" t="s">
        <v>163</v>
      </c>
      <c r="K526">
        <v>6</v>
      </c>
      <c r="L526" t="s">
        <v>35</v>
      </c>
      <c r="M526" t="s">
        <v>27</v>
      </c>
    </row>
    <row r="527" spans="1:13">
      <c r="A527" t="s">
        <v>159</v>
      </c>
      <c r="B527" t="s">
        <v>160</v>
      </c>
      <c r="C527" t="s">
        <v>67</v>
      </c>
      <c r="D527" t="s">
        <v>1310</v>
      </c>
      <c r="E527">
        <v>2</v>
      </c>
      <c r="F527" t="s">
        <v>1311</v>
      </c>
      <c r="G527" s="10">
        <v>45086</v>
      </c>
      <c r="H527">
        <v>38870</v>
      </c>
      <c r="I527">
        <v>5070</v>
      </c>
      <c r="J527" t="s">
        <v>193</v>
      </c>
      <c r="K527">
        <v>5</v>
      </c>
      <c r="L527" t="s">
        <v>35</v>
      </c>
      <c r="M527" t="s">
        <v>27</v>
      </c>
    </row>
    <row r="528" spans="1:13">
      <c r="A528" t="s">
        <v>190</v>
      </c>
      <c r="B528" t="s">
        <v>160</v>
      </c>
      <c r="C528" t="s">
        <v>67</v>
      </c>
      <c r="D528" t="s">
        <v>1312</v>
      </c>
      <c r="E528">
        <v>2</v>
      </c>
      <c r="F528" t="s">
        <v>1313</v>
      </c>
      <c r="G528" s="10">
        <v>45096</v>
      </c>
      <c r="H528">
        <v>48000</v>
      </c>
      <c r="I528">
        <v>8000</v>
      </c>
      <c r="J528" t="s">
        <v>163</v>
      </c>
      <c r="K528">
        <v>6</v>
      </c>
      <c r="L528" t="s">
        <v>35</v>
      </c>
      <c r="M528" t="s">
        <v>27</v>
      </c>
    </row>
    <row r="529" spans="1:13">
      <c r="A529" t="s">
        <v>159</v>
      </c>
      <c r="B529" t="s">
        <v>160</v>
      </c>
      <c r="C529" t="s">
        <v>67</v>
      </c>
      <c r="D529" t="s">
        <v>1314</v>
      </c>
      <c r="E529">
        <v>2</v>
      </c>
      <c r="F529" t="s">
        <v>1315</v>
      </c>
      <c r="G529" s="10">
        <v>45103</v>
      </c>
      <c r="H529">
        <v>48000</v>
      </c>
      <c r="I529">
        <v>8000</v>
      </c>
      <c r="J529" t="s">
        <v>163</v>
      </c>
      <c r="K529">
        <v>6</v>
      </c>
      <c r="L529" t="s">
        <v>35</v>
      </c>
      <c r="M529" t="s">
        <v>27</v>
      </c>
    </row>
    <row r="530" spans="1:13">
      <c r="A530" t="s">
        <v>223</v>
      </c>
      <c r="B530" t="s">
        <v>224</v>
      </c>
      <c r="C530" t="s">
        <v>94</v>
      </c>
      <c r="D530" t="s">
        <v>1316</v>
      </c>
      <c r="E530">
        <v>2</v>
      </c>
      <c r="F530" t="s">
        <v>1317</v>
      </c>
      <c r="G530" s="10">
        <v>45096</v>
      </c>
      <c r="H530">
        <v>30000</v>
      </c>
      <c r="I530">
        <v>5000</v>
      </c>
      <c r="J530" t="s">
        <v>227</v>
      </c>
      <c r="K530">
        <v>6</v>
      </c>
      <c r="L530" t="s">
        <v>41</v>
      </c>
      <c r="M530" t="s">
        <v>42</v>
      </c>
    </row>
    <row r="531" spans="1:13">
      <c r="A531" t="s">
        <v>915</v>
      </c>
      <c r="B531" t="s">
        <v>916</v>
      </c>
      <c r="C531" t="s">
        <v>741</v>
      </c>
      <c r="D531" t="s">
        <v>1318</v>
      </c>
      <c r="E531">
        <v>1</v>
      </c>
      <c r="F531" t="s">
        <v>1319</v>
      </c>
      <c r="G531" s="10">
        <v>45108</v>
      </c>
      <c r="H531">
        <v>38377.5</v>
      </c>
      <c r="I531">
        <v>13377.5</v>
      </c>
      <c r="J531" t="s">
        <v>250</v>
      </c>
      <c r="K531">
        <v>6</v>
      </c>
      <c r="L531" t="s">
        <v>24</v>
      </c>
      <c r="M531" t="s">
        <v>29</v>
      </c>
    </row>
    <row r="532" spans="1:13">
      <c r="A532" t="s">
        <v>208</v>
      </c>
      <c r="B532" t="s">
        <v>93</v>
      </c>
      <c r="C532" t="s">
        <v>94</v>
      </c>
      <c r="D532" t="s">
        <v>1320</v>
      </c>
      <c r="E532">
        <v>2</v>
      </c>
      <c r="F532" t="s">
        <v>1321</v>
      </c>
      <c r="G532" s="10">
        <v>45089</v>
      </c>
      <c r="H532">
        <v>144900</v>
      </c>
      <c r="I532">
        <v>32400</v>
      </c>
      <c r="J532" t="s">
        <v>97</v>
      </c>
      <c r="K532">
        <v>6</v>
      </c>
      <c r="L532" t="s">
        <v>41</v>
      </c>
      <c r="M532" t="s">
        <v>42</v>
      </c>
    </row>
    <row r="533" spans="1:13">
      <c r="A533" t="s">
        <v>361</v>
      </c>
      <c r="B533" t="s">
        <v>72</v>
      </c>
      <c r="C533" t="s">
        <v>67</v>
      </c>
      <c r="D533" t="s">
        <v>1322</v>
      </c>
      <c r="E533">
        <v>1</v>
      </c>
      <c r="F533" t="s">
        <v>1323</v>
      </c>
      <c r="G533" s="10">
        <v>45083</v>
      </c>
      <c r="H533">
        <v>42483</v>
      </c>
      <c r="I533">
        <v>7483</v>
      </c>
      <c r="J533" t="s">
        <v>75</v>
      </c>
      <c r="K533">
        <v>6</v>
      </c>
      <c r="L533" t="s">
        <v>35</v>
      </c>
      <c r="M533" t="s">
        <v>29</v>
      </c>
    </row>
    <row r="534" spans="1:13">
      <c r="A534" t="s">
        <v>82</v>
      </c>
      <c r="B534" t="s">
        <v>28</v>
      </c>
      <c r="C534" t="s">
        <v>238</v>
      </c>
      <c r="D534" t="s">
        <v>1324</v>
      </c>
      <c r="E534">
        <v>2</v>
      </c>
      <c r="F534" t="s">
        <v>1325</v>
      </c>
      <c r="G534" s="10">
        <v>45124</v>
      </c>
      <c r="H534">
        <v>121567</v>
      </c>
      <c r="I534">
        <v>4901</v>
      </c>
      <c r="J534" t="s">
        <v>85</v>
      </c>
      <c r="K534">
        <v>5</v>
      </c>
      <c r="L534" t="s">
        <v>24</v>
      </c>
      <c r="M534" t="s">
        <v>25</v>
      </c>
    </row>
    <row r="535" spans="1:13">
      <c r="A535" t="s">
        <v>361</v>
      </c>
      <c r="B535" t="s">
        <v>72</v>
      </c>
      <c r="C535" t="s">
        <v>67</v>
      </c>
      <c r="D535" t="s">
        <v>1326</v>
      </c>
      <c r="E535">
        <v>1</v>
      </c>
      <c r="F535" t="s">
        <v>1327</v>
      </c>
      <c r="G535" s="10">
        <v>45108</v>
      </c>
      <c r="H535">
        <v>38377.5</v>
      </c>
      <c r="I535">
        <v>13377.5</v>
      </c>
      <c r="J535" t="s">
        <v>250</v>
      </c>
      <c r="K535">
        <v>6</v>
      </c>
      <c r="L535" t="s">
        <v>24</v>
      </c>
      <c r="M535" t="s">
        <v>29</v>
      </c>
    </row>
    <row r="536" spans="1:13">
      <c r="A536" t="s">
        <v>256</v>
      </c>
      <c r="B536" t="s">
        <v>160</v>
      </c>
      <c r="C536" t="s">
        <v>67</v>
      </c>
      <c r="D536" t="s">
        <v>1328</v>
      </c>
      <c r="E536">
        <v>1</v>
      </c>
      <c r="F536" t="s">
        <v>1329</v>
      </c>
      <c r="G536" s="10">
        <v>45108</v>
      </c>
      <c r="H536">
        <v>38377.5</v>
      </c>
      <c r="I536">
        <v>13377.5</v>
      </c>
      <c r="J536" t="s">
        <v>250</v>
      </c>
      <c r="K536">
        <v>6</v>
      </c>
      <c r="L536" t="s">
        <v>24</v>
      </c>
      <c r="M536" t="s">
        <v>29</v>
      </c>
    </row>
    <row r="537" spans="1:13">
      <c r="A537" t="s">
        <v>305</v>
      </c>
      <c r="B537" t="s">
        <v>118</v>
      </c>
      <c r="C537" t="s">
        <v>98</v>
      </c>
      <c r="D537" t="s">
        <v>1330</v>
      </c>
      <c r="E537">
        <v>4</v>
      </c>
      <c r="F537" t="s">
        <v>1331</v>
      </c>
      <c r="G537" s="10">
        <v>45089</v>
      </c>
      <c r="H537">
        <v>266009.84999999998</v>
      </c>
      <c r="I537">
        <v>32676.85</v>
      </c>
      <c r="J537" t="s">
        <v>121</v>
      </c>
      <c r="K537">
        <v>6</v>
      </c>
      <c r="L537" t="s">
        <v>24</v>
      </c>
      <c r="M537" t="s">
        <v>30</v>
      </c>
    </row>
    <row r="538" spans="1:13">
      <c r="A538" t="s">
        <v>256</v>
      </c>
      <c r="B538" t="s">
        <v>160</v>
      </c>
      <c r="C538" t="s">
        <v>67</v>
      </c>
      <c r="D538" t="s">
        <v>1332</v>
      </c>
      <c r="E538">
        <v>1</v>
      </c>
      <c r="F538" t="s">
        <v>1333</v>
      </c>
      <c r="G538" s="10">
        <v>45108</v>
      </c>
      <c r="H538">
        <v>38378</v>
      </c>
      <c r="I538">
        <v>13378</v>
      </c>
      <c r="J538" t="s">
        <v>250</v>
      </c>
      <c r="K538">
        <v>6</v>
      </c>
      <c r="L538" t="s">
        <v>24</v>
      </c>
      <c r="M538" t="s">
        <v>29</v>
      </c>
    </row>
    <row r="539" spans="1:13">
      <c r="A539" t="s">
        <v>522</v>
      </c>
      <c r="B539" t="s">
        <v>72</v>
      </c>
      <c r="C539" t="s">
        <v>67</v>
      </c>
      <c r="D539" t="s">
        <v>1334</v>
      </c>
      <c r="E539">
        <v>1</v>
      </c>
      <c r="F539" t="s">
        <v>1335</v>
      </c>
      <c r="G539" s="10">
        <v>45108</v>
      </c>
      <c r="H539">
        <v>0</v>
      </c>
      <c r="I539">
        <v>-25000</v>
      </c>
      <c r="J539" t="s">
        <v>250</v>
      </c>
      <c r="K539">
        <v>6</v>
      </c>
      <c r="L539" t="s">
        <v>24</v>
      </c>
      <c r="M539" t="s">
        <v>29</v>
      </c>
    </row>
    <row r="540" spans="1:13">
      <c r="A540" t="s">
        <v>854</v>
      </c>
      <c r="B540" t="s">
        <v>93</v>
      </c>
      <c r="C540" t="s">
        <v>94</v>
      </c>
      <c r="D540" t="s">
        <v>1336</v>
      </c>
      <c r="E540">
        <v>2</v>
      </c>
      <c r="F540" t="s">
        <v>1337</v>
      </c>
      <c r="G540" s="10">
        <v>45092</v>
      </c>
      <c r="H540">
        <v>203700</v>
      </c>
      <c r="I540">
        <v>16200</v>
      </c>
      <c r="J540" t="s">
        <v>97</v>
      </c>
      <c r="K540">
        <v>6</v>
      </c>
      <c r="L540" t="s">
        <v>41</v>
      </c>
      <c r="M540" t="s">
        <v>42</v>
      </c>
    </row>
    <row r="541" spans="1:13">
      <c r="A541" t="s">
        <v>1029</v>
      </c>
      <c r="B541" t="s">
        <v>1030</v>
      </c>
      <c r="C541" t="s">
        <v>94</v>
      </c>
      <c r="D541" t="s">
        <v>1338</v>
      </c>
      <c r="E541">
        <v>7</v>
      </c>
      <c r="F541" t="s">
        <v>1339</v>
      </c>
      <c r="G541" s="10">
        <v>45117</v>
      </c>
      <c r="H541">
        <v>75281.8</v>
      </c>
      <c r="I541">
        <v>3241.8</v>
      </c>
      <c r="J541" t="s">
        <v>313</v>
      </c>
      <c r="K541">
        <v>5</v>
      </c>
      <c r="L541" t="s">
        <v>41</v>
      </c>
      <c r="M541" t="s">
        <v>42</v>
      </c>
    </row>
    <row r="542" spans="1:13">
      <c r="A542" t="s">
        <v>275</v>
      </c>
      <c r="B542" t="s">
        <v>160</v>
      </c>
      <c r="C542" t="s">
        <v>67</v>
      </c>
      <c r="D542" t="s">
        <v>1340</v>
      </c>
      <c r="E542">
        <v>2</v>
      </c>
      <c r="F542" t="s">
        <v>1341</v>
      </c>
      <c r="G542" s="10">
        <v>45117</v>
      </c>
      <c r="H542">
        <v>46560</v>
      </c>
      <c r="I542">
        <v>7760</v>
      </c>
      <c r="J542" t="s">
        <v>163</v>
      </c>
      <c r="K542">
        <v>6</v>
      </c>
      <c r="L542" t="s">
        <v>35</v>
      </c>
      <c r="M542" t="s">
        <v>27</v>
      </c>
    </row>
    <row r="543" spans="1:13">
      <c r="A543" t="s">
        <v>361</v>
      </c>
      <c r="B543" t="s">
        <v>72</v>
      </c>
      <c r="C543" t="s">
        <v>67</v>
      </c>
      <c r="D543" t="s">
        <v>1342</v>
      </c>
      <c r="E543">
        <v>1</v>
      </c>
      <c r="F543" t="s">
        <v>1343</v>
      </c>
      <c r="G543" s="10">
        <v>45108</v>
      </c>
      <c r="H543">
        <v>38377.5</v>
      </c>
      <c r="I543">
        <v>13377.5</v>
      </c>
      <c r="J543" t="s">
        <v>250</v>
      </c>
      <c r="K543">
        <v>6</v>
      </c>
      <c r="L543" t="s">
        <v>24</v>
      </c>
      <c r="M543" t="s">
        <v>29</v>
      </c>
    </row>
    <row r="544" spans="1:13">
      <c r="A544" t="s">
        <v>1344</v>
      </c>
      <c r="B544" t="s">
        <v>513</v>
      </c>
      <c r="C544" t="s">
        <v>1345</v>
      </c>
      <c r="D544" t="s">
        <v>882</v>
      </c>
      <c r="E544">
        <v>2</v>
      </c>
      <c r="F544" t="s">
        <v>1346</v>
      </c>
      <c r="G544" s="10">
        <v>45084</v>
      </c>
      <c r="H544">
        <v>126000</v>
      </c>
      <c r="I544">
        <v>42667</v>
      </c>
      <c r="J544" t="s">
        <v>884</v>
      </c>
      <c r="K544">
        <v>5</v>
      </c>
      <c r="L544" t="s">
        <v>44</v>
      </c>
      <c r="M544" t="s">
        <v>45</v>
      </c>
    </row>
    <row r="545" spans="1:13">
      <c r="A545" t="s">
        <v>1093</v>
      </c>
      <c r="B545" t="s">
        <v>98</v>
      </c>
      <c r="C545" t="s">
        <v>1093</v>
      </c>
      <c r="D545" t="s">
        <v>1347</v>
      </c>
      <c r="E545">
        <v>2</v>
      </c>
      <c r="F545" t="s">
        <v>1348</v>
      </c>
      <c r="G545" s="10">
        <v>45103</v>
      </c>
      <c r="H545">
        <v>310464</v>
      </c>
      <c r="I545">
        <v>227131</v>
      </c>
      <c r="J545" t="s">
        <v>878</v>
      </c>
      <c r="K545">
        <v>5</v>
      </c>
      <c r="L545" t="s">
        <v>44</v>
      </c>
      <c r="M545" t="s">
        <v>48</v>
      </c>
    </row>
    <row r="546" spans="1:13">
      <c r="A546" t="s">
        <v>642</v>
      </c>
      <c r="B546" t="s">
        <v>179</v>
      </c>
      <c r="C546" t="s">
        <v>45</v>
      </c>
      <c r="D546" t="s">
        <v>724</v>
      </c>
      <c r="E546">
        <v>2</v>
      </c>
      <c r="F546" t="s">
        <v>1349</v>
      </c>
      <c r="G546" s="10">
        <v>45084</v>
      </c>
      <c r="H546">
        <v>268800</v>
      </c>
      <c r="I546">
        <v>160467</v>
      </c>
      <c r="J546" t="s">
        <v>189</v>
      </c>
      <c r="K546">
        <v>6</v>
      </c>
      <c r="L546" t="s">
        <v>44</v>
      </c>
      <c r="M546" t="s">
        <v>45</v>
      </c>
    </row>
    <row r="547" spans="1:13">
      <c r="A547" t="s">
        <v>1350</v>
      </c>
      <c r="B547" t="s">
        <v>25</v>
      </c>
      <c r="C547" t="s">
        <v>42</v>
      </c>
      <c r="D547" t="s">
        <v>1351</v>
      </c>
      <c r="E547">
        <v>2</v>
      </c>
      <c r="F547" t="s">
        <v>1352</v>
      </c>
      <c r="G547" s="10">
        <v>45110</v>
      </c>
      <c r="H547">
        <v>38378</v>
      </c>
      <c r="I547">
        <v>13378</v>
      </c>
      <c r="J547" t="s">
        <v>441</v>
      </c>
      <c r="K547">
        <v>6</v>
      </c>
      <c r="L547" t="s">
        <v>24</v>
      </c>
      <c r="M547" t="s">
        <v>29</v>
      </c>
    </row>
    <row r="548" spans="1:13">
      <c r="A548" t="s">
        <v>111</v>
      </c>
      <c r="B548" t="s">
        <v>112</v>
      </c>
      <c r="C548" t="s">
        <v>113</v>
      </c>
      <c r="D548" t="s">
        <v>1353</v>
      </c>
      <c r="E548">
        <v>1</v>
      </c>
      <c r="F548" t="s">
        <v>1354</v>
      </c>
      <c r="G548" s="10">
        <v>45110</v>
      </c>
      <c r="H548">
        <v>38377.5</v>
      </c>
      <c r="I548">
        <v>13377.5</v>
      </c>
      <c r="J548" t="s">
        <v>441</v>
      </c>
      <c r="K548">
        <v>6</v>
      </c>
      <c r="L548" t="s">
        <v>24</v>
      </c>
      <c r="M548" t="s">
        <v>29</v>
      </c>
    </row>
    <row r="549" spans="1:13">
      <c r="A549" t="s">
        <v>1228</v>
      </c>
      <c r="B549" t="s">
        <v>224</v>
      </c>
      <c r="C549" t="s">
        <v>94</v>
      </c>
      <c r="D549" t="s">
        <v>1355</v>
      </c>
      <c r="E549">
        <v>2</v>
      </c>
      <c r="F549" t="s">
        <v>1356</v>
      </c>
      <c r="G549" s="10">
        <v>45114</v>
      </c>
      <c r="H549">
        <v>226800</v>
      </c>
      <c r="I549">
        <v>76800</v>
      </c>
      <c r="J549" t="s">
        <v>1357</v>
      </c>
      <c r="K549">
        <v>6</v>
      </c>
      <c r="L549" t="s">
        <v>41</v>
      </c>
      <c r="M549" t="s">
        <v>25</v>
      </c>
    </row>
    <row r="550" spans="1:13">
      <c r="A550" t="s">
        <v>915</v>
      </c>
      <c r="B550" t="s">
        <v>916</v>
      </c>
      <c r="C550" t="s">
        <v>741</v>
      </c>
      <c r="D550" t="s">
        <v>1358</v>
      </c>
      <c r="E550">
        <v>1</v>
      </c>
      <c r="F550" t="s">
        <v>1359</v>
      </c>
      <c r="G550" s="10">
        <v>45108</v>
      </c>
      <c r="H550">
        <v>38378</v>
      </c>
      <c r="I550">
        <v>13378</v>
      </c>
      <c r="J550" t="s">
        <v>250</v>
      </c>
      <c r="K550">
        <v>6</v>
      </c>
      <c r="L550" t="s">
        <v>24</v>
      </c>
      <c r="M550" t="s">
        <v>29</v>
      </c>
    </row>
    <row r="551" spans="1:13">
      <c r="A551" t="s">
        <v>915</v>
      </c>
      <c r="B551" t="s">
        <v>916</v>
      </c>
      <c r="C551" t="s">
        <v>741</v>
      </c>
      <c r="D551" t="s">
        <v>1360</v>
      </c>
      <c r="E551">
        <v>1</v>
      </c>
      <c r="F551" t="s">
        <v>1361</v>
      </c>
      <c r="G551" s="10">
        <v>45108</v>
      </c>
      <c r="H551">
        <v>38377.5</v>
      </c>
      <c r="I551">
        <v>13377.5</v>
      </c>
      <c r="J551" t="s">
        <v>250</v>
      </c>
      <c r="K551">
        <v>6</v>
      </c>
      <c r="L551" t="s">
        <v>24</v>
      </c>
      <c r="M551" t="s">
        <v>29</v>
      </c>
    </row>
    <row r="552" spans="1:13">
      <c r="A552" t="s">
        <v>480</v>
      </c>
      <c r="B552" t="s">
        <v>215</v>
      </c>
      <c r="C552" t="s">
        <v>94</v>
      </c>
      <c r="D552" t="s">
        <v>1362</v>
      </c>
      <c r="E552">
        <v>2</v>
      </c>
      <c r="F552" t="s">
        <v>1363</v>
      </c>
      <c r="G552" s="10">
        <v>45117</v>
      </c>
      <c r="H552">
        <v>127569</v>
      </c>
      <c r="I552">
        <v>27569</v>
      </c>
      <c r="J552" t="s">
        <v>1364</v>
      </c>
      <c r="K552">
        <v>6</v>
      </c>
      <c r="L552" t="s">
        <v>37</v>
      </c>
      <c r="M552" t="s">
        <v>25</v>
      </c>
    </row>
    <row r="553" spans="1:13">
      <c r="A553" t="s">
        <v>522</v>
      </c>
      <c r="B553" t="s">
        <v>72</v>
      </c>
      <c r="C553" t="s">
        <v>67</v>
      </c>
      <c r="D553" t="s">
        <v>1365</v>
      </c>
      <c r="E553">
        <v>1</v>
      </c>
      <c r="F553" t="s">
        <v>1366</v>
      </c>
      <c r="G553" s="10">
        <v>45108</v>
      </c>
      <c r="H553">
        <v>38377.5</v>
      </c>
      <c r="I553">
        <v>13377.5</v>
      </c>
      <c r="J553" t="s">
        <v>250</v>
      </c>
      <c r="K553">
        <v>6</v>
      </c>
      <c r="L553" t="s">
        <v>24</v>
      </c>
      <c r="M553" t="s">
        <v>29</v>
      </c>
    </row>
    <row r="554" spans="1:13">
      <c r="A554" t="s">
        <v>159</v>
      </c>
      <c r="B554" t="s">
        <v>160</v>
      </c>
      <c r="C554" t="s">
        <v>67</v>
      </c>
      <c r="D554" t="s">
        <v>1367</v>
      </c>
      <c r="E554">
        <v>2</v>
      </c>
      <c r="F554" t="s">
        <v>1368</v>
      </c>
      <c r="G554" s="10">
        <v>45091</v>
      </c>
      <c r="H554">
        <v>26450</v>
      </c>
      <c r="I554">
        <v>3450</v>
      </c>
      <c r="J554" t="s">
        <v>193</v>
      </c>
      <c r="K554">
        <v>6</v>
      </c>
      <c r="L554" t="s">
        <v>35</v>
      </c>
      <c r="M554" t="s">
        <v>27</v>
      </c>
    </row>
    <row r="555" spans="1:13">
      <c r="A555" t="s">
        <v>361</v>
      </c>
      <c r="B555" t="s">
        <v>72</v>
      </c>
      <c r="C555" t="s">
        <v>67</v>
      </c>
      <c r="D555" t="s">
        <v>1369</v>
      </c>
      <c r="E555">
        <v>1</v>
      </c>
      <c r="F555" t="s">
        <v>1370</v>
      </c>
      <c r="G555" s="10">
        <v>45139</v>
      </c>
      <c r="H555">
        <v>0</v>
      </c>
      <c r="I555">
        <v>-20000</v>
      </c>
      <c r="J555" t="s">
        <v>250</v>
      </c>
      <c r="K555">
        <v>6</v>
      </c>
      <c r="L555" t="s">
        <v>24</v>
      </c>
      <c r="M555" t="s">
        <v>29</v>
      </c>
    </row>
    <row r="556" spans="1:13">
      <c r="A556" t="s">
        <v>261</v>
      </c>
      <c r="B556" t="s">
        <v>160</v>
      </c>
      <c r="C556" t="s">
        <v>67</v>
      </c>
      <c r="D556" t="s">
        <v>1371</v>
      </c>
      <c r="E556">
        <v>2</v>
      </c>
      <c r="F556" t="s">
        <v>1372</v>
      </c>
      <c r="G556" s="10">
        <v>45096</v>
      </c>
      <c r="H556">
        <v>28750</v>
      </c>
      <c r="I556">
        <v>3750</v>
      </c>
      <c r="J556" t="s">
        <v>163</v>
      </c>
      <c r="K556">
        <v>5</v>
      </c>
      <c r="L556" t="s">
        <v>35</v>
      </c>
      <c r="M556" t="s">
        <v>27</v>
      </c>
    </row>
    <row r="557" spans="1:13">
      <c r="A557" t="s">
        <v>361</v>
      </c>
      <c r="B557" t="s">
        <v>72</v>
      </c>
      <c r="C557" t="s">
        <v>67</v>
      </c>
      <c r="D557" t="s">
        <v>1373</v>
      </c>
      <c r="E557">
        <v>1</v>
      </c>
      <c r="F557" t="s">
        <v>1374</v>
      </c>
      <c r="G557" s="10">
        <v>45139</v>
      </c>
      <c r="H557">
        <v>0</v>
      </c>
      <c r="I557">
        <v>-20000</v>
      </c>
      <c r="J557" t="s">
        <v>250</v>
      </c>
      <c r="K557">
        <v>6</v>
      </c>
      <c r="L557" t="s">
        <v>24</v>
      </c>
      <c r="M557" t="s">
        <v>29</v>
      </c>
    </row>
    <row r="558" spans="1:13">
      <c r="A558" t="s">
        <v>522</v>
      </c>
      <c r="B558" t="s">
        <v>72</v>
      </c>
      <c r="C558" t="s">
        <v>67</v>
      </c>
      <c r="D558" t="s">
        <v>1375</v>
      </c>
      <c r="E558">
        <v>1</v>
      </c>
      <c r="F558" t="s">
        <v>1376</v>
      </c>
      <c r="G558" s="10">
        <v>45139</v>
      </c>
      <c r="H558">
        <v>32130</v>
      </c>
      <c r="I558">
        <v>12130</v>
      </c>
      <c r="J558" t="s">
        <v>250</v>
      </c>
      <c r="K558">
        <v>6</v>
      </c>
      <c r="L558" t="s">
        <v>24</v>
      </c>
      <c r="M558" t="s">
        <v>29</v>
      </c>
    </row>
    <row r="559" spans="1:13">
      <c r="A559" t="s">
        <v>361</v>
      </c>
      <c r="B559" t="s">
        <v>72</v>
      </c>
      <c r="C559" t="s">
        <v>67</v>
      </c>
      <c r="D559" t="s">
        <v>1377</v>
      </c>
      <c r="E559">
        <v>1</v>
      </c>
      <c r="F559" t="s">
        <v>1378</v>
      </c>
      <c r="G559" s="10">
        <v>45139</v>
      </c>
      <c r="H559">
        <v>0</v>
      </c>
      <c r="I559">
        <v>-20000</v>
      </c>
      <c r="J559" t="s">
        <v>250</v>
      </c>
      <c r="K559">
        <v>6</v>
      </c>
      <c r="L559" t="s">
        <v>24</v>
      </c>
      <c r="M559" t="s">
        <v>29</v>
      </c>
    </row>
    <row r="560" spans="1:13">
      <c r="A560" t="s">
        <v>76</v>
      </c>
      <c r="B560" t="s">
        <v>72</v>
      </c>
      <c r="C560" t="s">
        <v>67</v>
      </c>
      <c r="D560" t="s">
        <v>1379</v>
      </c>
      <c r="E560">
        <v>1</v>
      </c>
      <c r="F560" t="s">
        <v>1380</v>
      </c>
      <c r="G560" s="10">
        <v>45108</v>
      </c>
      <c r="H560">
        <v>0</v>
      </c>
      <c r="I560">
        <v>-25000</v>
      </c>
      <c r="J560" t="s">
        <v>250</v>
      </c>
      <c r="K560">
        <v>6</v>
      </c>
      <c r="L560" t="s">
        <v>24</v>
      </c>
      <c r="M560" t="s">
        <v>29</v>
      </c>
    </row>
    <row r="561" spans="1:13">
      <c r="A561" t="s">
        <v>1381</v>
      </c>
      <c r="B561" t="s">
        <v>683</v>
      </c>
      <c r="C561" t="s">
        <v>238</v>
      </c>
      <c r="D561" t="s">
        <v>1382</v>
      </c>
      <c r="E561">
        <v>2</v>
      </c>
      <c r="F561" t="s">
        <v>1383</v>
      </c>
      <c r="G561" s="10">
        <v>45110</v>
      </c>
      <c r="H561">
        <v>156492</v>
      </c>
      <c r="I561">
        <v>89825.33</v>
      </c>
      <c r="J561" t="s">
        <v>458</v>
      </c>
      <c r="K561">
        <v>5</v>
      </c>
      <c r="L561" t="s">
        <v>37</v>
      </c>
      <c r="M561" t="s">
        <v>33</v>
      </c>
    </row>
    <row r="562" spans="1:13">
      <c r="A562" t="s">
        <v>361</v>
      </c>
      <c r="B562" t="s">
        <v>72</v>
      </c>
      <c r="C562" t="s">
        <v>67</v>
      </c>
      <c r="D562" t="s">
        <v>1384</v>
      </c>
      <c r="E562">
        <v>1</v>
      </c>
      <c r="F562" t="s">
        <v>1385</v>
      </c>
      <c r="G562" s="10">
        <v>45108</v>
      </c>
      <c r="H562">
        <v>38377.5</v>
      </c>
      <c r="I562">
        <v>13377.5</v>
      </c>
      <c r="J562" t="s">
        <v>250</v>
      </c>
      <c r="K562">
        <v>6</v>
      </c>
      <c r="L562" t="s">
        <v>24</v>
      </c>
      <c r="M562" t="s">
        <v>29</v>
      </c>
    </row>
    <row r="563" spans="1:13">
      <c r="A563" t="s">
        <v>628</v>
      </c>
      <c r="B563" t="s">
        <v>66</v>
      </c>
      <c r="C563" t="s">
        <v>67</v>
      </c>
      <c r="D563" t="s">
        <v>1386</v>
      </c>
      <c r="E563">
        <v>6</v>
      </c>
      <c r="F563" t="s">
        <v>1387</v>
      </c>
      <c r="G563" s="10">
        <v>45092</v>
      </c>
      <c r="H563">
        <v>34375</v>
      </c>
      <c r="I563">
        <v>6875</v>
      </c>
      <c r="J563" t="s">
        <v>70</v>
      </c>
      <c r="K563">
        <v>6</v>
      </c>
      <c r="L563" t="s">
        <v>35</v>
      </c>
      <c r="M563" t="s">
        <v>36</v>
      </c>
    </row>
    <row r="564" spans="1:13">
      <c r="A564" t="s">
        <v>197</v>
      </c>
      <c r="B564" t="s">
        <v>160</v>
      </c>
      <c r="C564" t="s">
        <v>67</v>
      </c>
      <c r="D564" t="s">
        <v>1388</v>
      </c>
      <c r="E564">
        <v>2</v>
      </c>
      <c r="F564" t="s">
        <v>1389</v>
      </c>
      <c r="G564" s="10">
        <v>45090</v>
      </c>
      <c r="H564">
        <v>17400</v>
      </c>
      <c r="I564">
        <v>2400</v>
      </c>
      <c r="J564" t="s">
        <v>193</v>
      </c>
      <c r="K564">
        <v>6</v>
      </c>
      <c r="L564" t="s">
        <v>35</v>
      </c>
      <c r="M564" t="s">
        <v>27</v>
      </c>
    </row>
    <row r="565" spans="1:13">
      <c r="A565" t="s">
        <v>256</v>
      </c>
      <c r="B565" t="s">
        <v>160</v>
      </c>
      <c r="C565" t="s">
        <v>67</v>
      </c>
      <c r="D565" t="s">
        <v>1390</v>
      </c>
      <c r="E565">
        <v>2</v>
      </c>
      <c r="F565" t="s">
        <v>1391</v>
      </c>
      <c r="G565" s="10">
        <v>45090</v>
      </c>
      <c r="H565">
        <v>17400</v>
      </c>
      <c r="I565">
        <v>2400</v>
      </c>
      <c r="J565" t="s">
        <v>193</v>
      </c>
      <c r="K565">
        <v>6</v>
      </c>
      <c r="L565" t="s">
        <v>35</v>
      </c>
      <c r="M565" t="s">
        <v>27</v>
      </c>
    </row>
    <row r="566" spans="1:13">
      <c r="A566" t="s">
        <v>628</v>
      </c>
      <c r="B566" t="s">
        <v>66</v>
      </c>
      <c r="C566" t="s">
        <v>67</v>
      </c>
      <c r="D566" t="s">
        <v>1392</v>
      </c>
      <c r="E566">
        <v>6</v>
      </c>
      <c r="F566" t="s">
        <v>1393</v>
      </c>
      <c r="G566" s="10">
        <v>45092</v>
      </c>
      <c r="H566">
        <v>34375</v>
      </c>
      <c r="I566">
        <v>6875</v>
      </c>
      <c r="J566" t="s">
        <v>70</v>
      </c>
      <c r="K566">
        <v>6</v>
      </c>
      <c r="L566" t="s">
        <v>35</v>
      </c>
      <c r="M566" t="s">
        <v>36</v>
      </c>
    </row>
    <row r="567" spans="1:13">
      <c r="A567" t="s">
        <v>251</v>
      </c>
      <c r="B567" t="s">
        <v>160</v>
      </c>
      <c r="C567" t="s">
        <v>67</v>
      </c>
      <c r="D567" t="s">
        <v>1394</v>
      </c>
      <c r="E567">
        <v>1</v>
      </c>
      <c r="F567" t="s">
        <v>1395</v>
      </c>
      <c r="G567" s="10">
        <v>45108</v>
      </c>
      <c r="H567">
        <v>38378</v>
      </c>
      <c r="I567">
        <v>13378</v>
      </c>
      <c r="J567" t="s">
        <v>250</v>
      </c>
      <c r="K567">
        <v>6</v>
      </c>
      <c r="L567" t="s">
        <v>24</v>
      </c>
      <c r="M567" t="s">
        <v>29</v>
      </c>
    </row>
    <row r="568" spans="1:13">
      <c r="A568" t="s">
        <v>431</v>
      </c>
      <c r="B568" t="s">
        <v>160</v>
      </c>
      <c r="C568" t="s">
        <v>67</v>
      </c>
      <c r="D568" t="s">
        <v>1396</v>
      </c>
      <c r="E568">
        <v>2</v>
      </c>
      <c r="F568" t="s">
        <v>1397</v>
      </c>
      <c r="G568" s="10">
        <v>45090</v>
      </c>
      <c r="H568">
        <v>17400</v>
      </c>
      <c r="I568">
        <v>2400</v>
      </c>
      <c r="J568" t="s">
        <v>193</v>
      </c>
      <c r="K568">
        <v>5</v>
      </c>
      <c r="L568" t="s">
        <v>35</v>
      </c>
      <c r="M568" t="s">
        <v>27</v>
      </c>
    </row>
    <row r="569" spans="1:13">
      <c r="A569" t="s">
        <v>194</v>
      </c>
      <c r="B569" t="s">
        <v>160</v>
      </c>
      <c r="C569" t="s">
        <v>67</v>
      </c>
      <c r="D569" t="s">
        <v>1398</v>
      </c>
      <c r="E569">
        <v>2</v>
      </c>
      <c r="F569" t="s">
        <v>1399</v>
      </c>
      <c r="G569" s="10">
        <v>45090</v>
      </c>
      <c r="H569">
        <v>17400</v>
      </c>
      <c r="I569">
        <v>2400</v>
      </c>
      <c r="J569" t="s">
        <v>193</v>
      </c>
      <c r="K569">
        <v>5</v>
      </c>
      <c r="L569" t="s">
        <v>35</v>
      </c>
      <c r="M569" t="s">
        <v>27</v>
      </c>
    </row>
    <row r="570" spans="1:13">
      <c r="A570" t="s">
        <v>361</v>
      </c>
      <c r="B570" t="s">
        <v>72</v>
      </c>
      <c r="C570" t="s">
        <v>67</v>
      </c>
      <c r="D570" t="s">
        <v>1400</v>
      </c>
      <c r="E570">
        <v>1</v>
      </c>
      <c r="F570" t="s">
        <v>1401</v>
      </c>
      <c r="G570" s="10">
        <v>45110</v>
      </c>
      <c r="H570">
        <v>72292.5</v>
      </c>
      <c r="I570">
        <v>9792.5</v>
      </c>
      <c r="J570" t="s">
        <v>250</v>
      </c>
      <c r="K570">
        <v>6</v>
      </c>
      <c r="L570" t="s">
        <v>24</v>
      </c>
      <c r="M570" t="s">
        <v>29</v>
      </c>
    </row>
    <row r="571" spans="1:13">
      <c r="A571" t="s">
        <v>275</v>
      </c>
      <c r="B571" t="s">
        <v>160</v>
      </c>
      <c r="C571" t="s">
        <v>67</v>
      </c>
      <c r="D571" t="s">
        <v>1402</v>
      </c>
      <c r="E571">
        <v>2</v>
      </c>
      <c r="F571" t="s">
        <v>1403</v>
      </c>
      <c r="G571" s="10">
        <v>45096</v>
      </c>
      <c r="H571">
        <v>45000</v>
      </c>
      <c r="I571">
        <v>7500</v>
      </c>
      <c r="J571" t="s">
        <v>163</v>
      </c>
      <c r="K571">
        <v>6</v>
      </c>
      <c r="L571" t="s">
        <v>35</v>
      </c>
      <c r="M571" t="s">
        <v>27</v>
      </c>
    </row>
    <row r="572" spans="1:13">
      <c r="A572" t="s">
        <v>170</v>
      </c>
      <c r="B572" t="s">
        <v>66</v>
      </c>
      <c r="C572" t="s">
        <v>67</v>
      </c>
      <c r="D572" t="s">
        <v>1404</v>
      </c>
      <c r="E572">
        <v>6</v>
      </c>
      <c r="F572" t="s">
        <v>1405</v>
      </c>
      <c r="G572" s="10">
        <v>45092</v>
      </c>
      <c r="H572">
        <v>34375</v>
      </c>
      <c r="I572">
        <v>6875</v>
      </c>
      <c r="J572" t="s">
        <v>70</v>
      </c>
      <c r="K572">
        <v>5</v>
      </c>
      <c r="L572" t="s">
        <v>35</v>
      </c>
      <c r="M572" t="s">
        <v>36</v>
      </c>
    </row>
    <row r="573" spans="1:13">
      <c r="A573" t="s">
        <v>266</v>
      </c>
      <c r="B573" t="s">
        <v>160</v>
      </c>
      <c r="C573" t="s">
        <v>67</v>
      </c>
      <c r="D573" t="s">
        <v>1406</v>
      </c>
      <c r="E573">
        <v>2</v>
      </c>
      <c r="F573" t="s">
        <v>1407</v>
      </c>
      <c r="G573" s="10">
        <v>45093</v>
      </c>
      <c r="H573">
        <v>21275</v>
      </c>
      <c r="I573">
        <v>2775</v>
      </c>
      <c r="J573" t="s">
        <v>193</v>
      </c>
      <c r="K573">
        <v>6</v>
      </c>
      <c r="L573" t="s">
        <v>35</v>
      </c>
      <c r="M573" t="s">
        <v>27</v>
      </c>
    </row>
    <row r="574" spans="1:13">
      <c r="A574" t="s">
        <v>194</v>
      </c>
      <c r="B574" t="s">
        <v>160</v>
      </c>
      <c r="C574" t="s">
        <v>67</v>
      </c>
      <c r="D574" t="s">
        <v>1408</v>
      </c>
      <c r="E574">
        <v>2</v>
      </c>
      <c r="F574" t="s">
        <v>1409</v>
      </c>
      <c r="G574" s="10">
        <v>45091</v>
      </c>
      <c r="H574">
        <v>21275</v>
      </c>
      <c r="I574">
        <v>2775</v>
      </c>
      <c r="J574" t="s">
        <v>193</v>
      </c>
      <c r="K574">
        <v>6</v>
      </c>
      <c r="L574" t="s">
        <v>35</v>
      </c>
      <c r="M574" t="s">
        <v>27</v>
      </c>
    </row>
    <row r="575" spans="1:13">
      <c r="A575" t="s">
        <v>933</v>
      </c>
      <c r="B575" t="s">
        <v>215</v>
      </c>
      <c r="C575" t="s">
        <v>94</v>
      </c>
      <c r="D575" t="s">
        <v>1410</v>
      </c>
      <c r="E575">
        <v>2</v>
      </c>
      <c r="F575" t="s">
        <v>1411</v>
      </c>
      <c r="G575" s="10">
        <v>45126</v>
      </c>
      <c r="H575">
        <v>126000</v>
      </c>
      <c r="I575">
        <v>13500</v>
      </c>
      <c r="J575" t="s">
        <v>227</v>
      </c>
      <c r="K575">
        <v>6</v>
      </c>
      <c r="L575" t="s">
        <v>41</v>
      </c>
      <c r="M575" t="s">
        <v>42</v>
      </c>
    </row>
    <row r="576" spans="1:13">
      <c r="A576" t="s">
        <v>297</v>
      </c>
      <c r="B576" t="s">
        <v>179</v>
      </c>
      <c r="C576" t="s">
        <v>45</v>
      </c>
      <c r="D576" t="s">
        <v>1412</v>
      </c>
      <c r="E576">
        <v>2</v>
      </c>
      <c r="F576" t="s">
        <v>1413</v>
      </c>
      <c r="G576" s="10">
        <v>45091</v>
      </c>
      <c r="H576">
        <v>184000</v>
      </c>
      <c r="I576">
        <v>42334</v>
      </c>
      <c r="J576" t="s">
        <v>1414</v>
      </c>
      <c r="K576">
        <v>6</v>
      </c>
      <c r="L576" t="s">
        <v>44</v>
      </c>
      <c r="M576" t="s">
        <v>49</v>
      </c>
    </row>
    <row r="577" spans="1:13">
      <c r="A577" t="s">
        <v>170</v>
      </c>
      <c r="B577" t="s">
        <v>66</v>
      </c>
      <c r="C577" t="s">
        <v>67</v>
      </c>
      <c r="D577" t="s">
        <v>1415</v>
      </c>
      <c r="E577">
        <v>6</v>
      </c>
      <c r="F577" t="s">
        <v>1416</v>
      </c>
      <c r="G577" s="10">
        <v>45092</v>
      </c>
      <c r="H577">
        <v>34375</v>
      </c>
      <c r="I577">
        <v>6875</v>
      </c>
      <c r="J577" t="s">
        <v>70</v>
      </c>
      <c r="K577">
        <v>6</v>
      </c>
      <c r="L577" t="s">
        <v>35</v>
      </c>
      <c r="M577" t="s">
        <v>36</v>
      </c>
    </row>
    <row r="578" spans="1:13">
      <c r="A578" t="s">
        <v>854</v>
      </c>
      <c r="B578" t="s">
        <v>93</v>
      </c>
      <c r="C578" t="s">
        <v>94</v>
      </c>
      <c r="D578" t="s">
        <v>1417</v>
      </c>
      <c r="E578">
        <v>2</v>
      </c>
      <c r="F578" t="s">
        <v>1418</v>
      </c>
      <c r="G578" s="10">
        <v>45110</v>
      </c>
      <c r="H578">
        <v>115500</v>
      </c>
      <c r="I578">
        <v>23834</v>
      </c>
      <c r="J578" t="s">
        <v>97</v>
      </c>
      <c r="K578">
        <v>6</v>
      </c>
      <c r="L578" t="s">
        <v>41</v>
      </c>
      <c r="M578" t="s">
        <v>42</v>
      </c>
    </row>
    <row r="579" spans="1:13">
      <c r="A579" t="s">
        <v>178</v>
      </c>
      <c r="B579" t="s">
        <v>179</v>
      </c>
      <c r="C579" t="s">
        <v>45</v>
      </c>
      <c r="D579" t="s">
        <v>1419</v>
      </c>
      <c r="E579">
        <v>2</v>
      </c>
      <c r="F579" t="s">
        <v>1420</v>
      </c>
      <c r="G579" s="10">
        <v>45096</v>
      </c>
      <c r="H579">
        <v>205000</v>
      </c>
      <c r="I579">
        <v>71667</v>
      </c>
      <c r="J579" t="s">
        <v>714</v>
      </c>
      <c r="K579">
        <v>6</v>
      </c>
      <c r="L579" t="s">
        <v>44</v>
      </c>
      <c r="M579" t="s">
        <v>45</v>
      </c>
    </row>
    <row r="580" spans="1:13">
      <c r="A580" t="s">
        <v>65</v>
      </c>
      <c r="B580" t="s">
        <v>66</v>
      </c>
      <c r="C580" t="s">
        <v>67</v>
      </c>
      <c r="D580" t="s">
        <v>1421</v>
      </c>
      <c r="E580">
        <v>2</v>
      </c>
      <c r="F580" t="s">
        <v>1422</v>
      </c>
      <c r="G580" s="10">
        <v>45092</v>
      </c>
      <c r="H580">
        <v>51999</v>
      </c>
      <c r="I580">
        <v>8666</v>
      </c>
      <c r="J580" t="s">
        <v>70</v>
      </c>
      <c r="K580">
        <v>6</v>
      </c>
      <c r="L580" t="s">
        <v>35</v>
      </c>
      <c r="M580" t="s">
        <v>36</v>
      </c>
    </row>
    <row r="581" spans="1:13">
      <c r="A581" t="s">
        <v>661</v>
      </c>
      <c r="B581" t="s">
        <v>179</v>
      </c>
      <c r="C581" t="s">
        <v>45</v>
      </c>
      <c r="D581" t="s">
        <v>1423</v>
      </c>
      <c r="E581">
        <v>4</v>
      </c>
      <c r="F581" t="s">
        <v>1424</v>
      </c>
      <c r="G581" s="10">
        <v>45091</v>
      </c>
      <c r="H581">
        <v>170000</v>
      </c>
      <c r="I581">
        <v>45000</v>
      </c>
      <c r="J581" t="s">
        <v>714</v>
      </c>
      <c r="K581">
        <v>6</v>
      </c>
      <c r="L581" t="s">
        <v>44</v>
      </c>
      <c r="M581" t="s">
        <v>45</v>
      </c>
    </row>
    <row r="582" spans="1:13">
      <c r="A582" t="s">
        <v>71</v>
      </c>
      <c r="B582" t="s">
        <v>72</v>
      </c>
      <c r="C582" t="s">
        <v>67</v>
      </c>
      <c r="D582" t="s">
        <v>1425</v>
      </c>
      <c r="E582">
        <v>1</v>
      </c>
      <c r="F582" t="s">
        <v>1426</v>
      </c>
      <c r="G582" s="10">
        <v>45108</v>
      </c>
      <c r="H582">
        <v>0</v>
      </c>
      <c r="I582">
        <v>-25000</v>
      </c>
      <c r="J582" t="s">
        <v>250</v>
      </c>
      <c r="K582">
        <v>6</v>
      </c>
      <c r="L582" t="s">
        <v>24</v>
      </c>
      <c r="M582" t="s">
        <v>29</v>
      </c>
    </row>
    <row r="583" spans="1:13">
      <c r="A583" t="s">
        <v>71</v>
      </c>
      <c r="B583" t="s">
        <v>72</v>
      </c>
      <c r="C583" t="s">
        <v>67</v>
      </c>
      <c r="D583" t="s">
        <v>1427</v>
      </c>
      <c r="E583">
        <v>1</v>
      </c>
      <c r="F583" t="s">
        <v>1428</v>
      </c>
      <c r="G583" s="10">
        <v>45108</v>
      </c>
      <c r="H583">
        <v>0</v>
      </c>
      <c r="I583">
        <v>-25000</v>
      </c>
      <c r="J583" t="s">
        <v>250</v>
      </c>
      <c r="K583">
        <v>6</v>
      </c>
      <c r="L583" t="s">
        <v>24</v>
      </c>
      <c r="M583" t="s">
        <v>29</v>
      </c>
    </row>
    <row r="584" spans="1:13">
      <c r="A584" t="s">
        <v>136</v>
      </c>
      <c r="B584" t="s">
        <v>117</v>
      </c>
      <c r="C584" t="s">
        <v>137</v>
      </c>
      <c r="D584" t="s">
        <v>1429</v>
      </c>
      <c r="E584">
        <v>1</v>
      </c>
      <c r="F584" t="s">
        <v>1430</v>
      </c>
      <c r="G584" s="10">
        <v>45098</v>
      </c>
      <c r="H584">
        <v>67200</v>
      </c>
      <c r="I584">
        <v>13034</v>
      </c>
      <c r="J584" t="s">
        <v>834</v>
      </c>
      <c r="K584">
        <v>6</v>
      </c>
      <c r="L584" t="s">
        <v>37</v>
      </c>
      <c r="M584" t="s">
        <v>25</v>
      </c>
    </row>
    <row r="585" spans="1:13">
      <c r="A585" t="s">
        <v>190</v>
      </c>
      <c r="B585" t="s">
        <v>160</v>
      </c>
      <c r="C585" t="s">
        <v>67</v>
      </c>
      <c r="D585" t="s">
        <v>1431</v>
      </c>
      <c r="E585">
        <v>2</v>
      </c>
      <c r="F585" t="s">
        <v>1432</v>
      </c>
      <c r="G585" s="10">
        <v>45096</v>
      </c>
      <c r="H585">
        <v>22847</v>
      </c>
      <c r="I585">
        <v>3485</v>
      </c>
      <c r="J585" t="s">
        <v>193</v>
      </c>
      <c r="K585">
        <v>5</v>
      </c>
      <c r="L585" t="s">
        <v>35</v>
      </c>
      <c r="M585" t="s">
        <v>27</v>
      </c>
    </row>
    <row r="586" spans="1:13">
      <c r="A586" t="s">
        <v>915</v>
      </c>
      <c r="B586" t="s">
        <v>916</v>
      </c>
      <c r="C586" t="s">
        <v>741</v>
      </c>
      <c r="D586" t="s">
        <v>1433</v>
      </c>
      <c r="E586">
        <v>1</v>
      </c>
      <c r="F586" t="s">
        <v>1434</v>
      </c>
      <c r="G586" s="10">
        <v>45108</v>
      </c>
      <c r="H586">
        <v>38377.5</v>
      </c>
      <c r="I586">
        <v>13377.5</v>
      </c>
      <c r="J586" t="s">
        <v>250</v>
      </c>
      <c r="K586">
        <v>6</v>
      </c>
      <c r="L586" t="s">
        <v>24</v>
      </c>
      <c r="M586" t="s">
        <v>29</v>
      </c>
    </row>
    <row r="587" spans="1:13">
      <c r="A587" t="s">
        <v>915</v>
      </c>
      <c r="B587" t="s">
        <v>916</v>
      </c>
      <c r="C587" t="s">
        <v>741</v>
      </c>
      <c r="D587" t="s">
        <v>1435</v>
      </c>
      <c r="E587">
        <v>1</v>
      </c>
      <c r="F587" t="s">
        <v>1436</v>
      </c>
      <c r="G587" s="10">
        <v>45108</v>
      </c>
      <c r="H587">
        <v>0</v>
      </c>
      <c r="I587">
        <v>-25000</v>
      </c>
      <c r="J587" t="s">
        <v>250</v>
      </c>
      <c r="K587">
        <v>6</v>
      </c>
      <c r="L587" t="s">
        <v>24</v>
      </c>
      <c r="M587" t="s">
        <v>29</v>
      </c>
    </row>
    <row r="588" spans="1:13">
      <c r="A588" t="s">
        <v>382</v>
      </c>
      <c r="B588" t="s">
        <v>141</v>
      </c>
      <c r="C588" t="s">
        <v>67</v>
      </c>
      <c r="D588" t="s">
        <v>1437</v>
      </c>
      <c r="E588">
        <v>1</v>
      </c>
      <c r="F588" t="s">
        <v>1438</v>
      </c>
      <c r="G588" s="10">
        <v>45108</v>
      </c>
      <c r="H588">
        <v>38377.5</v>
      </c>
      <c r="I588">
        <v>13377.5</v>
      </c>
      <c r="J588" t="s">
        <v>250</v>
      </c>
      <c r="K588">
        <v>6</v>
      </c>
      <c r="L588" t="s">
        <v>24</v>
      </c>
      <c r="M588" t="s">
        <v>29</v>
      </c>
    </row>
    <row r="589" spans="1:13">
      <c r="A589" t="s">
        <v>503</v>
      </c>
      <c r="B589" t="s">
        <v>41</v>
      </c>
      <c r="C589" t="s">
        <v>503</v>
      </c>
      <c r="D589" t="s">
        <v>1439</v>
      </c>
      <c r="E589">
        <v>1</v>
      </c>
      <c r="F589" t="s">
        <v>1440</v>
      </c>
      <c r="G589" s="10">
        <v>45108</v>
      </c>
      <c r="H589">
        <v>38377.5</v>
      </c>
      <c r="I589">
        <v>13377.5</v>
      </c>
      <c r="J589" t="s">
        <v>250</v>
      </c>
      <c r="K589">
        <v>6</v>
      </c>
      <c r="L589" t="s">
        <v>24</v>
      </c>
      <c r="M589" t="s">
        <v>29</v>
      </c>
    </row>
    <row r="590" spans="1:13">
      <c r="A590" t="s">
        <v>503</v>
      </c>
      <c r="B590" t="s">
        <v>41</v>
      </c>
      <c r="C590" t="s">
        <v>503</v>
      </c>
      <c r="D590" t="s">
        <v>1441</v>
      </c>
      <c r="E590">
        <v>1</v>
      </c>
      <c r="F590" t="s">
        <v>1442</v>
      </c>
      <c r="G590" s="10">
        <v>45108</v>
      </c>
      <c r="H590">
        <v>38378</v>
      </c>
      <c r="I590">
        <v>13378</v>
      </c>
      <c r="J590" t="s">
        <v>250</v>
      </c>
      <c r="K590">
        <v>6</v>
      </c>
      <c r="L590" t="s">
        <v>24</v>
      </c>
      <c r="M590" t="s">
        <v>29</v>
      </c>
    </row>
    <row r="591" spans="1:13">
      <c r="A591" t="s">
        <v>183</v>
      </c>
      <c r="B591" t="s">
        <v>112</v>
      </c>
      <c r="C591" t="s">
        <v>113</v>
      </c>
      <c r="D591" t="s">
        <v>1443</v>
      </c>
      <c r="E591">
        <v>1</v>
      </c>
      <c r="F591" t="s">
        <v>1444</v>
      </c>
      <c r="G591" s="10">
        <v>45110</v>
      </c>
      <c r="H591">
        <v>38378</v>
      </c>
      <c r="I591">
        <v>13378</v>
      </c>
      <c r="J591" t="s">
        <v>441</v>
      </c>
      <c r="K591">
        <v>6</v>
      </c>
      <c r="L591" t="s">
        <v>24</v>
      </c>
      <c r="M591" t="s">
        <v>29</v>
      </c>
    </row>
    <row r="592" spans="1:13">
      <c r="A592" t="s">
        <v>438</v>
      </c>
      <c r="B592" t="s">
        <v>43</v>
      </c>
      <c r="C592" t="s">
        <v>94</v>
      </c>
      <c r="D592" t="s">
        <v>1445</v>
      </c>
      <c r="E592">
        <v>1</v>
      </c>
      <c r="F592" t="s">
        <v>1446</v>
      </c>
      <c r="G592" s="10">
        <v>45108</v>
      </c>
      <c r="H592">
        <v>38377.5</v>
      </c>
      <c r="I592">
        <v>13377.5</v>
      </c>
      <c r="J592" t="s">
        <v>250</v>
      </c>
      <c r="K592">
        <v>6</v>
      </c>
      <c r="L592" t="s">
        <v>24</v>
      </c>
      <c r="M592" t="s">
        <v>29</v>
      </c>
    </row>
    <row r="593" spans="1:13">
      <c r="A593" t="s">
        <v>1447</v>
      </c>
      <c r="B593" t="s">
        <v>179</v>
      </c>
      <c r="C593" t="s">
        <v>45</v>
      </c>
      <c r="D593" t="s">
        <v>1185</v>
      </c>
      <c r="E593">
        <v>2</v>
      </c>
      <c r="F593" t="s">
        <v>1448</v>
      </c>
      <c r="G593" s="10">
        <v>45090</v>
      </c>
      <c r="H593">
        <v>352800</v>
      </c>
      <c r="I593">
        <v>77800</v>
      </c>
      <c r="J593" t="s">
        <v>189</v>
      </c>
      <c r="K593">
        <v>6</v>
      </c>
      <c r="L593" t="s">
        <v>44</v>
      </c>
      <c r="M593" t="s">
        <v>45</v>
      </c>
    </row>
    <row r="594" spans="1:13">
      <c r="A594" t="s">
        <v>503</v>
      </c>
      <c r="B594" t="s">
        <v>41</v>
      </c>
      <c r="C594" t="s">
        <v>503</v>
      </c>
      <c r="D594" t="s">
        <v>1449</v>
      </c>
      <c r="E594">
        <v>1</v>
      </c>
      <c r="F594" t="s">
        <v>1450</v>
      </c>
      <c r="G594" s="10">
        <v>45108</v>
      </c>
      <c r="H594">
        <v>38377.5</v>
      </c>
      <c r="I594">
        <v>13377.5</v>
      </c>
      <c r="J594" t="s">
        <v>250</v>
      </c>
      <c r="K594">
        <v>6</v>
      </c>
      <c r="L594" t="s">
        <v>24</v>
      </c>
      <c r="M594" t="s">
        <v>29</v>
      </c>
    </row>
    <row r="595" spans="1:13">
      <c r="A595" t="s">
        <v>813</v>
      </c>
      <c r="B595" t="s">
        <v>43</v>
      </c>
      <c r="C595" t="s">
        <v>94</v>
      </c>
      <c r="D595" t="s">
        <v>1451</v>
      </c>
      <c r="E595">
        <v>1</v>
      </c>
      <c r="F595" t="s">
        <v>1452</v>
      </c>
      <c r="G595" s="10">
        <v>45108</v>
      </c>
      <c r="H595">
        <v>38377.5</v>
      </c>
      <c r="I595">
        <v>13377.5</v>
      </c>
      <c r="J595" t="s">
        <v>250</v>
      </c>
      <c r="K595">
        <v>6</v>
      </c>
      <c r="L595" t="s">
        <v>24</v>
      </c>
      <c r="M595" t="s">
        <v>29</v>
      </c>
    </row>
    <row r="596" spans="1:13">
      <c r="A596" t="s">
        <v>503</v>
      </c>
      <c r="B596" t="s">
        <v>41</v>
      </c>
      <c r="C596" t="s">
        <v>503</v>
      </c>
      <c r="D596" t="s">
        <v>1453</v>
      </c>
      <c r="E596">
        <v>1</v>
      </c>
      <c r="F596" t="s">
        <v>1454</v>
      </c>
      <c r="G596" s="10">
        <v>45108</v>
      </c>
      <c r="H596">
        <v>0</v>
      </c>
      <c r="I596">
        <v>-25000</v>
      </c>
      <c r="J596" t="s">
        <v>250</v>
      </c>
      <c r="K596">
        <v>6</v>
      </c>
      <c r="L596" t="s">
        <v>24</v>
      </c>
      <c r="M596" t="s">
        <v>29</v>
      </c>
    </row>
    <row r="597" spans="1:13">
      <c r="A597" t="s">
        <v>1455</v>
      </c>
      <c r="B597" t="s">
        <v>179</v>
      </c>
      <c r="C597" t="s">
        <v>45</v>
      </c>
      <c r="D597" t="s">
        <v>1456</v>
      </c>
      <c r="E597">
        <v>2</v>
      </c>
      <c r="F597" t="s">
        <v>1457</v>
      </c>
      <c r="G597" s="10">
        <v>45091</v>
      </c>
      <c r="H597">
        <v>302400</v>
      </c>
      <c r="I597">
        <v>127400</v>
      </c>
      <c r="J597" t="s">
        <v>189</v>
      </c>
      <c r="K597">
        <v>5</v>
      </c>
      <c r="L597" t="s">
        <v>44</v>
      </c>
      <c r="M597" t="s">
        <v>45</v>
      </c>
    </row>
    <row r="598" spans="1:13">
      <c r="A598" t="s">
        <v>442</v>
      </c>
      <c r="B598" t="s">
        <v>43</v>
      </c>
      <c r="C598" t="s">
        <v>94</v>
      </c>
      <c r="D598" t="s">
        <v>1458</v>
      </c>
      <c r="E598">
        <v>1</v>
      </c>
      <c r="F598" t="s">
        <v>1459</v>
      </c>
      <c r="G598" s="10">
        <v>45108</v>
      </c>
      <c r="H598">
        <v>0</v>
      </c>
      <c r="I598">
        <v>-25000</v>
      </c>
      <c r="J598" t="s">
        <v>250</v>
      </c>
      <c r="K598">
        <v>6</v>
      </c>
      <c r="L598" t="s">
        <v>24</v>
      </c>
      <c r="M598" t="s">
        <v>29</v>
      </c>
    </row>
    <row r="599" spans="1:13">
      <c r="A599" t="s">
        <v>790</v>
      </c>
      <c r="B599" t="s">
        <v>455</v>
      </c>
      <c r="C599" t="s">
        <v>455</v>
      </c>
      <c r="D599" t="s">
        <v>1460</v>
      </c>
      <c r="E599">
        <v>2</v>
      </c>
      <c r="F599" t="s">
        <v>1461</v>
      </c>
      <c r="G599" s="10">
        <v>45092</v>
      </c>
      <c r="H599">
        <v>140280</v>
      </c>
      <c r="I599">
        <v>56947</v>
      </c>
      <c r="J599" t="s">
        <v>458</v>
      </c>
      <c r="K599">
        <v>6</v>
      </c>
      <c r="L599" t="s">
        <v>37</v>
      </c>
      <c r="M599" t="s">
        <v>33</v>
      </c>
    </row>
    <row r="600" spans="1:13">
      <c r="A600" t="s">
        <v>190</v>
      </c>
      <c r="B600" t="s">
        <v>160</v>
      </c>
      <c r="C600" t="s">
        <v>67</v>
      </c>
      <c r="D600" t="s">
        <v>1462</v>
      </c>
      <c r="E600">
        <v>2</v>
      </c>
      <c r="F600" t="s">
        <v>1463</v>
      </c>
      <c r="G600" s="10">
        <v>45096</v>
      </c>
      <c r="H600">
        <v>48000</v>
      </c>
      <c r="I600">
        <v>8000</v>
      </c>
      <c r="J600" t="s">
        <v>163</v>
      </c>
      <c r="K600">
        <v>6</v>
      </c>
      <c r="L600" t="s">
        <v>35</v>
      </c>
      <c r="M600" t="s">
        <v>27</v>
      </c>
    </row>
    <row r="601" spans="1:13">
      <c r="A601" t="s">
        <v>309</v>
      </c>
      <c r="B601" t="s">
        <v>310</v>
      </c>
      <c r="C601" t="s">
        <v>1464</v>
      </c>
      <c r="D601" t="s">
        <v>1465</v>
      </c>
      <c r="E601">
        <v>7</v>
      </c>
      <c r="F601" t="s">
        <v>1466</v>
      </c>
      <c r="G601" s="10">
        <v>45096</v>
      </c>
      <c r="H601">
        <v>98010</v>
      </c>
      <c r="I601">
        <v>4220</v>
      </c>
      <c r="J601" t="s">
        <v>313</v>
      </c>
      <c r="K601">
        <v>5</v>
      </c>
      <c r="L601" t="s">
        <v>41</v>
      </c>
      <c r="M601" t="s">
        <v>42</v>
      </c>
    </row>
    <row r="602" spans="1:13">
      <c r="A602" t="s">
        <v>197</v>
      </c>
      <c r="B602" t="s">
        <v>160</v>
      </c>
      <c r="C602" t="s">
        <v>67</v>
      </c>
      <c r="D602" t="s">
        <v>1467</v>
      </c>
      <c r="E602">
        <v>2</v>
      </c>
      <c r="F602" t="s">
        <v>1468</v>
      </c>
      <c r="G602" s="10">
        <v>45096</v>
      </c>
      <c r="H602">
        <v>21275</v>
      </c>
      <c r="I602">
        <v>2775</v>
      </c>
      <c r="J602" t="s">
        <v>193</v>
      </c>
      <c r="K602">
        <v>5</v>
      </c>
      <c r="L602" t="s">
        <v>35</v>
      </c>
      <c r="M602" t="s">
        <v>27</v>
      </c>
    </row>
    <row r="603" spans="1:13">
      <c r="A603" t="s">
        <v>1469</v>
      </c>
      <c r="B603" t="s">
        <v>231</v>
      </c>
      <c r="C603" t="s">
        <v>400</v>
      </c>
      <c r="D603" t="s">
        <v>1470</v>
      </c>
      <c r="E603">
        <v>2</v>
      </c>
      <c r="F603" t="s">
        <v>1471</v>
      </c>
      <c r="G603" s="10">
        <v>45110</v>
      </c>
      <c r="H603">
        <v>136500</v>
      </c>
      <c r="I603">
        <v>6500</v>
      </c>
      <c r="J603" t="s">
        <v>227</v>
      </c>
      <c r="K603">
        <v>5</v>
      </c>
      <c r="L603" t="s">
        <v>41</v>
      </c>
      <c r="M603" t="s">
        <v>42</v>
      </c>
    </row>
    <row r="604" spans="1:13">
      <c r="A604" t="s">
        <v>186</v>
      </c>
      <c r="B604" t="s">
        <v>179</v>
      </c>
      <c r="C604" t="s">
        <v>45</v>
      </c>
      <c r="D604" t="s">
        <v>1472</v>
      </c>
      <c r="E604">
        <v>2</v>
      </c>
      <c r="F604" t="s">
        <v>1473</v>
      </c>
      <c r="G604" s="10">
        <v>45096</v>
      </c>
      <c r="H604">
        <v>128325</v>
      </c>
      <c r="I604">
        <v>61659</v>
      </c>
      <c r="J604" t="s">
        <v>360</v>
      </c>
      <c r="K604">
        <v>5</v>
      </c>
      <c r="L604" t="s">
        <v>44</v>
      </c>
      <c r="M604" t="s">
        <v>45</v>
      </c>
    </row>
    <row r="605" spans="1:13">
      <c r="A605" t="s">
        <v>275</v>
      </c>
      <c r="B605" t="s">
        <v>160</v>
      </c>
      <c r="C605" t="s">
        <v>67</v>
      </c>
      <c r="D605" t="s">
        <v>1474</v>
      </c>
      <c r="E605">
        <v>2</v>
      </c>
      <c r="F605" t="s">
        <v>1475</v>
      </c>
      <c r="G605" s="10">
        <v>45121</v>
      </c>
      <c r="H605">
        <v>34500</v>
      </c>
      <c r="I605">
        <v>4500</v>
      </c>
      <c r="J605" t="s">
        <v>163</v>
      </c>
      <c r="K605">
        <v>5</v>
      </c>
      <c r="L605" t="s">
        <v>35</v>
      </c>
      <c r="M605" t="s">
        <v>27</v>
      </c>
    </row>
    <row r="606" spans="1:13">
      <c r="A606" t="s">
        <v>361</v>
      </c>
      <c r="B606" t="s">
        <v>72</v>
      </c>
      <c r="C606" t="s">
        <v>67</v>
      </c>
      <c r="D606" t="s">
        <v>1476</v>
      </c>
      <c r="E606">
        <v>1</v>
      </c>
      <c r="F606" t="s">
        <v>1477</v>
      </c>
      <c r="G606" s="10">
        <v>45118</v>
      </c>
      <c r="H606">
        <v>38377.5</v>
      </c>
      <c r="I606">
        <v>13377.5</v>
      </c>
      <c r="J606" t="s">
        <v>250</v>
      </c>
      <c r="K606">
        <v>6</v>
      </c>
      <c r="L606" t="s">
        <v>24</v>
      </c>
      <c r="M606" t="s">
        <v>29</v>
      </c>
    </row>
    <row r="607" spans="1:13">
      <c r="A607" t="s">
        <v>361</v>
      </c>
      <c r="B607" t="s">
        <v>72</v>
      </c>
      <c r="C607" t="s">
        <v>67</v>
      </c>
      <c r="D607" t="s">
        <v>1478</v>
      </c>
      <c r="E607">
        <v>1</v>
      </c>
      <c r="F607" t="s">
        <v>1479</v>
      </c>
      <c r="G607" s="10">
        <v>45108</v>
      </c>
      <c r="H607">
        <v>0</v>
      </c>
      <c r="I607">
        <v>-25000</v>
      </c>
      <c r="J607" t="s">
        <v>250</v>
      </c>
      <c r="K607">
        <v>6</v>
      </c>
      <c r="L607" t="s">
        <v>24</v>
      </c>
      <c r="M607" t="s">
        <v>29</v>
      </c>
    </row>
    <row r="608" spans="1:13">
      <c r="A608" t="s">
        <v>1480</v>
      </c>
      <c r="B608" t="s">
        <v>455</v>
      </c>
      <c r="C608" t="s">
        <v>455</v>
      </c>
      <c r="D608" t="s">
        <v>1481</v>
      </c>
      <c r="E608">
        <v>2</v>
      </c>
      <c r="F608" t="s">
        <v>1482</v>
      </c>
      <c r="G608" s="10">
        <v>45092</v>
      </c>
      <c r="H608">
        <v>140280</v>
      </c>
      <c r="I608">
        <v>23614</v>
      </c>
      <c r="J608" t="s">
        <v>458</v>
      </c>
      <c r="K608">
        <v>6</v>
      </c>
      <c r="L608" t="s">
        <v>37</v>
      </c>
      <c r="M608" t="s">
        <v>33</v>
      </c>
    </row>
    <row r="609" spans="1:13">
      <c r="A609" t="s">
        <v>361</v>
      </c>
      <c r="B609" t="s">
        <v>72</v>
      </c>
      <c r="C609" t="s">
        <v>67</v>
      </c>
      <c r="D609" t="s">
        <v>1483</v>
      </c>
      <c r="E609">
        <v>1</v>
      </c>
      <c r="F609" t="s">
        <v>1484</v>
      </c>
      <c r="G609" s="10">
        <v>45108</v>
      </c>
      <c r="H609">
        <v>38378</v>
      </c>
      <c r="I609">
        <v>13378</v>
      </c>
      <c r="J609" t="s">
        <v>250</v>
      </c>
      <c r="K609">
        <v>6</v>
      </c>
      <c r="L609" t="s">
        <v>24</v>
      </c>
      <c r="M609" t="s">
        <v>29</v>
      </c>
    </row>
    <row r="610" spans="1:13">
      <c r="A610" t="s">
        <v>175</v>
      </c>
      <c r="B610" t="s">
        <v>66</v>
      </c>
      <c r="C610" t="s">
        <v>67</v>
      </c>
      <c r="D610" t="s">
        <v>1485</v>
      </c>
      <c r="E610">
        <v>6</v>
      </c>
      <c r="F610" t="s">
        <v>1486</v>
      </c>
      <c r="G610" s="10">
        <v>45092</v>
      </c>
      <c r="H610">
        <v>30000</v>
      </c>
      <c r="I610">
        <v>5000</v>
      </c>
      <c r="J610" t="s">
        <v>70</v>
      </c>
      <c r="K610">
        <v>5</v>
      </c>
      <c r="L610" t="s">
        <v>35</v>
      </c>
      <c r="M610" t="s">
        <v>36</v>
      </c>
    </row>
    <row r="611" spans="1:13">
      <c r="A611" t="s">
        <v>341</v>
      </c>
      <c r="B611" t="s">
        <v>179</v>
      </c>
      <c r="C611" t="s">
        <v>45</v>
      </c>
      <c r="D611" t="s">
        <v>1487</v>
      </c>
      <c r="E611">
        <v>2</v>
      </c>
      <c r="F611" t="s">
        <v>1488</v>
      </c>
      <c r="G611" s="10">
        <v>45100</v>
      </c>
      <c r="H611">
        <v>200000</v>
      </c>
      <c r="I611">
        <v>83334</v>
      </c>
      <c r="J611" t="s">
        <v>714</v>
      </c>
      <c r="K611">
        <v>5</v>
      </c>
      <c r="L611" t="s">
        <v>44</v>
      </c>
      <c r="M611" t="s">
        <v>45</v>
      </c>
    </row>
    <row r="612" spans="1:13">
      <c r="A612" t="s">
        <v>813</v>
      </c>
      <c r="B612" t="s">
        <v>43</v>
      </c>
      <c r="C612" t="s">
        <v>94</v>
      </c>
      <c r="D612" t="s">
        <v>1489</v>
      </c>
      <c r="E612">
        <v>1</v>
      </c>
      <c r="F612" t="s">
        <v>1490</v>
      </c>
      <c r="G612" s="10">
        <v>45108</v>
      </c>
      <c r="H612">
        <v>38377.5</v>
      </c>
      <c r="I612">
        <v>13377.5</v>
      </c>
      <c r="J612" t="s">
        <v>250</v>
      </c>
      <c r="K612">
        <v>6</v>
      </c>
      <c r="L612" t="s">
        <v>24</v>
      </c>
      <c r="M612" t="s">
        <v>29</v>
      </c>
    </row>
    <row r="613" spans="1:13">
      <c r="A613" t="s">
        <v>431</v>
      </c>
      <c r="B613" t="s">
        <v>160</v>
      </c>
      <c r="C613" t="s">
        <v>67</v>
      </c>
      <c r="D613" t="s">
        <v>1491</v>
      </c>
      <c r="E613">
        <v>1</v>
      </c>
      <c r="F613" t="s">
        <v>1492</v>
      </c>
      <c r="G613" s="10">
        <v>45108</v>
      </c>
      <c r="H613">
        <v>38377.5</v>
      </c>
      <c r="I613">
        <v>13377.5</v>
      </c>
      <c r="J613" t="s">
        <v>250</v>
      </c>
      <c r="K613">
        <v>6</v>
      </c>
      <c r="L613" t="s">
        <v>24</v>
      </c>
      <c r="M613" t="s">
        <v>29</v>
      </c>
    </row>
    <row r="614" spans="1:13">
      <c r="A614" t="s">
        <v>266</v>
      </c>
      <c r="B614" t="s">
        <v>160</v>
      </c>
      <c r="C614" t="s">
        <v>67</v>
      </c>
      <c r="D614" t="s">
        <v>1493</v>
      </c>
      <c r="E614">
        <v>2</v>
      </c>
      <c r="F614" t="s">
        <v>1494</v>
      </c>
      <c r="G614" s="10">
        <v>45096</v>
      </c>
      <c r="H614">
        <v>48000</v>
      </c>
      <c r="I614">
        <v>8000</v>
      </c>
      <c r="J614" t="s">
        <v>163</v>
      </c>
      <c r="K614">
        <v>5</v>
      </c>
      <c r="L614" t="s">
        <v>35</v>
      </c>
      <c r="M614" t="s">
        <v>27</v>
      </c>
    </row>
    <row r="615" spans="1:13">
      <c r="A615" t="s">
        <v>431</v>
      </c>
      <c r="B615" t="s">
        <v>160</v>
      </c>
      <c r="C615" t="s">
        <v>67</v>
      </c>
      <c r="D615" t="s">
        <v>1495</v>
      </c>
      <c r="E615">
        <v>2</v>
      </c>
      <c r="F615" t="s">
        <v>1496</v>
      </c>
      <c r="G615" s="10">
        <v>45096</v>
      </c>
      <c r="H615">
        <v>46800</v>
      </c>
      <c r="I615">
        <v>7800</v>
      </c>
      <c r="J615" t="s">
        <v>163</v>
      </c>
      <c r="K615">
        <v>6</v>
      </c>
      <c r="L615" t="s">
        <v>35</v>
      </c>
      <c r="M615" t="s">
        <v>27</v>
      </c>
    </row>
    <row r="616" spans="1:13">
      <c r="A616" t="s">
        <v>190</v>
      </c>
      <c r="B616" t="s">
        <v>160</v>
      </c>
      <c r="C616" t="s">
        <v>67</v>
      </c>
      <c r="D616" t="s">
        <v>1497</v>
      </c>
      <c r="E616">
        <v>2</v>
      </c>
      <c r="F616" t="s">
        <v>1498</v>
      </c>
      <c r="G616" s="10">
        <v>45103</v>
      </c>
      <c r="H616">
        <v>22847</v>
      </c>
      <c r="I616">
        <v>3485</v>
      </c>
      <c r="J616" t="s">
        <v>163</v>
      </c>
      <c r="K616">
        <v>5</v>
      </c>
      <c r="L616" t="s">
        <v>35</v>
      </c>
      <c r="M616" t="s">
        <v>27</v>
      </c>
    </row>
    <row r="617" spans="1:13">
      <c r="A617" t="s">
        <v>361</v>
      </c>
      <c r="B617" t="s">
        <v>72</v>
      </c>
      <c r="C617" t="s">
        <v>67</v>
      </c>
      <c r="D617" t="s">
        <v>1499</v>
      </c>
      <c r="E617">
        <v>1</v>
      </c>
      <c r="F617" t="s">
        <v>1500</v>
      </c>
      <c r="G617" s="10">
        <v>45108</v>
      </c>
      <c r="H617">
        <v>38377.5</v>
      </c>
      <c r="I617">
        <v>13377.5</v>
      </c>
      <c r="J617" t="s">
        <v>250</v>
      </c>
      <c r="K617">
        <v>6</v>
      </c>
      <c r="L617" t="s">
        <v>24</v>
      </c>
      <c r="M617" t="s">
        <v>29</v>
      </c>
    </row>
    <row r="618" spans="1:13">
      <c r="A618" t="s">
        <v>361</v>
      </c>
      <c r="B618" t="s">
        <v>72</v>
      </c>
      <c r="C618" t="s">
        <v>67</v>
      </c>
      <c r="D618" t="s">
        <v>1501</v>
      </c>
      <c r="E618">
        <v>1</v>
      </c>
      <c r="F618" t="s">
        <v>1502</v>
      </c>
      <c r="G618" s="10">
        <v>45139</v>
      </c>
      <c r="H618">
        <v>0</v>
      </c>
      <c r="I618">
        <v>-20000</v>
      </c>
      <c r="J618" t="s">
        <v>250</v>
      </c>
      <c r="K618">
        <v>6</v>
      </c>
      <c r="L618" t="s">
        <v>24</v>
      </c>
      <c r="M618" t="s">
        <v>29</v>
      </c>
    </row>
    <row r="619" spans="1:13">
      <c r="A619" t="s">
        <v>361</v>
      </c>
      <c r="B619" t="s">
        <v>72</v>
      </c>
      <c r="C619" t="s">
        <v>67</v>
      </c>
      <c r="D619" t="s">
        <v>1503</v>
      </c>
      <c r="E619">
        <v>1</v>
      </c>
      <c r="F619" t="s">
        <v>1504</v>
      </c>
      <c r="G619" s="10">
        <v>45139</v>
      </c>
      <c r="H619">
        <v>32130</v>
      </c>
      <c r="I619">
        <v>12130</v>
      </c>
      <c r="J619" t="s">
        <v>250</v>
      </c>
      <c r="K619">
        <v>6</v>
      </c>
      <c r="L619" t="s">
        <v>24</v>
      </c>
      <c r="M619" t="s">
        <v>29</v>
      </c>
    </row>
    <row r="620" spans="1:13">
      <c r="A620" t="s">
        <v>854</v>
      </c>
      <c r="B620" t="s">
        <v>93</v>
      </c>
      <c r="C620" t="s">
        <v>94</v>
      </c>
      <c r="D620" t="s">
        <v>1505</v>
      </c>
      <c r="E620">
        <v>2</v>
      </c>
      <c r="F620" t="s">
        <v>1506</v>
      </c>
      <c r="G620" s="10">
        <v>45103</v>
      </c>
      <c r="H620">
        <v>178500</v>
      </c>
      <c r="I620">
        <v>36834</v>
      </c>
      <c r="J620" t="s">
        <v>97</v>
      </c>
      <c r="K620">
        <v>6</v>
      </c>
      <c r="L620" t="s">
        <v>41</v>
      </c>
      <c r="M620" t="s">
        <v>42</v>
      </c>
    </row>
    <row r="621" spans="1:13">
      <c r="A621" t="s">
        <v>915</v>
      </c>
      <c r="B621" t="s">
        <v>916</v>
      </c>
      <c r="C621" t="s">
        <v>741</v>
      </c>
      <c r="D621" t="s">
        <v>1507</v>
      </c>
      <c r="E621">
        <v>2</v>
      </c>
      <c r="F621" t="s">
        <v>1508</v>
      </c>
      <c r="G621" s="10">
        <v>45093</v>
      </c>
      <c r="H621">
        <v>283000</v>
      </c>
      <c r="I621">
        <v>24667</v>
      </c>
      <c r="J621" t="s">
        <v>884</v>
      </c>
      <c r="K621">
        <v>6</v>
      </c>
      <c r="L621" t="s">
        <v>44</v>
      </c>
      <c r="M621" t="s">
        <v>45</v>
      </c>
    </row>
    <row r="622" spans="1:13">
      <c r="A622" t="s">
        <v>141</v>
      </c>
      <c r="B622" t="s">
        <v>27</v>
      </c>
      <c r="C622" t="s">
        <v>27</v>
      </c>
      <c r="D622" t="s">
        <v>1509</v>
      </c>
      <c r="E622">
        <v>1</v>
      </c>
      <c r="F622" t="s">
        <v>1510</v>
      </c>
      <c r="G622" s="10">
        <v>45117</v>
      </c>
      <c r="H622">
        <v>84000</v>
      </c>
      <c r="I622">
        <v>25667</v>
      </c>
      <c r="J622" t="s">
        <v>144</v>
      </c>
      <c r="K622">
        <v>5</v>
      </c>
      <c r="L622" t="s">
        <v>38</v>
      </c>
      <c r="M622" t="s">
        <v>25</v>
      </c>
    </row>
    <row r="623" spans="1:13">
      <c r="A623" t="s">
        <v>1511</v>
      </c>
      <c r="B623" t="s">
        <v>41</v>
      </c>
      <c r="C623" t="s">
        <v>1511</v>
      </c>
      <c r="D623" t="s">
        <v>1512</v>
      </c>
      <c r="E623">
        <v>2</v>
      </c>
      <c r="F623" t="s">
        <v>1513</v>
      </c>
      <c r="G623" s="10">
        <v>45103</v>
      </c>
      <c r="H623">
        <v>75600</v>
      </c>
      <c r="I623">
        <v>29767</v>
      </c>
      <c r="J623" t="s">
        <v>1357</v>
      </c>
      <c r="K623">
        <v>6</v>
      </c>
      <c r="L623" t="s">
        <v>41</v>
      </c>
      <c r="M623" t="s">
        <v>25</v>
      </c>
    </row>
    <row r="624" spans="1:13">
      <c r="A624" t="s">
        <v>361</v>
      </c>
      <c r="B624" t="s">
        <v>72</v>
      </c>
      <c r="C624" t="s">
        <v>67</v>
      </c>
      <c r="D624" t="s">
        <v>1514</v>
      </c>
      <c r="E624">
        <v>1</v>
      </c>
      <c r="F624" t="s">
        <v>1515</v>
      </c>
      <c r="G624" s="10">
        <v>45139</v>
      </c>
      <c r="H624">
        <v>32130</v>
      </c>
      <c r="I624">
        <v>12130</v>
      </c>
      <c r="J624" t="s">
        <v>250</v>
      </c>
      <c r="K624">
        <v>6</v>
      </c>
      <c r="L624" t="s">
        <v>24</v>
      </c>
      <c r="M624" t="s">
        <v>29</v>
      </c>
    </row>
    <row r="625" spans="1:13">
      <c r="A625" t="s">
        <v>76</v>
      </c>
      <c r="B625" t="s">
        <v>72</v>
      </c>
      <c r="C625" t="s">
        <v>67</v>
      </c>
      <c r="D625" t="s">
        <v>1516</v>
      </c>
      <c r="E625">
        <v>1</v>
      </c>
      <c r="F625" t="s">
        <v>1517</v>
      </c>
      <c r="G625" s="10">
        <v>45108</v>
      </c>
      <c r="H625">
        <v>38377.5</v>
      </c>
      <c r="I625">
        <v>13377.5</v>
      </c>
      <c r="J625" t="s">
        <v>250</v>
      </c>
      <c r="K625">
        <v>6</v>
      </c>
      <c r="L625" t="s">
        <v>24</v>
      </c>
      <c r="M625" t="s">
        <v>29</v>
      </c>
    </row>
    <row r="626" spans="1:13">
      <c r="A626" t="s">
        <v>133</v>
      </c>
      <c r="B626" t="s">
        <v>82</v>
      </c>
      <c r="C626" t="s">
        <v>28</v>
      </c>
      <c r="D626" t="s">
        <v>1518</v>
      </c>
      <c r="E626">
        <v>2</v>
      </c>
      <c r="F626" t="s">
        <v>1519</v>
      </c>
      <c r="G626" s="10">
        <v>45099</v>
      </c>
      <c r="H626">
        <v>67200</v>
      </c>
      <c r="I626">
        <v>8867</v>
      </c>
      <c r="J626" t="s">
        <v>834</v>
      </c>
      <c r="K626">
        <v>5</v>
      </c>
      <c r="L626" t="s">
        <v>37</v>
      </c>
      <c r="M626" t="s">
        <v>25</v>
      </c>
    </row>
    <row r="627" spans="1:13">
      <c r="A627" t="s">
        <v>361</v>
      </c>
      <c r="B627" t="s">
        <v>72</v>
      </c>
      <c r="C627" t="s">
        <v>67</v>
      </c>
      <c r="D627" t="s">
        <v>1520</v>
      </c>
      <c r="E627">
        <v>1</v>
      </c>
      <c r="F627" t="s">
        <v>1521</v>
      </c>
      <c r="G627" s="10">
        <v>45139</v>
      </c>
      <c r="H627">
        <v>32130</v>
      </c>
      <c r="I627">
        <v>12130</v>
      </c>
      <c r="J627" t="s">
        <v>250</v>
      </c>
      <c r="K627">
        <v>6</v>
      </c>
      <c r="L627" t="s">
        <v>24</v>
      </c>
      <c r="M627" t="s">
        <v>29</v>
      </c>
    </row>
    <row r="628" spans="1:13">
      <c r="A628" t="s">
        <v>1511</v>
      </c>
      <c r="B628" t="s">
        <v>41</v>
      </c>
      <c r="C628" t="s">
        <v>1511</v>
      </c>
      <c r="D628" t="s">
        <v>1522</v>
      </c>
      <c r="E628">
        <v>2</v>
      </c>
      <c r="F628" t="s">
        <v>1523</v>
      </c>
      <c r="G628" s="10">
        <v>45103</v>
      </c>
      <c r="H628">
        <v>67200</v>
      </c>
      <c r="I628">
        <v>21367</v>
      </c>
      <c r="J628" t="s">
        <v>1357</v>
      </c>
      <c r="K628">
        <v>6</v>
      </c>
      <c r="L628" t="s">
        <v>41</v>
      </c>
      <c r="M628" t="s">
        <v>25</v>
      </c>
    </row>
    <row r="629" spans="1:13">
      <c r="A629" t="s">
        <v>361</v>
      </c>
      <c r="B629" t="s">
        <v>72</v>
      </c>
      <c r="C629" t="s">
        <v>67</v>
      </c>
      <c r="D629" t="s">
        <v>1524</v>
      </c>
      <c r="E629">
        <v>1</v>
      </c>
      <c r="F629" t="s">
        <v>1525</v>
      </c>
      <c r="G629" s="10">
        <v>45108</v>
      </c>
      <c r="H629">
        <v>0</v>
      </c>
      <c r="I629">
        <v>-25000</v>
      </c>
      <c r="J629" t="s">
        <v>250</v>
      </c>
      <c r="K629">
        <v>6</v>
      </c>
      <c r="L629" t="s">
        <v>24</v>
      </c>
      <c r="M629" t="s">
        <v>29</v>
      </c>
    </row>
    <row r="630" spans="1:13">
      <c r="A630" t="s">
        <v>71</v>
      </c>
      <c r="B630" t="s">
        <v>72</v>
      </c>
      <c r="C630" t="s">
        <v>67</v>
      </c>
      <c r="D630" t="s">
        <v>1526</v>
      </c>
      <c r="E630">
        <v>1</v>
      </c>
      <c r="F630" t="s">
        <v>1527</v>
      </c>
      <c r="G630" s="10">
        <v>45096</v>
      </c>
      <c r="H630">
        <v>72292.5</v>
      </c>
      <c r="I630">
        <v>9792.5</v>
      </c>
      <c r="J630" t="s">
        <v>250</v>
      </c>
      <c r="K630">
        <v>6</v>
      </c>
      <c r="L630" t="s">
        <v>24</v>
      </c>
      <c r="M630" t="s">
        <v>29</v>
      </c>
    </row>
    <row r="631" spans="1:13">
      <c r="A631" t="s">
        <v>280</v>
      </c>
      <c r="B631" t="s">
        <v>160</v>
      </c>
      <c r="C631" t="s">
        <v>67</v>
      </c>
      <c r="D631" t="s">
        <v>1528</v>
      </c>
      <c r="E631">
        <v>2</v>
      </c>
      <c r="F631" t="s">
        <v>1529</v>
      </c>
      <c r="G631" s="10">
        <v>45097</v>
      </c>
      <c r="H631">
        <v>21275</v>
      </c>
      <c r="I631">
        <v>2775</v>
      </c>
      <c r="J631" t="s">
        <v>193</v>
      </c>
      <c r="K631">
        <v>6</v>
      </c>
      <c r="L631" t="s">
        <v>35</v>
      </c>
      <c r="M631" t="s">
        <v>27</v>
      </c>
    </row>
    <row r="632" spans="1:13">
      <c r="A632" t="s">
        <v>1530</v>
      </c>
      <c r="B632" t="s">
        <v>1531</v>
      </c>
      <c r="C632" t="s">
        <v>1532</v>
      </c>
      <c r="D632" t="s">
        <v>1533</v>
      </c>
      <c r="E632">
        <v>2</v>
      </c>
      <c r="F632" t="s">
        <v>1534</v>
      </c>
      <c r="G632" s="10">
        <v>45110</v>
      </c>
      <c r="H632">
        <v>140000</v>
      </c>
      <c r="I632">
        <v>6667</v>
      </c>
      <c r="J632" t="s">
        <v>227</v>
      </c>
      <c r="K632">
        <v>6</v>
      </c>
      <c r="L632" t="s">
        <v>41</v>
      </c>
      <c r="M632" t="s">
        <v>42</v>
      </c>
    </row>
    <row r="633" spans="1:13">
      <c r="A633" t="s">
        <v>1535</v>
      </c>
      <c r="B633" t="s">
        <v>93</v>
      </c>
      <c r="C633" t="s">
        <v>94</v>
      </c>
      <c r="D633" t="s">
        <v>1536</v>
      </c>
      <c r="E633">
        <v>2</v>
      </c>
      <c r="F633" t="s">
        <v>1537</v>
      </c>
      <c r="G633" s="10">
        <v>45110</v>
      </c>
      <c r="H633">
        <v>220500</v>
      </c>
      <c r="I633">
        <v>28834</v>
      </c>
      <c r="J633" t="s">
        <v>97</v>
      </c>
      <c r="K633">
        <v>5</v>
      </c>
      <c r="L633" t="s">
        <v>41</v>
      </c>
      <c r="M633" t="s">
        <v>42</v>
      </c>
    </row>
    <row r="634" spans="1:13">
      <c r="A634" t="s">
        <v>92</v>
      </c>
      <c r="B634" t="s">
        <v>93</v>
      </c>
      <c r="C634" t="s">
        <v>94</v>
      </c>
      <c r="D634" t="s">
        <v>1538</v>
      </c>
      <c r="E634">
        <v>2</v>
      </c>
      <c r="F634" t="s">
        <v>1539</v>
      </c>
      <c r="G634" s="10">
        <v>45118</v>
      </c>
      <c r="H634">
        <v>203700</v>
      </c>
      <c r="I634">
        <v>32866.67</v>
      </c>
      <c r="J634" t="s">
        <v>97</v>
      </c>
      <c r="K634">
        <v>6</v>
      </c>
      <c r="L634" t="s">
        <v>41</v>
      </c>
      <c r="M634" t="s">
        <v>42</v>
      </c>
    </row>
    <row r="635" spans="1:13">
      <c r="A635" t="s">
        <v>76</v>
      </c>
      <c r="B635" t="s">
        <v>72</v>
      </c>
      <c r="C635" t="s">
        <v>67</v>
      </c>
      <c r="D635" t="s">
        <v>1540</v>
      </c>
      <c r="E635">
        <v>1</v>
      </c>
      <c r="F635" t="s">
        <v>1541</v>
      </c>
      <c r="G635" s="10">
        <v>45139</v>
      </c>
      <c r="H635">
        <v>32130</v>
      </c>
      <c r="I635">
        <v>12130</v>
      </c>
      <c r="J635" t="s">
        <v>250</v>
      </c>
      <c r="K635">
        <v>6</v>
      </c>
      <c r="L635" t="s">
        <v>24</v>
      </c>
      <c r="M635" t="s">
        <v>29</v>
      </c>
    </row>
    <row r="636" spans="1:13">
      <c r="A636" t="s">
        <v>194</v>
      </c>
      <c r="B636" t="s">
        <v>160</v>
      </c>
      <c r="C636" t="s">
        <v>67</v>
      </c>
      <c r="D636" t="s">
        <v>1542</v>
      </c>
      <c r="E636">
        <v>2</v>
      </c>
      <c r="F636" t="s">
        <v>1543</v>
      </c>
      <c r="G636" s="10">
        <v>45096</v>
      </c>
      <c r="H636">
        <v>32500</v>
      </c>
      <c r="I636">
        <v>7500</v>
      </c>
      <c r="J636" t="s">
        <v>163</v>
      </c>
      <c r="K636">
        <v>6</v>
      </c>
      <c r="L636" t="s">
        <v>35</v>
      </c>
      <c r="M636" t="s">
        <v>27</v>
      </c>
    </row>
    <row r="637" spans="1:13">
      <c r="A637" t="s">
        <v>1544</v>
      </c>
      <c r="B637" t="s">
        <v>93</v>
      </c>
      <c r="C637" t="s">
        <v>94</v>
      </c>
      <c r="D637" t="s">
        <v>1545</v>
      </c>
      <c r="E637">
        <v>2</v>
      </c>
      <c r="F637" t="s">
        <v>1546</v>
      </c>
      <c r="G637" s="10">
        <v>45110</v>
      </c>
      <c r="H637">
        <v>168000</v>
      </c>
      <c r="I637">
        <v>68000</v>
      </c>
      <c r="J637" t="s">
        <v>97</v>
      </c>
      <c r="K637">
        <v>6</v>
      </c>
      <c r="L637" t="s">
        <v>41</v>
      </c>
      <c r="M637" t="s">
        <v>42</v>
      </c>
    </row>
    <row r="638" spans="1:13">
      <c r="A638" t="s">
        <v>1547</v>
      </c>
      <c r="B638" t="s">
        <v>160</v>
      </c>
      <c r="C638" t="s">
        <v>67</v>
      </c>
      <c r="D638" t="s">
        <v>1548</v>
      </c>
      <c r="E638">
        <v>1</v>
      </c>
      <c r="F638" t="s">
        <v>1549</v>
      </c>
      <c r="G638" s="10">
        <v>45096</v>
      </c>
      <c r="H638">
        <v>72293</v>
      </c>
      <c r="I638">
        <v>9793</v>
      </c>
      <c r="J638" t="s">
        <v>250</v>
      </c>
      <c r="K638">
        <v>6</v>
      </c>
      <c r="L638" t="s">
        <v>24</v>
      </c>
      <c r="M638" t="s">
        <v>29</v>
      </c>
    </row>
    <row r="639" spans="1:13">
      <c r="A639" t="s">
        <v>1469</v>
      </c>
      <c r="B639" t="s">
        <v>231</v>
      </c>
      <c r="C639" t="s">
        <v>400</v>
      </c>
      <c r="D639" t="s">
        <v>1550</v>
      </c>
      <c r="E639">
        <v>2</v>
      </c>
      <c r="F639" t="s">
        <v>1551</v>
      </c>
      <c r="G639" s="10">
        <v>45099</v>
      </c>
      <c r="H639">
        <v>30000</v>
      </c>
      <c r="I639">
        <v>5000</v>
      </c>
      <c r="J639" t="s">
        <v>227</v>
      </c>
      <c r="K639">
        <v>5</v>
      </c>
      <c r="L639" t="s">
        <v>41</v>
      </c>
      <c r="M639" t="s">
        <v>42</v>
      </c>
    </row>
    <row r="640" spans="1:13">
      <c r="A640" t="s">
        <v>379</v>
      </c>
      <c r="B640" t="s">
        <v>179</v>
      </c>
      <c r="C640" t="s">
        <v>45</v>
      </c>
      <c r="D640" t="s">
        <v>1552</v>
      </c>
      <c r="E640">
        <v>2</v>
      </c>
      <c r="F640" t="s">
        <v>1553</v>
      </c>
      <c r="G640" s="10">
        <v>45103</v>
      </c>
      <c r="H640">
        <v>97850</v>
      </c>
      <c r="I640">
        <v>31184</v>
      </c>
      <c r="J640" t="s">
        <v>714</v>
      </c>
      <c r="K640">
        <v>5</v>
      </c>
      <c r="L640" t="s">
        <v>44</v>
      </c>
      <c r="M640" t="s">
        <v>45</v>
      </c>
    </row>
    <row r="641" spans="1:13">
      <c r="A641" t="s">
        <v>341</v>
      </c>
      <c r="B641" t="s">
        <v>179</v>
      </c>
      <c r="C641" t="s">
        <v>45</v>
      </c>
      <c r="D641" t="s">
        <v>1554</v>
      </c>
      <c r="E641">
        <v>2</v>
      </c>
      <c r="F641" t="s">
        <v>1555</v>
      </c>
      <c r="G641" s="10">
        <v>45103</v>
      </c>
      <c r="H641">
        <v>220000</v>
      </c>
      <c r="I641">
        <v>45000</v>
      </c>
      <c r="J641" t="s">
        <v>714</v>
      </c>
      <c r="K641">
        <v>5</v>
      </c>
      <c r="L641" t="s">
        <v>44</v>
      </c>
      <c r="M641" t="s">
        <v>45</v>
      </c>
    </row>
    <row r="642" spans="1:13">
      <c r="A642" t="s">
        <v>319</v>
      </c>
      <c r="B642" t="s">
        <v>179</v>
      </c>
      <c r="C642" t="s">
        <v>45</v>
      </c>
      <c r="D642" t="s">
        <v>1556</v>
      </c>
      <c r="E642">
        <v>2</v>
      </c>
      <c r="F642" t="s">
        <v>1557</v>
      </c>
      <c r="G642" s="10">
        <v>45105</v>
      </c>
      <c r="H642">
        <v>378000</v>
      </c>
      <c r="I642">
        <v>111334</v>
      </c>
      <c r="J642" t="s">
        <v>189</v>
      </c>
      <c r="K642">
        <v>6</v>
      </c>
      <c r="L642" t="s">
        <v>44</v>
      </c>
      <c r="M642" t="s">
        <v>45</v>
      </c>
    </row>
    <row r="643" spans="1:13">
      <c r="A643" t="s">
        <v>719</v>
      </c>
      <c r="B643" t="s">
        <v>215</v>
      </c>
      <c r="C643" t="s">
        <v>94</v>
      </c>
      <c r="D643" t="s">
        <v>1558</v>
      </c>
      <c r="E643">
        <v>2</v>
      </c>
      <c r="F643" t="s">
        <v>1559</v>
      </c>
      <c r="G643" s="10">
        <v>45110</v>
      </c>
      <c r="H643">
        <v>40000</v>
      </c>
      <c r="I643">
        <v>10834</v>
      </c>
      <c r="J643" t="s">
        <v>227</v>
      </c>
      <c r="K643">
        <v>5</v>
      </c>
      <c r="L643" t="s">
        <v>41</v>
      </c>
      <c r="M643" t="s">
        <v>42</v>
      </c>
    </row>
    <row r="644" spans="1:13">
      <c r="A644" t="s">
        <v>71</v>
      </c>
      <c r="B644" t="s">
        <v>72</v>
      </c>
      <c r="C644" t="s">
        <v>67</v>
      </c>
      <c r="D644" t="s">
        <v>1560</v>
      </c>
      <c r="E644">
        <v>1</v>
      </c>
      <c r="F644" t="s">
        <v>1561</v>
      </c>
      <c r="G644" s="10">
        <v>45139</v>
      </c>
      <c r="H644">
        <v>32130</v>
      </c>
      <c r="I644">
        <v>12130</v>
      </c>
      <c r="J644" t="s">
        <v>250</v>
      </c>
      <c r="K644">
        <v>6</v>
      </c>
      <c r="L644" t="s">
        <v>24</v>
      </c>
      <c r="M644" t="s">
        <v>29</v>
      </c>
    </row>
    <row r="645" spans="1:13">
      <c r="A645" t="s">
        <v>1171</v>
      </c>
      <c r="B645" t="s">
        <v>43</v>
      </c>
      <c r="C645" t="s">
        <v>94</v>
      </c>
      <c r="D645" t="s">
        <v>1562</v>
      </c>
      <c r="E645">
        <v>1</v>
      </c>
      <c r="F645" t="s">
        <v>1563</v>
      </c>
      <c r="G645" s="10">
        <v>45110</v>
      </c>
      <c r="H645">
        <v>38377.5</v>
      </c>
      <c r="I645">
        <v>13377.5</v>
      </c>
      <c r="J645" t="s">
        <v>250</v>
      </c>
      <c r="K645">
        <v>6</v>
      </c>
      <c r="L645" t="s">
        <v>24</v>
      </c>
      <c r="M645" t="s">
        <v>29</v>
      </c>
    </row>
    <row r="646" spans="1:13">
      <c r="A646" t="s">
        <v>1564</v>
      </c>
      <c r="B646" t="s">
        <v>43</v>
      </c>
      <c r="C646" t="s">
        <v>94</v>
      </c>
      <c r="D646" t="s">
        <v>1565</v>
      </c>
      <c r="E646">
        <v>1</v>
      </c>
      <c r="F646" t="s">
        <v>1566</v>
      </c>
      <c r="G646" s="10">
        <v>45110</v>
      </c>
      <c r="H646">
        <v>38378</v>
      </c>
      <c r="I646">
        <v>13378</v>
      </c>
      <c r="J646" t="s">
        <v>250</v>
      </c>
      <c r="K646">
        <v>6</v>
      </c>
      <c r="L646" t="s">
        <v>24</v>
      </c>
      <c r="M646" t="s">
        <v>29</v>
      </c>
    </row>
    <row r="647" spans="1:13">
      <c r="A647" t="s">
        <v>431</v>
      </c>
      <c r="B647" t="s">
        <v>160</v>
      </c>
      <c r="C647" t="s">
        <v>67</v>
      </c>
      <c r="D647" t="s">
        <v>1567</v>
      </c>
      <c r="E647">
        <v>2</v>
      </c>
      <c r="F647" t="s">
        <v>1568</v>
      </c>
      <c r="G647" s="10">
        <v>45103</v>
      </c>
      <c r="H647">
        <v>34500</v>
      </c>
      <c r="I647">
        <v>4500</v>
      </c>
      <c r="J647" t="s">
        <v>163</v>
      </c>
      <c r="K647">
        <v>5</v>
      </c>
      <c r="L647" t="s">
        <v>35</v>
      </c>
      <c r="M647" t="s">
        <v>27</v>
      </c>
    </row>
    <row r="648" spans="1:13">
      <c r="A648" t="s">
        <v>275</v>
      </c>
      <c r="B648" t="s">
        <v>160</v>
      </c>
      <c r="C648" t="s">
        <v>67</v>
      </c>
      <c r="D648" t="s">
        <v>1569</v>
      </c>
      <c r="E648">
        <v>2</v>
      </c>
      <c r="F648" t="s">
        <v>1570</v>
      </c>
      <c r="G648" s="10">
        <v>45103</v>
      </c>
      <c r="H648">
        <v>46800</v>
      </c>
      <c r="I648">
        <v>7800</v>
      </c>
      <c r="J648" t="s">
        <v>163</v>
      </c>
      <c r="K648">
        <v>6</v>
      </c>
      <c r="L648" t="s">
        <v>35</v>
      </c>
      <c r="M648" t="s">
        <v>27</v>
      </c>
    </row>
    <row r="649" spans="1:13">
      <c r="A649" t="s">
        <v>741</v>
      </c>
      <c r="B649" t="s">
        <v>46</v>
      </c>
      <c r="C649" t="s">
        <v>741</v>
      </c>
      <c r="D649" t="s">
        <v>1571</v>
      </c>
      <c r="E649">
        <v>4</v>
      </c>
      <c r="F649" t="s">
        <v>1572</v>
      </c>
      <c r="G649" s="10">
        <v>45098</v>
      </c>
      <c r="H649">
        <v>54080</v>
      </c>
      <c r="I649">
        <v>12414</v>
      </c>
      <c r="J649" t="s">
        <v>1573</v>
      </c>
      <c r="K649">
        <v>5</v>
      </c>
      <c r="L649" t="s">
        <v>44</v>
      </c>
      <c r="M649" t="s">
        <v>47</v>
      </c>
    </row>
    <row r="650" spans="1:13">
      <c r="A650" t="s">
        <v>480</v>
      </c>
      <c r="B650" t="s">
        <v>215</v>
      </c>
      <c r="C650" t="s">
        <v>94</v>
      </c>
      <c r="D650" t="s">
        <v>1574</v>
      </c>
      <c r="E650">
        <v>2</v>
      </c>
      <c r="F650" t="s">
        <v>1575</v>
      </c>
      <c r="G650" s="10">
        <v>45152</v>
      </c>
      <c r="H650">
        <v>85373.1</v>
      </c>
      <c r="I650">
        <v>6207.1</v>
      </c>
      <c r="J650" t="s">
        <v>1364</v>
      </c>
      <c r="K650">
        <v>5</v>
      </c>
      <c r="L650" t="s">
        <v>37</v>
      </c>
      <c r="M650" t="s">
        <v>25</v>
      </c>
    </row>
    <row r="651" spans="1:13">
      <c r="A651" t="s">
        <v>159</v>
      </c>
      <c r="B651" t="s">
        <v>160</v>
      </c>
      <c r="C651" t="s">
        <v>67</v>
      </c>
      <c r="D651" t="s">
        <v>1576</v>
      </c>
      <c r="E651">
        <v>2</v>
      </c>
      <c r="F651" t="s">
        <v>1577</v>
      </c>
      <c r="G651" s="10">
        <v>45103</v>
      </c>
      <c r="H651">
        <v>17400</v>
      </c>
      <c r="I651">
        <v>2400</v>
      </c>
      <c r="J651" t="s">
        <v>193</v>
      </c>
      <c r="K651">
        <v>6</v>
      </c>
      <c r="L651" t="s">
        <v>35</v>
      </c>
      <c r="M651" t="s">
        <v>27</v>
      </c>
    </row>
    <row r="652" spans="1:13">
      <c r="A652" t="s">
        <v>190</v>
      </c>
      <c r="B652" t="s">
        <v>160</v>
      </c>
      <c r="C652" t="s">
        <v>67</v>
      </c>
      <c r="D652" t="s">
        <v>1578</v>
      </c>
      <c r="E652">
        <v>2</v>
      </c>
      <c r="F652" t="s">
        <v>1579</v>
      </c>
      <c r="G652" s="10">
        <v>45105</v>
      </c>
      <c r="H652">
        <v>34500</v>
      </c>
      <c r="I652">
        <v>4500</v>
      </c>
      <c r="J652" t="s">
        <v>163</v>
      </c>
      <c r="K652">
        <v>6</v>
      </c>
      <c r="L652" t="s">
        <v>35</v>
      </c>
      <c r="M652" t="s">
        <v>27</v>
      </c>
    </row>
    <row r="653" spans="1:13">
      <c r="A653" t="s">
        <v>194</v>
      </c>
      <c r="B653" t="s">
        <v>160</v>
      </c>
      <c r="C653" t="s">
        <v>67</v>
      </c>
      <c r="D653" t="s">
        <v>1580</v>
      </c>
      <c r="E653">
        <v>2</v>
      </c>
      <c r="F653" t="s">
        <v>1581</v>
      </c>
      <c r="G653" s="10">
        <v>45113</v>
      </c>
      <c r="H653">
        <v>21850</v>
      </c>
      <c r="I653">
        <v>2850</v>
      </c>
      <c r="J653" t="s">
        <v>193</v>
      </c>
      <c r="K653">
        <v>5</v>
      </c>
      <c r="L653" t="s">
        <v>35</v>
      </c>
      <c r="M653" t="s">
        <v>27</v>
      </c>
    </row>
    <row r="654" spans="1:13">
      <c r="A654" t="s">
        <v>266</v>
      </c>
      <c r="B654" t="s">
        <v>160</v>
      </c>
      <c r="C654" t="s">
        <v>67</v>
      </c>
      <c r="D654" t="s">
        <v>1582</v>
      </c>
      <c r="E654">
        <v>2</v>
      </c>
      <c r="F654" t="s">
        <v>1583</v>
      </c>
      <c r="G654" s="10">
        <v>45128</v>
      </c>
      <c r="H654">
        <v>34500</v>
      </c>
      <c r="I654">
        <v>4500</v>
      </c>
      <c r="J654" t="s">
        <v>193</v>
      </c>
      <c r="K654">
        <v>5</v>
      </c>
      <c r="L654" t="s">
        <v>35</v>
      </c>
      <c r="M654" t="s">
        <v>27</v>
      </c>
    </row>
    <row r="655" spans="1:13">
      <c r="A655" t="s">
        <v>82</v>
      </c>
      <c r="B655" t="s">
        <v>28</v>
      </c>
      <c r="C655" t="s">
        <v>238</v>
      </c>
      <c r="D655" t="s">
        <v>1584</v>
      </c>
      <c r="E655">
        <v>2</v>
      </c>
      <c r="F655" t="s">
        <v>1585</v>
      </c>
      <c r="G655" s="10">
        <v>45103</v>
      </c>
      <c r="H655">
        <v>119700</v>
      </c>
      <c r="I655">
        <v>57200</v>
      </c>
      <c r="J655" t="s">
        <v>834</v>
      </c>
      <c r="K655">
        <v>6</v>
      </c>
      <c r="L655" t="s">
        <v>37</v>
      </c>
      <c r="M655" t="s">
        <v>25</v>
      </c>
    </row>
    <row r="656" spans="1:13">
      <c r="A656" t="s">
        <v>275</v>
      </c>
      <c r="B656" t="s">
        <v>160</v>
      </c>
      <c r="C656" t="s">
        <v>67</v>
      </c>
      <c r="D656" t="s">
        <v>1586</v>
      </c>
      <c r="E656">
        <v>2</v>
      </c>
      <c r="F656" t="s">
        <v>1587</v>
      </c>
      <c r="G656" s="10">
        <v>45103</v>
      </c>
      <c r="H656">
        <v>48000</v>
      </c>
      <c r="I656">
        <v>8000</v>
      </c>
      <c r="J656" t="s">
        <v>163</v>
      </c>
      <c r="K656">
        <v>6</v>
      </c>
      <c r="L656" t="s">
        <v>35</v>
      </c>
      <c r="M656" t="s">
        <v>27</v>
      </c>
    </row>
    <row r="657" spans="1:13">
      <c r="A657" t="s">
        <v>527</v>
      </c>
      <c r="B657" t="s">
        <v>93</v>
      </c>
      <c r="C657" t="s">
        <v>94</v>
      </c>
      <c r="D657" t="s">
        <v>1588</v>
      </c>
      <c r="E657">
        <v>2</v>
      </c>
      <c r="F657" t="s">
        <v>1589</v>
      </c>
      <c r="G657" s="10">
        <v>45117</v>
      </c>
      <c r="H657">
        <v>107100</v>
      </c>
      <c r="I657">
        <v>11267</v>
      </c>
      <c r="J657" t="s">
        <v>97</v>
      </c>
      <c r="K657">
        <v>6</v>
      </c>
      <c r="L657" t="s">
        <v>41</v>
      </c>
      <c r="M657" t="s">
        <v>42</v>
      </c>
    </row>
    <row r="658" spans="1:13">
      <c r="A658" t="s">
        <v>361</v>
      </c>
      <c r="B658" t="s">
        <v>72</v>
      </c>
      <c r="C658" t="s">
        <v>67</v>
      </c>
      <c r="D658" t="s">
        <v>1590</v>
      </c>
      <c r="E658">
        <v>1</v>
      </c>
      <c r="F658" t="s">
        <v>1591</v>
      </c>
      <c r="G658" s="10">
        <v>45145</v>
      </c>
      <c r="H658">
        <v>72292.5</v>
      </c>
      <c r="I658">
        <v>9792.5</v>
      </c>
      <c r="J658" t="s">
        <v>250</v>
      </c>
      <c r="K658">
        <v>6</v>
      </c>
      <c r="L658" t="s">
        <v>24</v>
      </c>
      <c r="M658" t="s">
        <v>29</v>
      </c>
    </row>
    <row r="659" spans="1:13">
      <c r="A659" t="s">
        <v>190</v>
      </c>
      <c r="B659" t="s">
        <v>160</v>
      </c>
      <c r="C659" t="s">
        <v>67</v>
      </c>
      <c r="D659" t="s">
        <v>1592</v>
      </c>
      <c r="E659">
        <v>1</v>
      </c>
      <c r="F659" t="s">
        <v>1593</v>
      </c>
      <c r="G659" s="10">
        <v>45108</v>
      </c>
      <c r="H659">
        <v>38377.5</v>
      </c>
      <c r="I659">
        <v>13377.5</v>
      </c>
      <c r="J659" t="s">
        <v>250</v>
      </c>
      <c r="K659">
        <v>6</v>
      </c>
      <c r="L659" t="s">
        <v>24</v>
      </c>
      <c r="M659" t="s">
        <v>29</v>
      </c>
    </row>
    <row r="660" spans="1:13">
      <c r="A660" t="s">
        <v>190</v>
      </c>
      <c r="B660" t="s">
        <v>160</v>
      </c>
      <c r="C660" t="s">
        <v>67</v>
      </c>
      <c r="D660" t="s">
        <v>1594</v>
      </c>
      <c r="E660">
        <v>2</v>
      </c>
      <c r="F660" t="s">
        <v>1595</v>
      </c>
      <c r="G660" s="10">
        <v>45103</v>
      </c>
      <c r="H660">
        <v>48000</v>
      </c>
      <c r="I660">
        <v>8000</v>
      </c>
      <c r="J660" t="s">
        <v>163</v>
      </c>
      <c r="K660">
        <v>6</v>
      </c>
      <c r="L660" t="s">
        <v>35</v>
      </c>
      <c r="M660" t="s">
        <v>27</v>
      </c>
    </row>
    <row r="661" spans="1:13">
      <c r="A661" t="s">
        <v>1596</v>
      </c>
      <c r="B661" t="s">
        <v>215</v>
      </c>
      <c r="C661" t="s">
        <v>94</v>
      </c>
      <c r="D661" t="s">
        <v>1597</v>
      </c>
      <c r="E661">
        <v>2</v>
      </c>
      <c r="F661" t="s">
        <v>1598</v>
      </c>
      <c r="G661" s="10">
        <v>45140</v>
      </c>
      <c r="H661">
        <v>115793.4</v>
      </c>
      <c r="I661">
        <v>40793.4</v>
      </c>
      <c r="J661" t="s">
        <v>1364</v>
      </c>
      <c r="K661">
        <v>6</v>
      </c>
      <c r="L661" t="s">
        <v>37</v>
      </c>
      <c r="M661" t="s">
        <v>25</v>
      </c>
    </row>
    <row r="662" spans="1:13">
      <c r="A662" t="s">
        <v>541</v>
      </c>
      <c r="B662" t="s">
        <v>43</v>
      </c>
      <c r="C662" t="s">
        <v>94</v>
      </c>
      <c r="D662" t="s">
        <v>1599</v>
      </c>
      <c r="E662">
        <v>1</v>
      </c>
      <c r="F662" t="s">
        <v>1600</v>
      </c>
      <c r="G662" s="10">
        <v>45166</v>
      </c>
      <c r="H662">
        <v>28620.6</v>
      </c>
      <c r="I662">
        <v>1954.6</v>
      </c>
      <c r="J662" t="s">
        <v>1364</v>
      </c>
      <c r="K662">
        <v>5</v>
      </c>
      <c r="L662" t="s">
        <v>37</v>
      </c>
      <c r="M662" t="s">
        <v>25</v>
      </c>
    </row>
    <row r="663" spans="1:13">
      <c r="A663" t="s">
        <v>256</v>
      </c>
      <c r="B663" t="s">
        <v>160</v>
      </c>
      <c r="C663" t="s">
        <v>67</v>
      </c>
      <c r="D663" t="s">
        <v>1601</v>
      </c>
      <c r="E663">
        <v>2</v>
      </c>
      <c r="F663" t="s">
        <v>1602</v>
      </c>
      <c r="G663" s="10">
        <v>45100</v>
      </c>
      <c r="H663">
        <v>17400</v>
      </c>
      <c r="I663">
        <v>2400</v>
      </c>
      <c r="J663" t="s">
        <v>193</v>
      </c>
      <c r="K663">
        <v>5</v>
      </c>
      <c r="L663" t="s">
        <v>35</v>
      </c>
      <c r="M663" t="s">
        <v>27</v>
      </c>
    </row>
    <row r="664" spans="1:13">
      <c r="A664" t="s">
        <v>1596</v>
      </c>
      <c r="B664" t="s">
        <v>215</v>
      </c>
      <c r="C664" t="s">
        <v>94</v>
      </c>
      <c r="D664" t="s">
        <v>1603</v>
      </c>
      <c r="E664">
        <v>2</v>
      </c>
      <c r="F664" t="s">
        <v>1604</v>
      </c>
      <c r="G664" s="10">
        <v>45162</v>
      </c>
      <c r="H664">
        <v>138363.29999999999</v>
      </c>
      <c r="I664">
        <v>46697.3</v>
      </c>
      <c r="J664" t="s">
        <v>1364</v>
      </c>
      <c r="K664">
        <v>6</v>
      </c>
      <c r="L664" t="s">
        <v>37</v>
      </c>
      <c r="M664" t="s">
        <v>25</v>
      </c>
    </row>
    <row r="665" spans="1:13">
      <c r="A665" t="s">
        <v>251</v>
      </c>
      <c r="B665" t="s">
        <v>160</v>
      </c>
      <c r="C665" t="s">
        <v>67</v>
      </c>
      <c r="D665" t="s">
        <v>1605</v>
      </c>
      <c r="E665">
        <v>2</v>
      </c>
      <c r="F665" t="s">
        <v>1606</v>
      </c>
      <c r="G665" s="10">
        <v>45103</v>
      </c>
      <c r="H665">
        <v>17400</v>
      </c>
      <c r="I665">
        <v>2400</v>
      </c>
      <c r="J665" t="s">
        <v>193</v>
      </c>
      <c r="K665">
        <v>6</v>
      </c>
      <c r="L665" t="s">
        <v>35</v>
      </c>
      <c r="M665" t="s">
        <v>27</v>
      </c>
    </row>
    <row r="666" spans="1:13">
      <c r="A666" t="s">
        <v>251</v>
      </c>
      <c r="B666" t="s">
        <v>160</v>
      </c>
      <c r="C666" t="s">
        <v>67</v>
      </c>
      <c r="D666" t="s">
        <v>1607</v>
      </c>
      <c r="E666">
        <v>2</v>
      </c>
      <c r="F666" t="s">
        <v>1608</v>
      </c>
      <c r="G666" s="10">
        <v>45104</v>
      </c>
      <c r="H666">
        <v>17400</v>
      </c>
      <c r="I666">
        <v>2400</v>
      </c>
      <c r="J666" t="s">
        <v>193</v>
      </c>
      <c r="K666">
        <v>6</v>
      </c>
      <c r="L666" t="s">
        <v>35</v>
      </c>
      <c r="M666" t="s">
        <v>27</v>
      </c>
    </row>
    <row r="667" spans="1:13">
      <c r="A667" t="s">
        <v>280</v>
      </c>
      <c r="B667" t="s">
        <v>160</v>
      </c>
      <c r="C667" t="s">
        <v>67</v>
      </c>
      <c r="D667" t="s">
        <v>1609</v>
      </c>
      <c r="E667">
        <v>2</v>
      </c>
      <c r="F667" t="s">
        <v>1610</v>
      </c>
      <c r="G667" s="10">
        <v>45103</v>
      </c>
      <c r="H667">
        <v>48000</v>
      </c>
      <c r="I667">
        <v>8000</v>
      </c>
      <c r="J667" t="s">
        <v>163</v>
      </c>
      <c r="K667">
        <v>5</v>
      </c>
      <c r="L667" t="s">
        <v>35</v>
      </c>
      <c r="M667" t="s">
        <v>27</v>
      </c>
    </row>
    <row r="668" spans="1:13">
      <c r="A668" t="s">
        <v>266</v>
      </c>
      <c r="B668" t="s">
        <v>160</v>
      </c>
      <c r="C668" t="s">
        <v>67</v>
      </c>
      <c r="D668" t="s">
        <v>1611</v>
      </c>
      <c r="E668">
        <v>2</v>
      </c>
      <c r="F668" t="s">
        <v>1612</v>
      </c>
      <c r="G668" s="10">
        <v>45103</v>
      </c>
      <c r="H668">
        <v>48000</v>
      </c>
      <c r="I668">
        <v>8000</v>
      </c>
      <c r="J668" t="s">
        <v>163</v>
      </c>
      <c r="K668">
        <v>5</v>
      </c>
      <c r="L668" t="s">
        <v>35</v>
      </c>
      <c r="M668" t="s">
        <v>27</v>
      </c>
    </row>
    <row r="669" spans="1:13">
      <c r="A669" t="s">
        <v>190</v>
      </c>
      <c r="B669" t="s">
        <v>160</v>
      </c>
      <c r="C669" t="s">
        <v>67</v>
      </c>
      <c r="D669" t="s">
        <v>1613</v>
      </c>
      <c r="E669">
        <v>2</v>
      </c>
      <c r="F669" t="s">
        <v>1614</v>
      </c>
      <c r="G669" s="10">
        <v>45103</v>
      </c>
      <c r="H669">
        <v>46560</v>
      </c>
      <c r="I669">
        <v>7760</v>
      </c>
      <c r="J669" t="s">
        <v>163</v>
      </c>
      <c r="K669">
        <v>6</v>
      </c>
      <c r="L669" t="s">
        <v>35</v>
      </c>
      <c r="M669" t="s">
        <v>27</v>
      </c>
    </row>
    <row r="670" spans="1:13">
      <c r="A670" t="s">
        <v>438</v>
      </c>
      <c r="B670" t="s">
        <v>43</v>
      </c>
      <c r="C670" t="s">
        <v>94</v>
      </c>
      <c r="D670" t="s">
        <v>1615</v>
      </c>
      <c r="E670">
        <v>1</v>
      </c>
      <c r="F670" t="s">
        <v>1616</v>
      </c>
      <c r="G670" s="10">
        <v>45139</v>
      </c>
      <c r="H670">
        <v>32130</v>
      </c>
      <c r="I670">
        <v>12130</v>
      </c>
      <c r="J670" t="s">
        <v>250</v>
      </c>
      <c r="K670">
        <v>6</v>
      </c>
      <c r="L670" t="s">
        <v>24</v>
      </c>
      <c r="M670" t="s">
        <v>29</v>
      </c>
    </row>
    <row r="671" spans="1:13">
      <c r="A671" t="s">
        <v>382</v>
      </c>
      <c r="B671" t="s">
        <v>141</v>
      </c>
      <c r="C671" t="s">
        <v>67</v>
      </c>
      <c r="D671" t="s">
        <v>1617</v>
      </c>
      <c r="E671">
        <v>1</v>
      </c>
      <c r="F671" t="s">
        <v>1618</v>
      </c>
      <c r="G671" s="10">
        <v>45139</v>
      </c>
      <c r="H671">
        <v>32130</v>
      </c>
      <c r="I671">
        <v>12130</v>
      </c>
      <c r="J671" t="s">
        <v>250</v>
      </c>
      <c r="K671">
        <v>6</v>
      </c>
      <c r="L671" t="s">
        <v>24</v>
      </c>
      <c r="M671" t="s">
        <v>29</v>
      </c>
    </row>
    <row r="672" spans="1:13">
      <c r="A672" t="s">
        <v>200</v>
      </c>
      <c r="B672" t="s">
        <v>179</v>
      </c>
      <c r="C672" t="s">
        <v>45</v>
      </c>
      <c r="D672" t="s">
        <v>1619</v>
      </c>
      <c r="E672">
        <v>2</v>
      </c>
      <c r="F672" t="s">
        <v>1620</v>
      </c>
      <c r="G672" s="10">
        <v>45107</v>
      </c>
      <c r="H672">
        <v>100000</v>
      </c>
      <c r="I672">
        <v>50000</v>
      </c>
      <c r="J672" t="s">
        <v>189</v>
      </c>
      <c r="K672">
        <v>5</v>
      </c>
      <c r="L672" t="s">
        <v>44</v>
      </c>
      <c r="M672" t="s">
        <v>45</v>
      </c>
    </row>
    <row r="673" spans="1:13">
      <c r="A673" t="s">
        <v>29</v>
      </c>
      <c r="B673" t="s">
        <v>98</v>
      </c>
      <c r="C673" t="s">
        <v>29</v>
      </c>
      <c r="D673" t="s">
        <v>1621</v>
      </c>
      <c r="E673">
        <v>1</v>
      </c>
      <c r="F673" t="s">
        <v>1622</v>
      </c>
      <c r="G673" s="10">
        <v>45159</v>
      </c>
      <c r="H673">
        <v>26775</v>
      </c>
      <c r="I673">
        <v>6775</v>
      </c>
      <c r="J673" t="s">
        <v>250</v>
      </c>
      <c r="K673">
        <v>6</v>
      </c>
      <c r="L673" t="s">
        <v>24</v>
      </c>
      <c r="M673" t="s">
        <v>29</v>
      </c>
    </row>
    <row r="674" spans="1:13">
      <c r="A674" t="s">
        <v>361</v>
      </c>
      <c r="B674" t="s">
        <v>72</v>
      </c>
      <c r="C674" t="s">
        <v>67</v>
      </c>
      <c r="D674" t="s">
        <v>1623</v>
      </c>
      <c r="E674">
        <v>1</v>
      </c>
      <c r="F674" t="s">
        <v>1624</v>
      </c>
      <c r="G674" s="10">
        <v>45139</v>
      </c>
      <c r="H674">
        <v>32130</v>
      </c>
      <c r="I674">
        <v>12130</v>
      </c>
      <c r="J674" t="s">
        <v>250</v>
      </c>
      <c r="K674">
        <v>6</v>
      </c>
      <c r="L674" t="s">
        <v>24</v>
      </c>
      <c r="M674" t="s">
        <v>29</v>
      </c>
    </row>
    <row r="675" spans="1:13">
      <c r="A675" t="s">
        <v>361</v>
      </c>
      <c r="B675" t="s">
        <v>72</v>
      </c>
      <c r="C675" t="s">
        <v>67</v>
      </c>
      <c r="D675" t="s">
        <v>1625</v>
      </c>
      <c r="E675">
        <v>1</v>
      </c>
      <c r="F675" t="s">
        <v>1626</v>
      </c>
      <c r="G675" s="10">
        <v>45170</v>
      </c>
      <c r="H675">
        <v>32130</v>
      </c>
      <c r="I675">
        <v>12130</v>
      </c>
      <c r="J675" t="s">
        <v>250</v>
      </c>
      <c r="K675">
        <v>6</v>
      </c>
      <c r="L675" t="s">
        <v>24</v>
      </c>
      <c r="M675" t="s">
        <v>29</v>
      </c>
    </row>
    <row r="676" spans="1:13">
      <c r="A676" t="s">
        <v>541</v>
      </c>
      <c r="B676" t="s">
        <v>43</v>
      </c>
      <c r="C676" t="s">
        <v>94</v>
      </c>
      <c r="D676" t="s">
        <v>1627</v>
      </c>
      <c r="E676">
        <v>1</v>
      </c>
      <c r="F676" t="s">
        <v>1628</v>
      </c>
      <c r="G676" s="10">
        <v>45139</v>
      </c>
      <c r="H676">
        <v>32130</v>
      </c>
      <c r="I676">
        <v>12130</v>
      </c>
      <c r="J676" t="s">
        <v>250</v>
      </c>
      <c r="K676">
        <v>6</v>
      </c>
      <c r="L676" t="s">
        <v>24</v>
      </c>
      <c r="M676" t="s">
        <v>29</v>
      </c>
    </row>
    <row r="677" spans="1:13">
      <c r="A677" t="s">
        <v>813</v>
      </c>
      <c r="B677" t="s">
        <v>43</v>
      </c>
      <c r="C677" t="s">
        <v>94</v>
      </c>
      <c r="D677" t="s">
        <v>1629</v>
      </c>
      <c r="E677">
        <v>1</v>
      </c>
      <c r="F677" t="s">
        <v>1630</v>
      </c>
      <c r="G677" s="10">
        <v>45139</v>
      </c>
      <c r="H677">
        <v>32130</v>
      </c>
      <c r="I677">
        <v>12130</v>
      </c>
      <c r="J677" t="s">
        <v>250</v>
      </c>
      <c r="K677">
        <v>5</v>
      </c>
      <c r="L677" t="s">
        <v>24</v>
      </c>
      <c r="M677" t="s">
        <v>29</v>
      </c>
    </row>
    <row r="678" spans="1:13">
      <c r="A678" t="s">
        <v>1631</v>
      </c>
      <c r="B678" t="s">
        <v>179</v>
      </c>
      <c r="C678" t="s">
        <v>45</v>
      </c>
      <c r="D678" t="s">
        <v>1632</v>
      </c>
      <c r="E678">
        <v>2</v>
      </c>
      <c r="F678" t="s">
        <v>1633</v>
      </c>
      <c r="G678" s="10">
        <v>45100</v>
      </c>
      <c r="H678">
        <v>268800</v>
      </c>
      <c r="I678">
        <v>102134</v>
      </c>
      <c r="J678" t="s">
        <v>189</v>
      </c>
      <c r="K678">
        <v>5</v>
      </c>
      <c r="L678" t="s">
        <v>44</v>
      </c>
      <c r="M678" t="s">
        <v>45</v>
      </c>
    </row>
    <row r="679" spans="1:13">
      <c r="A679" t="s">
        <v>1564</v>
      </c>
      <c r="B679" t="s">
        <v>43</v>
      </c>
      <c r="C679" t="s">
        <v>94</v>
      </c>
      <c r="D679" t="s">
        <v>1634</v>
      </c>
      <c r="E679">
        <v>1</v>
      </c>
      <c r="F679" t="s">
        <v>1635</v>
      </c>
      <c r="G679" s="10">
        <v>45139</v>
      </c>
      <c r="H679">
        <v>0</v>
      </c>
      <c r="I679">
        <v>-20000</v>
      </c>
      <c r="J679" t="s">
        <v>250</v>
      </c>
      <c r="K679">
        <v>6</v>
      </c>
      <c r="L679" t="s">
        <v>24</v>
      </c>
      <c r="M679" t="s">
        <v>29</v>
      </c>
    </row>
    <row r="680" spans="1:13">
      <c r="A680" t="s">
        <v>813</v>
      </c>
      <c r="B680" t="s">
        <v>43</v>
      </c>
      <c r="C680" t="s">
        <v>94</v>
      </c>
      <c r="D680" t="s">
        <v>1636</v>
      </c>
      <c r="E680">
        <v>1</v>
      </c>
      <c r="F680" t="s">
        <v>1637</v>
      </c>
      <c r="G680" s="10">
        <v>45139</v>
      </c>
      <c r="H680">
        <v>32130</v>
      </c>
      <c r="I680">
        <v>12130</v>
      </c>
      <c r="J680" t="s">
        <v>250</v>
      </c>
      <c r="K680">
        <v>6</v>
      </c>
      <c r="L680" t="s">
        <v>24</v>
      </c>
      <c r="M680" t="s">
        <v>29</v>
      </c>
    </row>
    <row r="681" spans="1:13">
      <c r="A681" t="s">
        <v>194</v>
      </c>
      <c r="B681" t="s">
        <v>160</v>
      </c>
      <c r="C681" t="s">
        <v>67</v>
      </c>
      <c r="D681" t="s">
        <v>1638</v>
      </c>
      <c r="E681">
        <v>2</v>
      </c>
      <c r="F681" t="s">
        <v>1639</v>
      </c>
      <c r="G681" s="10">
        <v>45103</v>
      </c>
      <c r="H681">
        <v>48000</v>
      </c>
      <c r="I681">
        <v>8000</v>
      </c>
      <c r="J681" t="s">
        <v>163</v>
      </c>
      <c r="K681">
        <v>5</v>
      </c>
      <c r="L681" t="s">
        <v>35</v>
      </c>
      <c r="M681" t="s">
        <v>27</v>
      </c>
    </row>
    <row r="682" spans="1:13">
      <c r="A682" t="s">
        <v>870</v>
      </c>
      <c r="B682" t="s">
        <v>215</v>
      </c>
      <c r="C682" t="s">
        <v>94</v>
      </c>
      <c r="D682" t="s">
        <v>1640</v>
      </c>
      <c r="E682">
        <v>2</v>
      </c>
      <c r="F682" t="s">
        <v>1641</v>
      </c>
      <c r="G682" s="10">
        <v>45218</v>
      </c>
      <c r="H682">
        <v>135000</v>
      </c>
      <c r="I682">
        <v>26667</v>
      </c>
      <c r="J682" t="s">
        <v>1364</v>
      </c>
      <c r="K682">
        <v>5</v>
      </c>
      <c r="L682" t="s">
        <v>37</v>
      </c>
      <c r="M682" t="s">
        <v>25</v>
      </c>
    </row>
    <row r="683" spans="1:13">
      <c r="A683" t="s">
        <v>1642</v>
      </c>
      <c r="B683" t="s">
        <v>683</v>
      </c>
      <c r="C683" t="s">
        <v>238</v>
      </c>
      <c r="D683" t="s">
        <v>1643</v>
      </c>
      <c r="E683">
        <v>2</v>
      </c>
      <c r="F683" t="s">
        <v>1644</v>
      </c>
      <c r="G683" s="10">
        <v>45330</v>
      </c>
      <c r="H683">
        <v>100000</v>
      </c>
      <c r="I683">
        <v>33334</v>
      </c>
      <c r="J683" t="s">
        <v>1364</v>
      </c>
      <c r="K683">
        <v>5</v>
      </c>
      <c r="L683" t="s">
        <v>37</v>
      </c>
      <c r="M683" t="s">
        <v>25</v>
      </c>
    </row>
    <row r="684" spans="1:13">
      <c r="A684" t="s">
        <v>275</v>
      </c>
      <c r="B684" t="s">
        <v>160</v>
      </c>
      <c r="C684" t="s">
        <v>67</v>
      </c>
      <c r="D684" t="s">
        <v>1645</v>
      </c>
      <c r="E684">
        <v>2</v>
      </c>
      <c r="F684" t="s">
        <v>1646</v>
      </c>
      <c r="G684" s="10">
        <v>45103</v>
      </c>
      <c r="H684">
        <v>48000</v>
      </c>
      <c r="I684">
        <v>8000</v>
      </c>
      <c r="J684" t="s">
        <v>163</v>
      </c>
      <c r="K684">
        <v>6</v>
      </c>
      <c r="L684" t="s">
        <v>35</v>
      </c>
      <c r="M684" t="s">
        <v>27</v>
      </c>
    </row>
    <row r="685" spans="1:13">
      <c r="A685" t="s">
        <v>1171</v>
      </c>
      <c r="B685" t="s">
        <v>43</v>
      </c>
      <c r="C685" t="s">
        <v>94</v>
      </c>
      <c r="D685" t="s">
        <v>1647</v>
      </c>
      <c r="E685">
        <v>1</v>
      </c>
      <c r="F685" t="s">
        <v>1648</v>
      </c>
      <c r="G685" s="10">
        <v>45139</v>
      </c>
      <c r="H685">
        <v>32130</v>
      </c>
      <c r="I685">
        <v>12130</v>
      </c>
      <c r="J685" t="s">
        <v>250</v>
      </c>
      <c r="K685">
        <v>6</v>
      </c>
      <c r="L685" t="s">
        <v>24</v>
      </c>
      <c r="M685" t="s">
        <v>29</v>
      </c>
    </row>
    <row r="686" spans="1:13">
      <c r="A686" t="s">
        <v>1511</v>
      </c>
      <c r="B686" t="s">
        <v>41</v>
      </c>
      <c r="C686" t="s">
        <v>1511</v>
      </c>
      <c r="D686" t="s">
        <v>1649</v>
      </c>
      <c r="E686">
        <v>2</v>
      </c>
      <c r="F686" t="s">
        <v>1650</v>
      </c>
      <c r="G686" s="10">
        <v>45121</v>
      </c>
      <c r="H686">
        <v>67200</v>
      </c>
      <c r="I686">
        <v>17200</v>
      </c>
      <c r="J686" t="s">
        <v>1357</v>
      </c>
      <c r="K686">
        <v>6</v>
      </c>
      <c r="L686" t="s">
        <v>41</v>
      </c>
      <c r="M686" t="s">
        <v>25</v>
      </c>
    </row>
    <row r="687" spans="1:13">
      <c r="A687" t="s">
        <v>1651</v>
      </c>
      <c r="B687" t="s">
        <v>25</v>
      </c>
      <c r="C687" t="s">
        <v>1511</v>
      </c>
      <c r="D687" t="s">
        <v>1652</v>
      </c>
      <c r="E687">
        <v>2</v>
      </c>
      <c r="F687" t="s">
        <v>1653</v>
      </c>
      <c r="G687" s="10">
        <v>45105</v>
      </c>
      <c r="H687">
        <v>67200</v>
      </c>
      <c r="I687">
        <v>17200</v>
      </c>
      <c r="J687" t="s">
        <v>1357</v>
      </c>
      <c r="K687">
        <v>6</v>
      </c>
      <c r="L687" t="s">
        <v>41</v>
      </c>
      <c r="M687" t="s">
        <v>25</v>
      </c>
    </row>
    <row r="688" spans="1:13">
      <c r="A688" t="s">
        <v>197</v>
      </c>
      <c r="B688" t="s">
        <v>160</v>
      </c>
      <c r="C688" t="s">
        <v>67</v>
      </c>
      <c r="D688" t="s">
        <v>1654</v>
      </c>
      <c r="E688">
        <v>2</v>
      </c>
      <c r="F688" t="s">
        <v>1655</v>
      </c>
      <c r="G688" s="10">
        <v>45103</v>
      </c>
      <c r="H688">
        <v>17400</v>
      </c>
      <c r="I688">
        <v>2400</v>
      </c>
      <c r="J688" t="s">
        <v>193</v>
      </c>
      <c r="K688">
        <v>6</v>
      </c>
      <c r="L688" t="s">
        <v>35</v>
      </c>
      <c r="M688" t="s">
        <v>27</v>
      </c>
    </row>
    <row r="689" spans="1:13">
      <c r="A689" t="s">
        <v>1511</v>
      </c>
      <c r="B689" t="s">
        <v>41</v>
      </c>
      <c r="C689" t="s">
        <v>1511</v>
      </c>
      <c r="D689" t="s">
        <v>1656</v>
      </c>
      <c r="E689">
        <v>2</v>
      </c>
      <c r="F689" t="s">
        <v>1657</v>
      </c>
      <c r="G689" s="10">
        <v>45105</v>
      </c>
      <c r="H689">
        <v>67200</v>
      </c>
      <c r="I689">
        <v>21367</v>
      </c>
      <c r="J689" t="s">
        <v>1357</v>
      </c>
      <c r="K689">
        <v>6</v>
      </c>
      <c r="L689" t="s">
        <v>41</v>
      </c>
      <c r="M689" t="s">
        <v>25</v>
      </c>
    </row>
    <row r="690" spans="1:13">
      <c r="A690" t="s">
        <v>1658</v>
      </c>
      <c r="B690" t="s">
        <v>160</v>
      </c>
      <c r="C690" t="s">
        <v>67</v>
      </c>
      <c r="D690" t="s">
        <v>1659</v>
      </c>
      <c r="E690">
        <v>2</v>
      </c>
      <c r="F690" t="s">
        <v>1660</v>
      </c>
      <c r="G690" s="10">
        <v>45105</v>
      </c>
      <c r="H690">
        <v>17400</v>
      </c>
      <c r="I690">
        <v>2400</v>
      </c>
      <c r="J690" t="s">
        <v>193</v>
      </c>
      <c r="K690">
        <v>6</v>
      </c>
      <c r="L690" t="s">
        <v>35</v>
      </c>
      <c r="M690" t="s">
        <v>27</v>
      </c>
    </row>
    <row r="691" spans="1:13">
      <c r="A691" t="s">
        <v>197</v>
      </c>
      <c r="B691" t="s">
        <v>160</v>
      </c>
      <c r="C691" t="s">
        <v>67</v>
      </c>
      <c r="D691" t="s">
        <v>1661</v>
      </c>
      <c r="E691">
        <v>2</v>
      </c>
      <c r="F691" t="s">
        <v>1662</v>
      </c>
      <c r="G691" s="10">
        <v>45104</v>
      </c>
      <c r="H691">
        <v>17400</v>
      </c>
      <c r="I691">
        <v>2400</v>
      </c>
      <c r="J691" t="s">
        <v>193</v>
      </c>
      <c r="K691">
        <v>5</v>
      </c>
      <c r="L691" t="s">
        <v>35</v>
      </c>
      <c r="M691" t="s">
        <v>27</v>
      </c>
    </row>
    <row r="692" spans="1:13">
      <c r="A692" t="s">
        <v>642</v>
      </c>
      <c r="B692" t="s">
        <v>179</v>
      </c>
      <c r="C692" t="s">
        <v>45</v>
      </c>
      <c r="D692" t="s">
        <v>1663</v>
      </c>
      <c r="E692">
        <v>2</v>
      </c>
      <c r="F692" t="s">
        <v>1664</v>
      </c>
      <c r="G692" s="10">
        <v>45103</v>
      </c>
      <c r="H692">
        <v>285600</v>
      </c>
      <c r="I692">
        <v>118934</v>
      </c>
      <c r="J692" t="s">
        <v>182</v>
      </c>
      <c r="K692">
        <v>5</v>
      </c>
      <c r="L692" t="s">
        <v>44</v>
      </c>
      <c r="M692" t="s">
        <v>45</v>
      </c>
    </row>
    <row r="693" spans="1:13">
      <c r="A693" t="s">
        <v>361</v>
      </c>
      <c r="B693" t="s">
        <v>72</v>
      </c>
      <c r="C693" t="s">
        <v>67</v>
      </c>
      <c r="D693" t="s">
        <v>1665</v>
      </c>
      <c r="E693">
        <v>1</v>
      </c>
      <c r="F693" t="s">
        <v>1666</v>
      </c>
      <c r="G693" s="10">
        <v>45108</v>
      </c>
      <c r="H693">
        <v>38377.5</v>
      </c>
      <c r="I693">
        <v>13377.5</v>
      </c>
      <c r="J693" t="s">
        <v>250</v>
      </c>
      <c r="K693">
        <v>6</v>
      </c>
      <c r="L693" t="s">
        <v>24</v>
      </c>
      <c r="M693" t="s">
        <v>29</v>
      </c>
    </row>
    <row r="694" spans="1:13">
      <c r="A694" t="s">
        <v>29</v>
      </c>
      <c r="B694" t="s">
        <v>98</v>
      </c>
      <c r="C694" t="s">
        <v>29</v>
      </c>
      <c r="D694" t="s">
        <v>1667</v>
      </c>
      <c r="E694">
        <v>1</v>
      </c>
      <c r="F694" t="s">
        <v>1668</v>
      </c>
      <c r="G694" s="10">
        <v>45139</v>
      </c>
      <c r="H694">
        <v>32130</v>
      </c>
      <c r="I694">
        <v>12130</v>
      </c>
      <c r="J694" t="s">
        <v>250</v>
      </c>
      <c r="K694">
        <v>6</v>
      </c>
      <c r="L694" t="s">
        <v>24</v>
      </c>
      <c r="M694" t="s">
        <v>29</v>
      </c>
    </row>
    <row r="695" spans="1:13">
      <c r="A695" t="s">
        <v>76</v>
      </c>
      <c r="B695" t="s">
        <v>72</v>
      </c>
      <c r="C695" t="s">
        <v>67</v>
      </c>
      <c r="D695" t="s">
        <v>1669</v>
      </c>
      <c r="E695">
        <v>1</v>
      </c>
      <c r="F695" t="s">
        <v>1670</v>
      </c>
      <c r="G695" s="10">
        <v>45139</v>
      </c>
      <c r="H695">
        <v>32130</v>
      </c>
      <c r="I695">
        <v>12130</v>
      </c>
      <c r="J695" t="s">
        <v>250</v>
      </c>
      <c r="K695">
        <v>6</v>
      </c>
      <c r="L695" t="s">
        <v>24</v>
      </c>
      <c r="M695" t="s">
        <v>29</v>
      </c>
    </row>
    <row r="696" spans="1:13">
      <c r="A696" t="s">
        <v>76</v>
      </c>
      <c r="B696" t="s">
        <v>72</v>
      </c>
      <c r="C696" t="s">
        <v>67</v>
      </c>
      <c r="D696" t="s">
        <v>1671</v>
      </c>
      <c r="E696">
        <v>1</v>
      </c>
      <c r="F696" t="s">
        <v>1672</v>
      </c>
      <c r="G696" s="10">
        <v>45139</v>
      </c>
      <c r="H696">
        <v>32130</v>
      </c>
      <c r="I696">
        <v>12130</v>
      </c>
      <c r="J696" t="s">
        <v>250</v>
      </c>
      <c r="K696">
        <v>6</v>
      </c>
      <c r="L696" t="s">
        <v>24</v>
      </c>
      <c r="M696" t="s">
        <v>29</v>
      </c>
    </row>
    <row r="697" spans="1:13">
      <c r="A697" t="s">
        <v>76</v>
      </c>
      <c r="B697" t="s">
        <v>72</v>
      </c>
      <c r="C697" t="s">
        <v>67</v>
      </c>
      <c r="D697" t="s">
        <v>1673</v>
      </c>
      <c r="E697">
        <v>1</v>
      </c>
      <c r="F697" t="s">
        <v>1674</v>
      </c>
      <c r="G697" s="10">
        <v>45139</v>
      </c>
      <c r="H697">
        <v>32130</v>
      </c>
      <c r="I697">
        <v>12130</v>
      </c>
      <c r="J697" t="s">
        <v>250</v>
      </c>
      <c r="K697">
        <v>6</v>
      </c>
      <c r="L697" t="s">
        <v>24</v>
      </c>
      <c r="M697" t="s">
        <v>29</v>
      </c>
    </row>
    <row r="698" spans="1:13">
      <c r="A698" t="s">
        <v>361</v>
      </c>
      <c r="B698" t="s">
        <v>72</v>
      </c>
      <c r="C698" t="s">
        <v>67</v>
      </c>
      <c r="D698" t="s">
        <v>1675</v>
      </c>
      <c r="E698">
        <v>1</v>
      </c>
      <c r="F698" t="s">
        <v>1676</v>
      </c>
      <c r="G698" s="10">
        <v>45170</v>
      </c>
      <c r="H698">
        <v>32130</v>
      </c>
      <c r="I698">
        <v>12130</v>
      </c>
      <c r="J698" t="s">
        <v>250</v>
      </c>
      <c r="K698">
        <v>6</v>
      </c>
      <c r="L698" t="s">
        <v>24</v>
      </c>
      <c r="M698" t="s">
        <v>29</v>
      </c>
    </row>
    <row r="699" spans="1:13">
      <c r="A699" t="s">
        <v>71</v>
      </c>
      <c r="B699" t="s">
        <v>72</v>
      </c>
      <c r="C699" t="s">
        <v>67</v>
      </c>
      <c r="D699" t="s">
        <v>1677</v>
      </c>
      <c r="E699">
        <v>1</v>
      </c>
      <c r="F699" t="s">
        <v>1678</v>
      </c>
      <c r="G699" s="10">
        <v>45108</v>
      </c>
      <c r="H699">
        <v>0</v>
      </c>
      <c r="I699">
        <v>-25000</v>
      </c>
      <c r="J699" t="s">
        <v>250</v>
      </c>
      <c r="K699">
        <v>6</v>
      </c>
      <c r="L699" t="s">
        <v>24</v>
      </c>
      <c r="M699" t="s">
        <v>29</v>
      </c>
    </row>
    <row r="700" spans="1:13">
      <c r="A700" t="s">
        <v>361</v>
      </c>
      <c r="B700" t="s">
        <v>72</v>
      </c>
      <c r="C700" t="s">
        <v>67</v>
      </c>
      <c r="D700" t="s">
        <v>1679</v>
      </c>
      <c r="E700">
        <v>1</v>
      </c>
      <c r="F700" t="s">
        <v>1680</v>
      </c>
      <c r="G700" s="10">
        <v>45139</v>
      </c>
      <c r="H700">
        <v>38377.5</v>
      </c>
      <c r="I700">
        <v>13377.5</v>
      </c>
      <c r="J700" t="s">
        <v>250</v>
      </c>
      <c r="K700">
        <v>6</v>
      </c>
      <c r="L700" t="s">
        <v>24</v>
      </c>
      <c r="M700" t="s">
        <v>29</v>
      </c>
    </row>
    <row r="701" spans="1:13">
      <c r="A701" t="s">
        <v>361</v>
      </c>
      <c r="B701" t="s">
        <v>72</v>
      </c>
      <c r="C701" t="s">
        <v>67</v>
      </c>
      <c r="D701" t="s">
        <v>1681</v>
      </c>
      <c r="E701">
        <v>1</v>
      </c>
      <c r="F701" t="s">
        <v>1682</v>
      </c>
      <c r="G701" s="10">
        <v>45139</v>
      </c>
      <c r="H701">
        <v>32130</v>
      </c>
      <c r="I701">
        <v>12130</v>
      </c>
      <c r="J701" t="s">
        <v>250</v>
      </c>
      <c r="K701">
        <v>6</v>
      </c>
      <c r="L701" t="s">
        <v>24</v>
      </c>
      <c r="M701" t="s">
        <v>29</v>
      </c>
    </row>
    <row r="702" spans="1:13">
      <c r="A702" t="s">
        <v>71</v>
      </c>
      <c r="B702" t="s">
        <v>72</v>
      </c>
      <c r="C702" t="s">
        <v>67</v>
      </c>
      <c r="D702" t="s">
        <v>1683</v>
      </c>
      <c r="E702">
        <v>1</v>
      </c>
      <c r="F702" t="s">
        <v>1684</v>
      </c>
      <c r="G702" s="10">
        <v>45139</v>
      </c>
      <c r="H702">
        <v>32130</v>
      </c>
      <c r="I702">
        <v>12130</v>
      </c>
      <c r="J702" t="s">
        <v>250</v>
      </c>
      <c r="K702">
        <v>6</v>
      </c>
      <c r="L702" t="s">
        <v>24</v>
      </c>
      <c r="M702" t="s">
        <v>29</v>
      </c>
    </row>
    <row r="703" spans="1:13">
      <c r="A703" t="s">
        <v>71</v>
      </c>
      <c r="B703" t="s">
        <v>72</v>
      </c>
      <c r="C703" t="s">
        <v>67</v>
      </c>
      <c r="D703" t="s">
        <v>1685</v>
      </c>
      <c r="E703">
        <v>1</v>
      </c>
      <c r="F703" t="s">
        <v>1686</v>
      </c>
      <c r="G703" s="10">
        <v>45139</v>
      </c>
      <c r="H703">
        <v>32130</v>
      </c>
      <c r="I703">
        <v>12130</v>
      </c>
      <c r="J703" t="s">
        <v>250</v>
      </c>
      <c r="K703">
        <v>6</v>
      </c>
      <c r="L703" t="s">
        <v>24</v>
      </c>
      <c r="M703" t="s">
        <v>29</v>
      </c>
    </row>
    <row r="704" spans="1:13">
      <c r="A704" t="s">
        <v>71</v>
      </c>
      <c r="B704" t="s">
        <v>72</v>
      </c>
      <c r="C704" t="s">
        <v>67</v>
      </c>
      <c r="D704" t="s">
        <v>1687</v>
      </c>
      <c r="E704">
        <v>1</v>
      </c>
      <c r="F704" t="s">
        <v>1688</v>
      </c>
      <c r="G704" s="10">
        <v>45139</v>
      </c>
      <c r="H704">
        <v>32130</v>
      </c>
      <c r="I704">
        <v>12130</v>
      </c>
      <c r="J704" t="s">
        <v>250</v>
      </c>
      <c r="K704">
        <v>6</v>
      </c>
      <c r="L704" t="s">
        <v>24</v>
      </c>
      <c r="M704" t="s">
        <v>29</v>
      </c>
    </row>
    <row r="705" spans="1:13">
      <c r="A705" t="s">
        <v>71</v>
      </c>
      <c r="B705" t="s">
        <v>72</v>
      </c>
      <c r="C705" t="s">
        <v>67</v>
      </c>
      <c r="D705" t="s">
        <v>1689</v>
      </c>
      <c r="E705">
        <v>1</v>
      </c>
      <c r="F705" t="s">
        <v>1690</v>
      </c>
      <c r="G705" s="10">
        <v>45139</v>
      </c>
      <c r="H705">
        <v>32130</v>
      </c>
      <c r="I705">
        <v>12130</v>
      </c>
      <c r="J705" t="s">
        <v>250</v>
      </c>
      <c r="K705">
        <v>6</v>
      </c>
      <c r="L705" t="s">
        <v>24</v>
      </c>
      <c r="M705" t="s">
        <v>29</v>
      </c>
    </row>
    <row r="706" spans="1:13">
      <c r="A706" t="s">
        <v>71</v>
      </c>
      <c r="B706" t="s">
        <v>72</v>
      </c>
      <c r="C706" t="s">
        <v>67</v>
      </c>
      <c r="D706" t="s">
        <v>1691</v>
      </c>
      <c r="E706">
        <v>1</v>
      </c>
      <c r="F706" t="s">
        <v>1692</v>
      </c>
      <c r="G706" s="10">
        <v>45139</v>
      </c>
      <c r="H706">
        <v>32130</v>
      </c>
      <c r="I706">
        <v>12130</v>
      </c>
      <c r="J706" t="s">
        <v>250</v>
      </c>
      <c r="K706">
        <v>6</v>
      </c>
      <c r="L706" t="s">
        <v>24</v>
      </c>
      <c r="M706" t="s">
        <v>29</v>
      </c>
    </row>
    <row r="707" spans="1:13">
      <c r="A707" t="s">
        <v>361</v>
      </c>
      <c r="B707" t="s">
        <v>72</v>
      </c>
      <c r="C707" t="s">
        <v>67</v>
      </c>
      <c r="D707" t="s">
        <v>1693</v>
      </c>
      <c r="E707">
        <v>1</v>
      </c>
      <c r="F707" t="s">
        <v>1694</v>
      </c>
      <c r="G707" s="10">
        <v>45139</v>
      </c>
      <c r="H707">
        <v>0</v>
      </c>
      <c r="I707">
        <v>-20000</v>
      </c>
      <c r="J707" t="s">
        <v>250</v>
      </c>
      <c r="K707">
        <v>6</v>
      </c>
      <c r="L707" t="s">
        <v>24</v>
      </c>
      <c r="M707" t="s">
        <v>29</v>
      </c>
    </row>
    <row r="708" spans="1:13">
      <c r="A708" t="s">
        <v>361</v>
      </c>
      <c r="B708" t="s">
        <v>72</v>
      </c>
      <c r="C708" t="s">
        <v>67</v>
      </c>
      <c r="D708" t="s">
        <v>1695</v>
      </c>
      <c r="E708">
        <v>1</v>
      </c>
      <c r="F708" t="s">
        <v>1696</v>
      </c>
      <c r="G708" s="10">
        <v>45145</v>
      </c>
      <c r="H708">
        <v>72293</v>
      </c>
      <c r="I708">
        <v>9793</v>
      </c>
      <c r="J708" t="s">
        <v>250</v>
      </c>
      <c r="K708">
        <v>6</v>
      </c>
      <c r="L708" t="s">
        <v>24</v>
      </c>
      <c r="M708" t="s">
        <v>29</v>
      </c>
    </row>
    <row r="709" spans="1:13">
      <c r="A709" t="s">
        <v>1193</v>
      </c>
      <c r="B709" t="s">
        <v>141</v>
      </c>
      <c r="C709" t="s">
        <v>67</v>
      </c>
      <c r="D709" t="s">
        <v>1697</v>
      </c>
      <c r="E709">
        <v>1</v>
      </c>
      <c r="F709" t="s">
        <v>1698</v>
      </c>
      <c r="G709" s="10">
        <v>45108</v>
      </c>
      <c r="H709">
        <v>38377.5</v>
      </c>
      <c r="I709">
        <v>13377.5</v>
      </c>
      <c r="J709" t="s">
        <v>250</v>
      </c>
      <c r="K709">
        <v>6</v>
      </c>
      <c r="L709" t="s">
        <v>24</v>
      </c>
      <c r="M709" t="s">
        <v>29</v>
      </c>
    </row>
    <row r="710" spans="1:13">
      <c r="A710" t="s">
        <v>76</v>
      </c>
      <c r="B710" t="s">
        <v>72</v>
      </c>
      <c r="C710" t="s">
        <v>67</v>
      </c>
      <c r="D710" t="s">
        <v>1699</v>
      </c>
      <c r="E710">
        <v>1</v>
      </c>
      <c r="F710" t="s">
        <v>1700</v>
      </c>
      <c r="G710" s="10">
        <v>45139</v>
      </c>
      <c r="H710">
        <v>32130</v>
      </c>
      <c r="I710">
        <v>12130</v>
      </c>
      <c r="J710" t="s">
        <v>250</v>
      </c>
      <c r="K710">
        <v>6</v>
      </c>
      <c r="L710" t="s">
        <v>24</v>
      </c>
      <c r="M710" t="s">
        <v>29</v>
      </c>
    </row>
    <row r="711" spans="1:13">
      <c r="A711" t="s">
        <v>382</v>
      </c>
      <c r="B711" t="s">
        <v>141</v>
      </c>
      <c r="C711" t="s">
        <v>67</v>
      </c>
      <c r="D711" t="s">
        <v>1701</v>
      </c>
      <c r="E711">
        <v>1</v>
      </c>
      <c r="F711" t="s">
        <v>1702</v>
      </c>
      <c r="G711" s="10">
        <v>45108</v>
      </c>
      <c r="H711">
        <v>38377.5</v>
      </c>
      <c r="I711">
        <v>13377.5</v>
      </c>
      <c r="J711" t="s">
        <v>250</v>
      </c>
      <c r="K711">
        <v>6</v>
      </c>
      <c r="L711" t="s">
        <v>24</v>
      </c>
      <c r="M711" t="s">
        <v>29</v>
      </c>
    </row>
    <row r="712" spans="1:13">
      <c r="A712" t="s">
        <v>1193</v>
      </c>
      <c r="B712" t="s">
        <v>141</v>
      </c>
      <c r="C712" t="s">
        <v>67</v>
      </c>
      <c r="D712" t="s">
        <v>1703</v>
      </c>
      <c r="E712">
        <v>1</v>
      </c>
      <c r="F712" t="s">
        <v>1704</v>
      </c>
      <c r="G712" s="10">
        <v>45108</v>
      </c>
      <c r="H712">
        <v>38377.5</v>
      </c>
      <c r="I712">
        <v>13377.5</v>
      </c>
      <c r="J712" t="s">
        <v>250</v>
      </c>
      <c r="K712">
        <v>6</v>
      </c>
      <c r="L712" t="s">
        <v>24</v>
      </c>
      <c r="M712" t="s">
        <v>29</v>
      </c>
    </row>
    <row r="713" spans="1:13">
      <c r="A713" t="s">
        <v>361</v>
      </c>
      <c r="B713" t="s">
        <v>72</v>
      </c>
      <c r="C713" t="s">
        <v>67</v>
      </c>
      <c r="D713" t="s">
        <v>1705</v>
      </c>
      <c r="E713">
        <v>1</v>
      </c>
      <c r="F713" t="s">
        <v>1706</v>
      </c>
      <c r="G713" s="10">
        <v>45139</v>
      </c>
      <c r="H713">
        <v>32130</v>
      </c>
      <c r="I713">
        <v>12130</v>
      </c>
      <c r="J713" t="s">
        <v>250</v>
      </c>
      <c r="K713">
        <v>6</v>
      </c>
      <c r="L713" t="s">
        <v>24</v>
      </c>
      <c r="M713" t="s">
        <v>29</v>
      </c>
    </row>
    <row r="714" spans="1:13">
      <c r="A714" t="s">
        <v>361</v>
      </c>
      <c r="B714" t="s">
        <v>72</v>
      </c>
      <c r="C714" t="s">
        <v>67</v>
      </c>
      <c r="D714" t="s">
        <v>1707</v>
      </c>
      <c r="E714">
        <v>1</v>
      </c>
      <c r="F714" t="s">
        <v>1708</v>
      </c>
      <c r="G714" s="10">
        <v>45139</v>
      </c>
      <c r="H714">
        <v>32130</v>
      </c>
      <c r="I714">
        <v>12130</v>
      </c>
      <c r="J714" t="s">
        <v>250</v>
      </c>
      <c r="K714">
        <v>6</v>
      </c>
      <c r="L714" t="s">
        <v>24</v>
      </c>
      <c r="M714" t="s">
        <v>29</v>
      </c>
    </row>
    <row r="715" spans="1:13">
      <c r="A715" t="s">
        <v>813</v>
      </c>
      <c r="B715" t="s">
        <v>43</v>
      </c>
      <c r="C715" t="s">
        <v>94</v>
      </c>
      <c r="D715" t="s">
        <v>1709</v>
      </c>
      <c r="E715">
        <v>1</v>
      </c>
      <c r="F715" t="s">
        <v>1710</v>
      </c>
      <c r="G715" s="10">
        <v>45108</v>
      </c>
      <c r="H715">
        <v>38377.5</v>
      </c>
      <c r="I715">
        <v>13377.5</v>
      </c>
      <c r="J715" t="s">
        <v>250</v>
      </c>
      <c r="K715">
        <v>6</v>
      </c>
      <c r="L715" t="s">
        <v>24</v>
      </c>
      <c r="M715" t="s">
        <v>29</v>
      </c>
    </row>
    <row r="716" spans="1:13">
      <c r="A716" t="s">
        <v>71</v>
      </c>
      <c r="B716" t="s">
        <v>72</v>
      </c>
      <c r="C716" t="s">
        <v>67</v>
      </c>
      <c r="D716" t="s">
        <v>1711</v>
      </c>
      <c r="E716">
        <v>1</v>
      </c>
      <c r="F716" t="s">
        <v>1712</v>
      </c>
      <c r="G716" s="10">
        <v>45139</v>
      </c>
      <c r="H716">
        <v>32130</v>
      </c>
      <c r="I716">
        <v>12130</v>
      </c>
      <c r="J716" t="s">
        <v>250</v>
      </c>
      <c r="K716">
        <v>6</v>
      </c>
      <c r="L716" t="s">
        <v>24</v>
      </c>
      <c r="M716" t="s">
        <v>29</v>
      </c>
    </row>
    <row r="717" spans="1:13">
      <c r="A717" t="s">
        <v>740</v>
      </c>
      <c r="B717" t="s">
        <v>123</v>
      </c>
      <c r="C717" t="s">
        <v>1093</v>
      </c>
      <c r="D717" t="s">
        <v>1713</v>
      </c>
      <c r="E717">
        <v>2</v>
      </c>
      <c r="F717" t="s">
        <v>1714</v>
      </c>
      <c r="G717" s="10">
        <v>45104</v>
      </c>
      <c r="H717">
        <v>310464</v>
      </c>
      <c r="I717">
        <v>185464</v>
      </c>
      <c r="J717" t="s">
        <v>878</v>
      </c>
      <c r="K717">
        <v>5</v>
      </c>
      <c r="L717" t="s">
        <v>44</v>
      </c>
      <c r="M717" t="s">
        <v>48</v>
      </c>
    </row>
    <row r="718" spans="1:13">
      <c r="A718" t="s">
        <v>1171</v>
      </c>
      <c r="B718" t="s">
        <v>43</v>
      </c>
      <c r="C718" t="s">
        <v>94</v>
      </c>
      <c r="D718" t="s">
        <v>1715</v>
      </c>
      <c r="E718">
        <v>1</v>
      </c>
      <c r="F718" t="s">
        <v>1716</v>
      </c>
      <c r="G718" s="10">
        <v>45139</v>
      </c>
      <c r="H718">
        <v>0</v>
      </c>
      <c r="I718">
        <v>-20000</v>
      </c>
      <c r="J718" t="s">
        <v>250</v>
      </c>
      <c r="K718">
        <v>6</v>
      </c>
      <c r="L718" t="s">
        <v>24</v>
      </c>
      <c r="M718" t="s">
        <v>29</v>
      </c>
    </row>
    <row r="719" spans="1:13">
      <c r="A719" t="s">
        <v>382</v>
      </c>
      <c r="B719" t="s">
        <v>141</v>
      </c>
      <c r="C719" t="s">
        <v>67</v>
      </c>
      <c r="D719" t="s">
        <v>1717</v>
      </c>
      <c r="E719">
        <v>1</v>
      </c>
      <c r="F719" t="s">
        <v>1718</v>
      </c>
      <c r="G719" s="10">
        <v>45108</v>
      </c>
      <c r="H719">
        <v>38377.5</v>
      </c>
      <c r="I719">
        <v>13377.5</v>
      </c>
      <c r="J719" t="s">
        <v>250</v>
      </c>
      <c r="K719">
        <v>6</v>
      </c>
      <c r="L719" t="s">
        <v>24</v>
      </c>
      <c r="M719" t="s">
        <v>29</v>
      </c>
    </row>
    <row r="720" spans="1:13">
      <c r="A720" t="s">
        <v>382</v>
      </c>
      <c r="B720" t="s">
        <v>141</v>
      </c>
      <c r="C720" t="s">
        <v>67</v>
      </c>
      <c r="D720" t="s">
        <v>1719</v>
      </c>
      <c r="E720">
        <v>1</v>
      </c>
      <c r="F720" t="s">
        <v>1720</v>
      </c>
      <c r="G720" s="10">
        <v>45108</v>
      </c>
      <c r="H720">
        <v>38377.5</v>
      </c>
      <c r="I720">
        <v>13377.5</v>
      </c>
      <c r="J720" t="s">
        <v>250</v>
      </c>
      <c r="K720">
        <v>6</v>
      </c>
      <c r="L720" t="s">
        <v>24</v>
      </c>
      <c r="M720" t="s">
        <v>29</v>
      </c>
    </row>
    <row r="721" spans="1:13">
      <c r="A721" t="s">
        <v>541</v>
      </c>
      <c r="B721" t="s">
        <v>43</v>
      </c>
      <c r="C721" t="s">
        <v>94</v>
      </c>
      <c r="D721" t="s">
        <v>1721</v>
      </c>
      <c r="E721">
        <v>1</v>
      </c>
      <c r="F721" t="s">
        <v>1722</v>
      </c>
      <c r="G721" s="10">
        <v>45139</v>
      </c>
      <c r="H721">
        <v>32130</v>
      </c>
      <c r="I721">
        <v>12130</v>
      </c>
      <c r="J721" t="s">
        <v>250</v>
      </c>
      <c r="K721">
        <v>6</v>
      </c>
      <c r="L721" t="s">
        <v>24</v>
      </c>
      <c r="M721" t="s">
        <v>29</v>
      </c>
    </row>
    <row r="722" spans="1:13">
      <c r="A722" t="s">
        <v>140</v>
      </c>
      <c r="B722" t="s">
        <v>141</v>
      </c>
      <c r="C722" t="s">
        <v>67</v>
      </c>
      <c r="D722" t="s">
        <v>1723</v>
      </c>
      <c r="E722">
        <v>1</v>
      </c>
      <c r="F722" t="s">
        <v>1724</v>
      </c>
      <c r="G722" s="10">
        <v>45108</v>
      </c>
      <c r="H722">
        <v>38377.5</v>
      </c>
      <c r="I722">
        <v>13377.5</v>
      </c>
      <c r="J722" t="s">
        <v>250</v>
      </c>
      <c r="K722">
        <v>6</v>
      </c>
      <c r="L722" t="s">
        <v>24</v>
      </c>
      <c r="M722" t="s">
        <v>29</v>
      </c>
    </row>
    <row r="723" spans="1:13">
      <c r="A723" t="s">
        <v>541</v>
      </c>
      <c r="B723" t="s">
        <v>43</v>
      </c>
      <c r="C723" t="s">
        <v>94</v>
      </c>
      <c r="D723" t="s">
        <v>1725</v>
      </c>
      <c r="E723">
        <v>1</v>
      </c>
      <c r="F723" t="s">
        <v>1726</v>
      </c>
      <c r="G723" s="10">
        <v>45139</v>
      </c>
      <c r="H723">
        <v>32130</v>
      </c>
      <c r="I723">
        <v>12130</v>
      </c>
      <c r="J723" t="s">
        <v>250</v>
      </c>
      <c r="K723">
        <v>6</v>
      </c>
      <c r="L723" t="s">
        <v>24</v>
      </c>
      <c r="M723" t="s">
        <v>29</v>
      </c>
    </row>
    <row r="724" spans="1:13">
      <c r="A724" t="s">
        <v>1171</v>
      </c>
      <c r="B724" t="s">
        <v>43</v>
      </c>
      <c r="C724" t="s">
        <v>94</v>
      </c>
      <c r="D724" t="s">
        <v>1727</v>
      </c>
      <c r="E724">
        <v>1</v>
      </c>
      <c r="F724" t="s">
        <v>1728</v>
      </c>
      <c r="G724" s="10">
        <v>45139</v>
      </c>
      <c r="H724">
        <v>32130</v>
      </c>
      <c r="I724">
        <v>12130</v>
      </c>
      <c r="J724" t="s">
        <v>250</v>
      </c>
      <c r="K724">
        <v>6</v>
      </c>
      <c r="L724" t="s">
        <v>24</v>
      </c>
      <c r="M724" t="s">
        <v>29</v>
      </c>
    </row>
    <row r="725" spans="1:13">
      <c r="A725" t="s">
        <v>854</v>
      </c>
      <c r="B725" t="s">
        <v>93</v>
      </c>
      <c r="C725" t="s">
        <v>94</v>
      </c>
      <c r="D725" t="s">
        <v>1729</v>
      </c>
      <c r="E725">
        <v>2</v>
      </c>
      <c r="F725" t="s">
        <v>1730</v>
      </c>
      <c r="G725" s="10">
        <v>45117</v>
      </c>
      <c r="H725">
        <v>178500</v>
      </c>
      <c r="I725">
        <v>45167</v>
      </c>
      <c r="J725" t="s">
        <v>97</v>
      </c>
      <c r="K725">
        <v>6</v>
      </c>
      <c r="L725" t="s">
        <v>41</v>
      </c>
      <c r="M725" t="s">
        <v>42</v>
      </c>
    </row>
    <row r="726" spans="1:13">
      <c r="A726" t="s">
        <v>794</v>
      </c>
      <c r="B726" t="s">
        <v>118</v>
      </c>
      <c r="C726" t="s">
        <v>98</v>
      </c>
      <c r="D726" t="s">
        <v>1731</v>
      </c>
      <c r="E726">
        <v>4</v>
      </c>
      <c r="F726" t="s">
        <v>1732</v>
      </c>
      <c r="G726" s="10">
        <v>45104</v>
      </c>
      <c r="H726">
        <v>140000</v>
      </c>
      <c r="I726">
        <v>56666.67</v>
      </c>
      <c r="J726" t="s">
        <v>121</v>
      </c>
      <c r="K726">
        <v>6</v>
      </c>
      <c r="L726" t="s">
        <v>24</v>
      </c>
      <c r="M726" t="s">
        <v>30</v>
      </c>
    </row>
    <row r="727" spans="1:13">
      <c r="A727" t="s">
        <v>200</v>
      </c>
      <c r="B727" t="s">
        <v>179</v>
      </c>
      <c r="C727" t="s">
        <v>45</v>
      </c>
      <c r="D727" t="s">
        <v>1733</v>
      </c>
      <c r="E727">
        <v>4</v>
      </c>
      <c r="F727" t="s">
        <v>1734</v>
      </c>
      <c r="G727" s="10">
        <v>45107</v>
      </c>
      <c r="H727">
        <v>369600</v>
      </c>
      <c r="I727">
        <v>136266.67000000001</v>
      </c>
      <c r="J727" t="s">
        <v>189</v>
      </c>
      <c r="K727">
        <v>6</v>
      </c>
      <c r="L727" t="s">
        <v>44</v>
      </c>
      <c r="M727" t="s">
        <v>45</v>
      </c>
    </row>
    <row r="728" spans="1:13">
      <c r="A728" t="s">
        <v>297</v>
      </c>
      <c r="B728" t="s">
        <v>179</v>
      </c>
      <c r="C728" t="s">
        <v>45</v>
      </c>
      <c r="D728" t="s">
        <v>1735</v>
      </c>
      <c r="E728">
        <v>2</v>
      </c>
      <c r="F728" t="s">
        <v>1736</v>
      </c>
      <c r="G728" s="10">
        <v>45117</v>
      </c>
      <c r="H728">
        <v>400000</v>
      </c>
      <c r="I728">
        <v>125000</v>
      </c>
      <c r="J728" t="s">
        <v>1737</v>
      </c>
      <c r="K728">
        <v>6</v>
      </c>
      <c r="L728" t="s">
        <v>44</v>
      </c>
      <c r="M728" t="s">
        <v>44</v>
      </c>
    </row>
    <row r="729" spans="1:13">
      <c r="A729" t="s">
        <v>341</v>
      </c>
      <c r="B729" t="s">
        <v>179</v>
      </c>
      <c r="C729" t="s">
        <v>45</v>
      </c>
      <c r="D729" t="s">
        <v>1738</v>
      </c>
      <c r="E729">
        <v>2</v>
      </c>
      <c r="F729" t="s">
        <v>1739</v>
      </c>
      <c r="G729" s="10">
        <v>45345</v>
      </c>
      <c r="H729">
        <v>250000</v>
      </c>
      <c r="I729">
        <v>58334</v>
      </c>
      <c r="J729" t="s">
        <v>1740</v>
      </c>
      <c r="K729">
        <v>5</v>
      </c>
      <c r="L729" t="s">
        <v>44</v>
      </c>
      <c r="M729" t="s">
        <v>45</v>
      </c>
    </row>
    <row r="730" spans="1:13">
      <c r="A730" t="s">
        <v>617</v>
      </c>
      <c r="B730" t="s">
        <v>179</v>
      </c>
      <c r="C730" t="s">
        <v>45</v>
      </c>
      <c r="D730" t="s">
        <v>1741</v>
      </c>
      <c r="E730">
        <v>2</v>
      </c>
      <c r="F730" t="s">
        <v>1742</v>
      </c>
      <c r="G730" s="10">
        <v>45350</v>
      </c>
      <c r="H730">
        <v>275000</v>
      </c>
      <c r="I730">
        <v>66667</v>
      </c>
      <c r="J730" t="s">
        <v>1740</v>
      </c>
      <c r="K730">
        <v>5</v>
      </c>
      <c r="L730" t="s">
        <v>44</v>
      </c>
      <c r="M730" t="s">
        <v>45</v>
      </c>
    </row>
    <row r="731" spans="1:13">
      <c r="A731" t="s">
        <v>379</v>
      </c>
      <c r="B731" t="s">
        <v>179</v>
      </c>
      <c r="C731" t="s">
        <v>45</v>
      </c>
      <c r="D731" t="s">
        <v>1743</v>
      </c>
      <c r="E731">
        <v>2</v>
      </c>
      <c r="F731" t="s">
        <v>1744</v>
      </c>
      <c r="G731" s="10">
        <v>45348</v>
      </c>
      <c r="H731">
        <v>250000</v>
      </c>
      <c r="I731">
        <v>33333.33</v>
      </c>
      <c r="J731" t="s">
        <v>1740</v>
      </c>
      <c r="K731">
        <v>5</v>
      </c>
      <c r="L731" t="s">
        <v>44</v>
      </c>
      <c r="M731" t="s">
        <v>45</v>
      </c>
    </row>
    <row r="732" spans="1:13">
      <c r="A732" t="s">
        <v>571</v>
      </c>
      <c r="B732" t="s">
        <v>179</v>
      </c>
      <c r="C732" t="s">
        <v>45</v>
      </c>
      <c r="D732" t="s">
        <v>1745</v>
      </c>
      <c r="E732">
        <v>2</v>
      </c>
      <c r="F732" t="s">
        <v>1746</v>
      </c>
      <c r="G732" s="10">
        <v>45348</v>
      </c>
      <c r="H732">
        <v>250000</v>
      </c>
      <c r="I732">
        <v>58333.33</v>
      </c>
      <c r="J732" t="s">
        <v>1740</v>
      </c>
      <c r="K732">
        <v>5</v>
      </c>
      <c r="L732" t="s">
        <v>44</v>
      </c>
      <c r="M732" t="s">
        <v>45</v>
      </c>
    </row>
    <row r="733" spans="1:13">
      <c r="A733" t="s">
        <v>1447</v>
      </c>
      <c r="B733" t="s">
        <v>179</v>
      </c>
      <c r="C733" t="s">
        <v>45</v>
      </c>
      <c r="D733" t="s">
        <v>1747</v>
      </c>
      <c r="E733">
        <v>4</v>
      </c>
      <c r="F733" t="s">
        <v>1748</v>
      </c>
      <c r="G733" s="10">
        <v>45348</v>
      </c>
      <c r="H733">
        <v>225000</v>
      </c>
      <c r="I733">
        <v>83334</v>
      </c>
      <c r="J733" t="s">
        <v>1740</v>
      </c>
      <c r="K733">
        <v>5</v>
      </c>
      <c r="L733" t="s">
        <v>44</v>
      </c>
      <c r="M733" t="s">
        <v>45</v>
      </c>
    </row>
    <row r="734" spans="1:13">
      <c r="A734" t="s">
        <v>1749</v>
      </c>
      <c r="B734" t="s">
        <v>179</v>
      </c>
      <c r="C734" t="s">
        <v>45</v>
      </c>
      <c r="D734" t="s">
        <v>1750</v>
      </c>
      <c r="E734">
        <v>2</v>
      </c>
      <c r="F734" t="s">
        <v>1751</v>
      </c>
      <c r="G734" s="10">
        <v>45356</v>
      </c>
      <c r="H734">
        <v>250000</v>
      </c>
      <c r="I734">
        <v>50000</v>
      </c>
      <c r="J734" t="s">
        <v>1740</v>
      </c>
      <c r="K734">
        <v>5</v>
      </c>
      <c r="L734" t="s">
        <v>44</v>
      </c>
      <c r="M734" t="s">
        <v>45</v>
      </c>
    </row>
    <row r="735" spans="1:13">
      <c r="A735" t="s">
        <v>243</v>
      </c>
      <c r="B735" t="s">
        <v>244</v>
      </c>
      <c r="C735" t="s">
        <v>245</v>
      </c>
      <c r="D735" t="s">
        <v>1752</v>
      </c>
      <c r="E735">
        <v>2</v>
      </c>
      <c r="F735" t="s">
        <v>1753</v>
      </c>
      <c r="G735" s="10">
        <v>45041</v>
      </c>
      <c r="H735">
        <v>172704</v>
      </c>
      <c r="I735">
        <v>21038</v>
      </c>
      <c r="J735" t="s">
        <v>1754</v>
      </c>
      <c r="K735">
        <v>6</v>
      </c>
      <c r="L735" t="s">
        <v>24</v>
      </c>
      <c r="M735" t="s">
        <v>26</v>
      </c>
    </row>
    <row r="736" spans="1:13">
      <c r="A736" t="s">
        <v>251</v>
      </c>
      <c r="B736" t="s">
        <v>160</v>
      </c>
      <c r="C736" t="s">
        <v>67</v>
      </c>
      <c r="D736" t="s">
        <v>1755</v>
      </c>
      <c r="E736">
        <v>2</v>
      </c>
      <c r="F736" t="s">
        <v>1756</v>
      </c>
      <c r="G736" s="10">
        <v>45105</v>
      </c>
      <c r="H736">
        <v>17400</v>
      </c>
      <c r="I736">
        <v>2400</v>
      </c>
      <c r="J736" t="s">
        <v>193</v>
      </c>
      <c r="K736">
        <v>5</v>
      </c>
      <c r="L736" t="s">
        <v>35</v>
      </c>
      <c r="M736" t="s">
        <v>27</v>
      </c>
    </row>
    <row r="737" spans="1:13">
      <c r="A737" t="s">
        <v>261</v>
      </c>
      <c r="B737" t="s">
        <v>160</v>
      </c>
      <c r="C737" t="s">
        <v>67</v>
      </c>
      <c r="D737" t="s">
        <v>1757</v>
      </c>
      <c r="E737">
        <v>2</v>
      </c>
      <c r="F737" t="s">
        <v>1758</v>
      </c>
      <c r="G737" s="10">
        <v>45107</v>
      </c>
      <c r="H737">
        <v>17400</v>
      </c>
      <c r="I737">
        <v>2400</v>
      </c>
      <c r="J737" t="s">
        <v>193</v>
      </c>
      <c r="K737">
        <v>6</v>
      </c>
      <c r="L737" t="s">
        <v>35</v>
      </c>
      <c r="M737" t="s">
        <v>27</v>
      </c>
    </row>
    <row r="738" spans="1:13">
      <c r="A738" t="s">
        <v>794</v>
      </c>
      <c r="B738" t="s">
        <v>118</v>
      </c>
      <c r="C738" t="s">
        <v>98</v>
      </c>
      <c r="D738" t="s">
        <v>1759</v>
      </c>
      <c r="E738">
        <v>1</v>
      </c>
      <c r="F738" t="s">
        <v>1760</v>
      </c>
      <c r="G738" s="10">
        <v>45110</v>
      </c>
      <c r="H738">
        <v>67200</v>
      </c>
      <c r="I738">
        <v>8867</v>
      </c>
      <c r="J738" t="s">
        <v>834</v>
      </c>
      <c r="K738">
        <v>6</v>
      </c>
      <c r="L738" t="s">
        <v>37</v>
      </c>
      <c r="M738" t="s">
        <v>25</v>
      </c>
    </row>
    <row r="739" spans="1:13">
      <c r="A739" t="s">
        <v>1547</v>
      </c>
      <c r="B739" t="s">
        <v>160</v>
      </c>
      <c r="C739" t="s">
        <v>67</v>
      </c>
      <c r="D739" t="s">
        <v>1761</v>
      </c>
      <c r="E739">
        <v>1</v>
      </c>
      <c r="F739" t="s">
        <v>1762</v>
      </c>
      <c r="G739" s="10">
        <v>45108</v>
      </c>
      <c r="H739">
        <v>72292.5</v>
      </c>
      <c r="I739">
        <v>9792.5</v>
      </c>
      <c r="J739" t="s">
        <v>250</v>
      </c>
      <c r="K739">
        <v>6</v>
      </c>
      <c r="L739" t="s">
        <v>24</v>
      </c>
      <c r="M739" t="s">
        <v>29</v>
      </c>
    </row>
    <row r="740" spans="1:13">
      <c r="A740" t="s">
        <v>197</v>
      </c>
      <c r="B740" t="s">
        <v>160</v>
      </c>
      <c r="C740" t="s">
        <v>67</v>
      </c>
      <c r="D740" t="s">
        <v>1763</v>
      </c>
      <c r="E740">
        <v>2</v>
      </c>
      <c r="F740" t="s">
        <v>1764</v>
      </c>
      <c r="G740" s="10">
        <v>45105</v>
      </c>
      <c r="H740">
        <v>17400</v>
      </c>
      <c r="I740">
        <v>2400</v>
      </c>
      <c r="J740" t="s">
        <v>193</v>
      </c>
      <c r="K740">
        <v>6</v>
      </c>
      <c r="L740" t="s">
        <v>35</v>
      </c>
      <c r="M740" t="s">
        <v>27</v>
      </c>
    </row>
    <row r="741" spans="1:13">
      <c r="A741" t="s">
        <v>197</v>
      </c>
      <c r="B741" t="s">
        <v>160</v>
      </c>
      <c r="C741" t="s">
        <v>67</v>
      </c>
      <c r="D741" t="s">
        <v>1765</v>
      </c>
      <c r="E741">
        <v>2</v>
      </c>
      <c r="F741" t="s">
        <v>1766</v>
      </c>
      <c r="G741" s="10">
        <v>45110</v>
      </c>
      <c r="H741">
        <v>17400</v>
      </c>
      <c r="I741">
        <v>2400</v>
      </c>
      <c r="J741" t="s">
        <v>193</v>
      </c>
      <c r="K741">
        <v>6</v>
      </c>
      <c r="L741" t="s">
        <v>35</v>
      </c>
      <c r="M741" t="s">
        <v>27</v>
      </c>
    </row>
    <row r="742" spans="1:13">
      <c r="A742" t="s">
        <v>431</v>
      </c>
      <c r="B742" t="s">
        <v>160</v>
      </c>
      <c r="C742" t="s">
        <v>67</v>
      </c>
      <c r="D742" t="s">
        <v>1767</v>
      </c>
      <c r="E742">
        <v>2</v>
      </c>
      <c r="F742" t="s">
        <v>1768</v>
      </c>
      <c r="G742" s="10">
        <v>45117</v>
      </c>
      <c r="H742">
        <v>17400</v>
      </c>
      <c r="I742">
        <v>2400</v>
      </c>
      <c r="J742" t="s">
        <v>193</v>
      </c>
      <c r="K742">
        <v>5</v>
      </c>
      <c r="L742" t="s">
        <v>35</v>
      </c>
      <c r="M742" t="s">
        <v>27</v>
      </c>
    </row>
    <row r="743" spans="1:13">
      <c r="A743" t="s">
        <v>1769</v>
      </c>
      <c r="B743" t="s">
        <v>1030</v>
      </c>
      <c r="C743" t="s">
        <v>94</v>
      </c>
      <c r="D743" t="s">
        <v>1770</v>
      </c>
      <c r="E743">
        <v>2</v>
      </c>
      <c r="F743" t="s">
        <v>1771</v>
      </c>
      <c r="G743" s="10">
        <v>45131</v>
      </c>
      <c r="H743">
        <v>72240</v>
      </c>
      <c r="I743">
        <v>9740</v>
      </c>
      <c r="J743" t="s">
        <v>1357</v>
      </c>
      <c r="K743">
        <v>6</v>
      </c>
      <c r="L743" t="s">
        <v>41</v>
      </c>
      <c r="M743" t="s">
        <v>25</v>
      </c>
    </row>
    <row r="744" spans="1:13">
      <c r="A744" t="s">
        <v>1772</v>
      </c>
      <c r="B744" t="s">
        <v>1030</v>
      </c>
      <c r="C744" t="s">
        <v>94</v>
      </c>
      <c r="D744" t="s">
        <v>1773</v>
      </c>
      <c r="E744">
        <v>2</v>
      </c>
      <c r="F744" t="s">
        <v>1774</v>
      </c>
      <c r="G744" s="10">
        <v>45155</v>
      </c>
      <c r="H744">
        <v>50400</v>
      </c>
      <c r="I744">
        <v>16234</v>
      </c>
      <c r="J744" t="s">
        <v>1357</v>
      </c>
      <c r="K744">
        <v>6</v>
      </c>
      <c r="L744" t="s">
        <v>41</v>
      </c>
      <c r="M744" t="s">
        <v>25</v>
      </c>
    </row>
    <row r="745" spans="1:13">
      <c r="A745" t="s">
        <v>256</v>
      </c>
      <c r="B745" t="s">
        <v>160</v>
      </c>
      <c r="C745" t="s">
        <v>67</v>
      </c>
      <c r="D745" t="s">
        <v>1775</v>
      </c>
      <c r="E745">
        <v>1</v>
      </c>
      <c r="F745" t="s">
        <v>1776</v>
      </c>
      <c r="G745" s="10">
        <v>45139</v>
      </c>
      <c r="H745">
        <v>32130</v>
      </c>
      <c r="I745">
        <v>12130</v>
      </c>
      <c r="J745" t="s">
        <v>250</v>
      </c>
      <c r="K745">
        <v>6</v>
      </c>
      <c r="L745" t="s">
        <v>24</v>
      </c>
      <c r="M745" t="s">
        <v>29</v>
      </c>
    </row>
    <row r="746" spans="1:13">
      <c r="A746" t="s">
        <v>175</v>
      </c>
      <c r="B746" t="s">
        <v>66</v>
      </c>
      <c r="C746" t="s">
        <v>67</v>
      </c>
      <c r="D746" t="s">
        <v>1777</v>
      </c>
      <c r="E746">
        <v>2</v>
      </c>
      <c r="F746" t="s">
        <v>1778</v>
      </c>
      <c r="G746" s="10">
        <v>45110</v>
      </c>
      <c r="H746">
        <v>51999.99</v>
      </c>
      <c r="I746">
        <v>8666.99</v>
      </c>
      <c r="J746" t="s">
        <v>70</v>
      </c>
      <c r="K746">
        <v>5</v>
      </c>
      <c r="L746" t="s">
        <v>35</v>
      </c>
      <c r="M746" t="s">
        <v>36</v>
      </c>
    </row>
    <row r="747" spans="1:13">
      <c r="A747" t="s">
        <v>76</v>
      </c>
      <c r="B747" t="s">
        <v>72</v>
      </c>
      <c r="C747" t="s">
        <v>67</v>
      </c>
      <c r="D747" t="s">
        <v>1779</v>
      </c>
      <c r="E747">
        <v>1</v>
      </c>
      <c r="F747" t="s">
        <v>1780</v>
      </c>
      <c r="G747" s="10">
        <v>45108</v>
      </c>
      <c r="H747">
        <v>72292.5</v>
      </c>
      <c r="I747">
        <v>9792.5</v>
      </c>
      <c r="J747" t="s">
        <v>250</v>
      </c>
      <c r="K747">
        <v>6</v>
      </c>
      <c r="L747" t="s">
        <v>24</v>
      </c>
      <c r="M747" t="s">
        <v>29</v>
      </c>
    </row>
    <row r="748" spans="1:13">
      <c r="A748" t="s">
        <v>522</v>
      </c>
      <c r="B748" t="s">
        <v>72</v>
      </c>
      <c r="C748" t="s">
        <v>67</v>
      </c>
      <c r="D748" t="s">
        <v>1781</v>
      </c>
      <c r="E748">
        <v>1</v>
      </c>
      <c r="F748" t="s">
        <v>1782</v>
      </c>
      <c r="G748" s="10">
        <v>45108</v>
      </c>
      <c r="H748">
        <v>38377.5</v>
      </c>
      <c r="I748">
        <v>13377.5</v>
      </c>
      <c r="J748" t="s">
        <v>250</v>
      </c>
      <c r="K748">
        <v>6</v>
      </c>
      <c r="L748" t="s">
        <v>24</v>
      </c>
      <c r="M748" t="s">
        <v>29</v>
      </c>
    </row>
    <row r="749" spans="1:13">
      <c r="A749" t="s">
        <v>76</v>
      </c>
      <c r="B749" t="s">
        <v>72</v>
      </c>
      <c r="C749" t="s">
        <v>67</v>
      </c>
      <c r="D749" t="s">
        <v>1783</v>
      </c>
      <c r="E749">
        <v>1</v>
      </c>
      <c r="F749" t="s">
        <v>1784</v>
      </c>
      <c r="G749" s="10">
        <v>45139</v>
      </c>
      <c r="H749">
        <v>0</v>
      </c>
      <c r="I749">
        <v>-20000</v>
      </c>
      <c r="J749" t="s">
        <v>250</v>
      </c>
      <c r="K749">
        <v>6</v>
      </c>
      <c r="L749" t="s">
        <v>24</v>
      </c>
      <c r="M749" t="s">
        <v>29</v>
      </c>
    </row>
    <row r="750" spans="1:13">
      <c r="A750" t="s">
        <v>194</v>
      </c>
      <c r="B750" t="s">
        <v>160</v>
      </c>
      <c r="C750" t="s">
        <v>67</v>
      </c>
      <c r="D750" t="s">
        <v>1785</v>
      </c>
      <c r="E750">
        <v>1</v>
      </c>
      <c r="F750" t="s">
        <v>1786</v>
      </c>
      <c r="G750" s="10">
        <v>45139</v>
      </c>
      <c r="H750">
        <v>32130</v>
      </c>
      <c r="I750">
        <v>12130</v>
      </c>
      <c r="J750" t="s">
        <v>250</v>
      </c>
      <c r="K750">
        <v>6</v>
      </c>
      <c r="L750" t="s">
        <v>24</v>
      </c>
      <c r="M750" t="s">
        <v>29</v>
      </c>
    </row>
    <row r="751" spans="1:13">
      <c r="A751" t="s">
        <v>379</v>
      </c>
      <c r="B751" t="s">
        <v>179</v>
      </c>
      <c r="C751" t="s">
        <v>45</v>
      </c>
      <c r="D751" t="s">
        <v>1787</v>
      </c>
      <c r="E751">
        <v>4</v>
      </c>
      <c r="F751" t="s">
        <v>1788</v>
      </c>
      <c r="G751" s="10">
        <v>45107</v>
      </c>
      <c r="H751">
        <v>302400</v>
      </c>
      <c r="I751">
        <v>102400</v>
      </c>
      <c r="J751" t="s">
        <v>189</v>
      </c>
      <c r="K751">
        <v>6</v>
      </c>
      <c r="L751" t="s">
        <v>44</v>
      </c>
      <c r="M751" t="s">
        <v>45</v>
      </c>
    </row>
    <row r="752" spans="1:13">
      <c r="A752" t="s">
        <v>661</v>
      </c>
      <c r="B752" t="s">
        <v>179</v>
      </c>
      <c r="C752" t="s">
        <v>45</v>
      </c>
      <c r="D752" t="s">
        <v>1789</v>
      </c>
      <c r="E752">
        <v>4</v>
      </c>
      <c r="F752" t="s">
        <v>1790</v>
      </c>
      <c r="G752" s="10">
        <v>45106</v>
      </c>
      <c r="H752">
        <v>100000</v>
      </c>
      <c r="I752">
        <v>20833.330000000002</v>
      </c>
      <c r="J752" t="s">
        <v>189</v>
      </c>
      <c r="K752">
        <v>6</v>
      </c>
      <c r="L752" t="s">
        <v>44</v>
      </c>
      <c r="M752" t="s">
        <v>45</v>
      </c>
    </row>
    <row r="753" spans="1:13">
      <c r="A753" t="s">
        <v>1193</v>
      </c>
      <c r="B753" t="s">
        <v>141</v>
      </c>
      <c r="C753" t="s">
        <v>67</v>
      </c>
      <c r="D753" t="s">
        <v>1791</v>
      </c>
      <c r="E753">
        <v>1</v>
      </c>
      <c r="F753" t="s">
        <v>1792</v>
      </c>
      <c r="G753" s="10">
        <v>45139</v>
      </c>
      <c r="H753">
        <v>0</v>
      </c>
      <c r="I753">
        <v>-20000</v>
      </c>
      <c r="J753" t="s">
        <v>250</v>
      </c>
      <c r="K753">
        <v>6</v>
      </c>
      <c r="L753" t="s">
        <v>24</v>
      </c>
      <c r="M753" t="s">
        <v>29</v>
      </c>
    </row>
    <row r="754" spans="1:13">
      <c r="A754" t="s">
        <v>1631</v>
      </c>
      <c r="B754" t="s">
        <v>179</v>
      </c>
      <c r="C754" t="s">
        <v>45</v>
      </c>
      <c r="D754" t="s">
        <v>1793</v>
      </c>
      <c r="E754">
        <v>4</v>
      </c>
      <c r="F754" t="s">
        <v>1794</v>
      </c>
      <c r="G754" s="10">
        <v>45106</v>
      </c>
      <c r="H754">
        <v>220000</v>
      </c>
      <c r="I754">
        <v>95000</v>
      </c>
      <c r="J754" t="s">
        <v>189</v>
      </c>
      <c r="K754">
        <v>6</v>
      </c>
      <c r="L754" t="s">
        <v>44</v>
      </c>
      <c r="M754" t="s">
        <v>45</v>
      </c>
    </row>
    <row r="755" spans="1:13">
      <c r="A755" t="s">
        <v>186</v>
      </c>
      <c r="B755" t="s">
        <v>179</v>
      </c>
      <c r="C755" t="s">
        <v>45</v>
      </c>
      <c r="D755" t="s">
        <v>1795</v>
      </c>
      <c r="E755">
        <v>2</v>
      </c>
      <c r="F755" t="s">
        <v>1796</v>
      </c>
      <c r="G755" s="10">
        <v>45107</v>
      </c>
      <c r="H755">
        <v>285600</v>
      </c>
      <c r="I755">
        <v>168934</v>
      </c>
      <c r="J755" t="s">
        <v>189</v>
      </c>
      <c r="K755">
        <v>6</v>
      </c>
      <c r="L755" t="s">
        <v>44</v>
      </c>
      <c r="M755" t="s">
        <v>45</v>
      </c>
    </row>
    <row r="756" spans="1:13">
      <c r="A756" t="s">
        <v>256</v>
      </c>
      <c r="B756" t="s">
        <v>160</v>
      </c>
      <c r="C756" t="s">
        <v>67</v>
      </c>
      <c r="D756" t="s">
        <v>1797</v>
      </c>
      <c r="E756">
        <v>1</v>
      </c>
      <c r="F756" t="s">
        <v>1798</v>
      </c>
      <c r="G756" s="10">
        <v>45139</v>
      </c>
      <c r="H756">
        <v>32130</v>
      </c>
      <c r="I756">
        <v>12130</v>
      </c>
      <c r="J756" t="s">
        <v>250</v>
      </c>
      <c r="K756">
        <v>6</v>
      </c>
      <c r="L756" t="s">
        <v>24</v>
      </c>
      <c r="M756" t="s">
        <v>29</v>
      </c>
    </row>
    <row r="757" spans="1:13">
      <c r="A757" t="s">
        <v>256</v>
      </c>
      <c r="B757" t="s">
        <v>160</v>
      </c>
      <c r="C757" t="s">
        <v>67</v>
      </c>
      <c r="D757" t="s">
        <v>1799</v>
      </c>
      <c r="E757">
        <v>1</v>
      </c>
      <c r="F757" t="s">
        <v>1800</v>
      </c>
      <c r="G757" s="10">
        <v>45139</v>
      </c>
      <c r="H757">
        <v>32130</v>
      </c>
      <c r="I757">
        <v>12130</v>
      </c>
      <c r="J757" t="s">
        <v>250</v>
      </c>
      <c r="K757">
        <v>6</v>
      </c>
      <c r="L757" t="s">
        <v>24</v>
      </c>
      <c r="M757" t="s">
        <v>29</v>
      </c>
    </row>
    <row r="758" spans="1:13">
      <c r="A758" t="s">
        <v>256</v>
      </c>
      <c r="B758" t="s">
        <v>160</v>
      </c>
      <c r="C758" t="s">
        <v>67</v>
      </c>
      <c r="D758" t="s">
        <v>1801</v>
      </c>
      <c r="E758">
        <v>1</v>
      </c>
      <c r="F758" t="s">
        <v>1802</v>
      </c>
      <c r="G758" s="10">
        <v>45139</v>
      </c>
      <c r="H758">
        <v>0</v>
      </c>
      <c r="I758">
        <v>-20000</v>
      </c>
      <c r="J758" t="s">
        <v>250</v>
      </c>
      <c r="K758">
        <v>6</v>
      </c>
      <c r="L758" t="s">
        <v>24</v>
      </c>
      <c r="M758" t="s">
        <v>29</v>
      </c>
    </row>
    <row r="759" spans="1:13">
      <c r="A759" t="s">
        <v>984</v>
      </c>
      <c r="B759" t="s">
        <v>28</v>
      </c>
      <c r="C759" t="s">
        <v>238</v>
      </c>
      <c r="D759" t="s">
        <v>1803</v>
      </c>
      <c r="E759">
        <v>2</v>
      </c>
      <c r="F759" t="s">
        <v>1804</v>
      </c>
      <c r="G759" s="10">
        <v>45184</v>
      </c>
      <c r="H759">
        <v>84504</v>
      </c>
      <c r="I759">
        <v>17838</v>
      </c>
      <c r="J759" t="s">
        <v>1754</v>
      </c>
      <c r="K759">
        <v>5</v>
      </c>
      <c r="L759" t="s">
        <v>24</v>
      </c>
      <c r="M759" t="s">
        <v>26</v>
      </c>
    </row>
    <row r="760" spans="1:13">
      <c r="A760" t="s">
        <v>541</v>
      </c>
      <c r="B760" t="s">
        <v>43</v>
      </c>
      <c r="C760" t="s">
        <v>94</v>
      </c>
      <c r="D760" t="s">
        <v>1805</v>
      </c>
      <c r="E760">
        <v>1</v>
      </c>
      <c r="F760" t="s">
        <v>1806</v>
      </c>
      <c r="G760" s="10">
        <v>45139</v>
      </c>
      <c r="H760">
        <v>32130</v>
      </c>
      <c r="I760">
        <v>12130</v>
      </c>
      <c r="J760" t="s">
        <v>250</v>
      </c>
      <c r="K760">
        <v>6</v>
      </c>
      <c r="L760" t="s">
        <v>24</v>
      </c>
      <c r="M760" t="s">
        <v>29</v>
      </c>
    </row>
    <row r="761" spans="1:13">
      <c r="A761" t="s">
        <v>617</v>
      </c>
      <c r="B761" t="s">
        <v>179</v>
      </c>
      <c r="C761" t="s">
        <v>45</v>
      </c>
      <c r="D761" t="s">
        <v>1807</v>
      </c>
      <c r="E761">
        <v>4</v>
      </c>
      <c r="F761" t="s">
        <v>1808</v>
      </c>
      <c r="G761" s="10">
        <v>45114</v>
      </c>
      <c r="H761">
        <v>270000</v>
      </c>
      <c r="I761">
        <v>61667</v>
      </c>
      <c r="J761" t="s">
        <v>884</v>
      </c>
      <c r="K761">
        <v>6</v>
      </c>
      <c r="L761" t="s">
        <v>44</v>
      </c>
      <c r="M761" t="s">
        <v>45</v>
      </c>
    </row>
    <row r="762" spans="1:13">
      <c r="A762" t="s">
        <v>1447</v>
      </c>
      <c r="B762" t="s">
        <v>179</v>
      </c>
      <c r="C762" t="s">
        <v>45</v>
      </c>
      <c r="D762" t="s">
        <v>1809</v>
      </c>
      <c r="E762">
        <v>2</v>
      </c>
      <c r="F762" t="s">
        <v>1810</v>
      </c>
      <c r="G762" s="10">
        <v>45114</v>
      </c>
      <c r="H762">
        <v>295000</v>
      </c>
      <c r="I762">
        <v>86667</v>
      </c>
      <c r="J762" t="s">
        <v>884</v>
      </c>
      <c r="K762">
        <v>5</v>
      </c>
      <c r="L762" t="s">
        <v>44</v>
      </c>
      <c r="M762" t="s">
        <v>45</v>
      </c>
    </row>
    <row r="763" spans="1:13">
      <c r="A763" t="s">
        <v>76</v>
      </c>
      <c r="B763" t="s">
        <v>72</v>
      </c>
      <c r="C763" t="s">
        <v>67</v>
      </c>
      <c r="D763" t="s">
        <v>1811</v>
      </c>
      <c r="E763">
        <v>1</v>
      </c>
      <c r="F763" t="s">
        <v>1812</v>
      </c>
      <c r="G763" s="10">
        <v>45108</v>
      </c>
      <c r="H763">
        <v>38377.5</v>
      </c>
      <c r="I763">
        <v>13377.5</v>
      </c>
      <c r="J763" t="s">
        <v>250</v>
      </c>
      <c r="K763">
        <v>6</v>
      </c>
      <c r="L763" t="s">
        <v>24</v>
      </c>
      <c r="M763" t="s">
        <v>29</v>
      </c>
    </row>
    <row r="764" spans="1:13">
      <c r="A764" t="s">
        <v>170</v>
      </c>
      <c r="B764" t="s">
        <v>66</v>
      </c>
      <c r="C764" t="s">
        <v>67</v>
      </c>
      <c r="D764" t="s">
        <v>1813</v>
      </c>
      <c r="E764">
        <v>2</v>
      </c>
      <c r="F764" t="s">
        <v>1814</v>
      </c>
      <c r="G764" s="10">
        <v>45117</v>
      </c>
      <c r="H764">
        <v>32500</v>
      </c>
      <c r="I764">
        <v>7500</v>
      </c>
      <c r="J764" t="s">
        <v>163</v>
      </c>
      <c r="K764">
        <v>5</v>
      </c>
      <c r="L764" t="s">
        <v>35</v>
      </c>
      <c r="M764" t="s">
        <v>27</v>
      </c>
    </row>
    <row r="765" spans="1:13">
      <c r="A765" t="s">
        <v>491</v>
      </c>
      <c r="B765" t="s">
        <v>93</v>
      </c>
      <c r="C765" t="s">
        <v>94</v>
      </c>
      <c r="D765" t="s">
        <v>1815</v>
      </c>
      <c r="E765">
        <v>2</v>
      </c>
      <c r="F765" t="s">
        <v>1816</v>
      </c>
      <c r="G765" s="10">
        <v>45117</v>
      </c>
      <c r="H765">
        <v>84000</v>
      </c>
      <c r="I765">
        <v>9000</v>
      </c>
      <c r="J765" t="s">
        <v>1357</v>
      </c>
      <c r="K765">
        <v>6</v>
      </c>
      <c r="L765" t="s">
        <v>41</v>
      </c>
      <c r="M765" t="s">
        <v>25</v>
      </c>
    </row>
    <row r="766" spans="1:13">
      <c r="A766" t="s">
        <v>1817</v>
      </c>
      <c r="B766" t="s">
        <v>224</v>
      </c>
      <c r="C766" t="s">
        <v>94</v>
      </c>
      <c r="D766" t="s">
        <v>1818</v>
      </c>
      <c r="E766">
        <v>7</v>
      </c>
      <c r="F766" t="s">
        <v>1819</v>
      </c>
      <c r="G766" s="10">
        <v>45111</v>
      </c>
      <c r="H766">
        <v>64152</v>
      </c>
      <c r="I766">
        <v>2762</v>
      </c>
      <c r="J766" t="s">
        <v>313</v>
      </c>
      <c r="K766">
        <v>5</v>
      </c>
      <c r="L766" t="s">
        <v>41</v>
      </c>
      <c r="M766" t="s">
        <v>42</v>
      </c>
    </row>
    <row r="767" spans="1:13">
      <c r="A767" t="s">
        <v>1820</v>
      </c>
      <c r="B767" t="s">
        <v>215</v>
      </c>
      <c r="C767" t="s">
        <v>94</v>
      </c>
      <c r="D767" t="s">
        <v>1821</v>
      </c>
      <c r="E767">
        <v>2</v>
      </c>
      <c r="F767" t="s">
        <v>1822</v>
      </c>
      <c r="G767" s="10">
        <v>45114</v>
      </c>
      <c r="H767">
        <v>225000</v>
      </c>
      <c r="I767">
        <v>9000</v>
      </c>
      <c r="J767" t="s">
        <v>227</v>
      </c>
      <c r="K767">
        <v>5</v>
      </c>
      <c r="L767" t="s">
        <v>41</v>
      </c>
      <c r="M767" t="s">
        <v>42</v>
      </c>
    </row>
    <row r="768" spans="1:13">
      <c r="A768" t="s">
        <v>194</v>
      </c>
      <c r="B768" t="s">
        <v>160</v>
      </c>
      <c r="C768" t="s">
        <v>67</v>
      </c>
      <c r="D768" t="s">
        <v>1823</v>
      </c>
      <c r="E768">
        <v>2</v>
      </c>
      <c r="F768" t="s">
        <v>1824</v>
      </c>
      <c r="G768" s="10">
        <v>45117</v>
      </c>
      <c r="H768">
        <v>48000</v>
      </c>
      <c r="I768">
        <v>8000</v>
      </c>
      <c r="J768" t="s">
        <v>163</v>
      </c>
      <c r="K768">
        <v>5</v>
      </c>
      <c r="L768" t="s">
        <v>35</v>
      </c>
      <c r="M768" t="s">
        <v>27</v>
      </c>
    </row>
    <row r="769" spans="1:13">
      <c r="A769" t="s">
        <v>645</v>
      </c>
      <c r="B769" t="s">
        <v>28</v>
      </c>
      <c r="C769" t="s">
        <v>238</v>
      </c>
      <c r="D769" t="s">
        <v>1825</v>
      </c>
      <c r="E769">
        <v>2</v>
      </c>
      <c r="F769" t="s">
        <v>1826</v>
      </c>
      <c r="G769" s="10">
        <v>45198</v>
      </c>
      <c r="H769">
        <v>84504</v>
      </c>
      <c r="I769">
        <v>7838</v>
      </c>
      <c r="J769" t="s">
        <v>1754</v>
      </c>
      <c r="K769">
        <v>6</v>
      </c>
      <c r="L769" t="s">
        <v>24</v>
      </c>
      <c r="M769" t="s">
        <v>26</v>
      </c>
    </row>
    <row r="770" spans="1:13">
      <c r="A770" t="s">
        <v>319</v>
      </c>
      <c r="B770" t="s">
        <v>179</v>
      </c>
      <c r="C770" t="s">
        <v>45</v>
      </c>
      <c r="D770" t="s">
        <v>1827</v>
      </c>
      <c r="E770">
        <v>2</v>
      </c>
      <c r="F770" t="s">
        <v>1828</v>
      </c>
      <c r="G770" s="10">
        <v>45110</v>
      </c>
      <c r="H770">
        <v>250000</v>
      </c>
      <c r="I770">
        <v>75000</v>
      </c>
      <c r="J770" t="s">
        <v>714</v>
      </c>
      <c r="K770">
        <v>5</v>
      </c>
      <c r="L770" t="s">
        <v>44</v>
      </c>
      <c r="M770" t="s">
        <v>45</v>
      </c>
    </row>
    <row r="771" spans="1:13">
      <c r="A771" t="s">
        <v>984</v>
      </c>
      <c r="B771" t="s">
        <v>28</v>
      </c>
      <c r="C771" t="s">
        <v>238</v>
      </c>
      <c r="D771" t="s">
        <v>1829</v>
      </c>
      <c r="E771">
        <v>4</v>
      </c>
      <c r="F771" t="s">
        <v>1830</v>
      </c>
      <c r="G771" s="10">
        <v>45294</v>
      </c>
      <c r="H771">
        <v>3500</v>
      </c>
      <c r="I771">
        <v>500</v>
      </c>
      <c r="J771" t="s">
        <v>1831</v>
      </c>
      <c r="K771">
        <v>5</v>
      </c>
      <c r="L771" t="s">
        <v>24</v>
      </c>
      <c r="M771" t="s">
        <v>24</v>
      </c>
    </row>
    <row r="772" spans="1:13">
      <c r="A772" t="s">
        <v>194</v>
      </c>
      <c r="B772" t="s">
        <v>160</v>
      </c>
      <c r="C772" t="s">
        <v>67</v>
      </c>
      <c r="D772" t="s">
        <v>1832</v>
      </c>
      <c r="E772">
        <v>2</v>
      </c>
      <c r="F772" t="s">
        <v>1833</v>
      </c>
      <c r="G772" s="10">
        <v>45117</v>
      </c>
      <c r="H772">
        <v>32500</v>
      </c>
      <c r="I772">
        <v>7500</v>
      </c>
      <c r="J772" t="s">
        <v>163</v>
      </c>
      <c r="K772">
        <v>6</v>
      </c>
      <c r="L772" t="s">
        <v>35</v>
      </c>
      <c r="M772" t="s">
        <v>27</v>
      </c>
    </row>
    <row r="773" spans="1:13">
      <c r="A773" t="s">
        <v>194</v>
      </c>
      <c r="B773" t="s">
        <v>160</v>
      </c>
      <c r="C773" t="s">
        <v>67</v>
      </c>
      <c r="D773" t="s">
        <v>1834</v>
      </c>
      <c r="E773">
        <v>2</v>
      </c>
      <c r="F773" t="s">
        <v>1835</v>
      </c>
      <c r="G773" s="10">
        <v>45117</v>
      </c>
      <c r="H773">
        <v>32500</v>
      </c>
      <c r="I773">
        <v>7500</v>
      </c>
      <c r="J773" t="s">
        <v>163</v>
      </c>
      <c r="K773">
        <v>6</v>
      </c>
      <c r="L773" t="s">
        <v>35</v>
      </c>
      <c r="M773" t="s">
        <v>27</v>
      </c>
    </row>
    <row r="774" spans="1:13">
      <c r="A774" t="s">
        <v>494</v>
      </c>
      <c r="B774" t="s">
        <v>112</v>
      </c>
      <c r="C774" t="s">
        <v>113</v>
      </c>
      <c r="D774" t="s">
        <v>1836</v>
      </c>
      <c r="E774">
        <v>2</v>
      </c>
      <c r="F774" t="s">
        <v>1837</v>
      </c>
      <c r="G774" s="10">
        <v>45113</v>
      </c>
      <c r="H774">
        <v>119259</v>
      </c>
      <c r="I774">
        <v>10926</v>
      </c>
      <c r="J774" t="s">
        <v>976</v>
      </c>
      <c r="K774">
        <v>5</v>
      </c>
      <c r="L774" t="s">
        <v>39</v>
      </c>
      <c r="M774" t="s">
        <v>977</v>
      </c>
    </row>
    <row r="775" spans="1:13">
      <c r="A775" t="s">
        <v>266</v>
      </c>
      <c r="B775" t="s">
        <v>160</v>
      </c>
      <c r="C775" t="s">
        <v>67</v>
      </c>
      <c r="D775" t="s">
        <v>1838</v>
      </c>
      <c r="E775">
        <v>2</v>
      </c>
      <c r="F775" t="s">
        <v>1839</v>
      </c>
      <c r="G775" s="10">
        <v>45117</v>
      </c>
      <c r="H775">
        <v>48000</v>
      </c>
      <c r="I775">
        <v>8000</v>
      </c>
      <c r="J775" t="s">
        <v>163</v>
      </c>
      <c r="K775">
        <v>6</v>
      </c>
      <c r="L775" t="s">
        <v>35</v>
      </c>
      <c r="M775" t="s">
        <v>27</v>
      </c>
    </row>
    <row r="776" spans="1:13">
      <c r="A776" t="s">
        <v>266</v>
      </c>
      <c r="B776" t="s">
        <v>160</v>
      </c>
      <c r="C776" t="s">
        <v>67</v>
      </c>
      <c r="D776" t="s">
        <v>1840</v>
      </c>
      <c r="E776">
        <v>2</v>
      </c>
      <c r="F776" t="s">
        <v>1841</v>
      </c>
      <c r="G776" s="10">
        <v>45117</v>
      </c>
      <c r="H776">
        <v>48000</v>
      </c>
      <c r="I776">
        <v>8000</v>
      </c>
      <c r="J776" t="s">
        <v>163</v>
      </c>
      <c r="K776">
        <v>5</v>
      </c>
      <c r="L776" t="s">
        <v>35</v>
      </c>
      <c r="M776" t="s">
        <v>27</v>
      </c>
    </row>
    <row r="777" spans="1:13">
      <c r="A777" t="s">
        <v>266</v>
      </c>
      <c r="B777" t="s">
        <v>160</v>
      </c>
      <c r="C777" t="s">
        <v>67</v>
      </c>
      <c r="D777" t="s">
        <v>1842</v>
      </c>
      <c r="E777">
        <v>2</v>
      </c>
      <c r="F777" t="s">
        <v>1843</v>
      </c>
      <c r="G777" s="10">
        <v>45117</v>
      </c>
      <c r="H777">
        <v>48000</v>
      </c>
      <c r="I777">
        <v>8000</v>
      </c>
      <c r="J777" t="s">
        <v>163</v>
      </c>
      <c r="K777">
        <v>5</v>
      </c>
      <c r="L777" t="s">
        <v>35</v>
      </c>
      <c r="M777" t="s">
        <v>27</v>
      </c>
    </row>
    <row r="778" spans="1:13">
      <c r="A778" t="s">
        <v>194</v>
      </c>
      <c r="B778" t="s">
        <v>160</v>
      </c>
      <c r="C778" t="s">
        <v>67</v>
      </c>
      <c r="D778" t="s">
        <v>1844</v>
      </c>
      <c r="E778">
        <v>1</v>
      </c>
      <c r="F778" t="s">
        <v>1845</v>
      </c>
      <c r="G778" s="10">
        <v>45108</v>
      </c>
      <c r="H778">
        <v>38377.5</v>
      </c>
      <c r="I778">
        <v>13377.5</v>
      </c>
      <c r="J778" t="s">
        <v>250</v>
      </c>
      <c r="K778">
        <v>6</v>
      </c>
      <c r="L778" t="s">
        <v>24</v>
      </c>
      <c r="M778" t="s">
        <v>29</v>
      </c>
    </row>
    <row r="779" spans="1:13">
      <c r="A779" t="s">
        <v>194</v>
      </c>
      <c r="B779" t="s">
        <v>160</v>
      </c>
      <c r="C779" t="s">
        <v>67</v>
      </c>
      <c r="D779" t="s">
        <v>1846</v>
      </c>
      <c r="E779">
        <v>1</v>
      </c>
      <c r="F779" t="s">
        <v>1847</v>
      </c>
      <c r="G779" s="10">
        <v>45108</v>
      </c>
      <c r="H779">
        <v>38378</v>
      </c>
      <c r="I779">
        <v>13378</v>
      </c>
      <c r="J779" t="s">
        <v>250</v>
      </c>
      <c r="K779">
        <v>6</v>
      </c>
      <c r="L779" t="s">
        <v>24</v>
      </c>
      <c r="M779" t="s">
        <v>29</v>
      </c>
    </row>
    <row r="780" spans="1:13">
      <c r="A780" t="s">
        <v>361</v>
      </c>
      <c r="B780" t="s">
        <v>72</v>
      </c>
      <c r="C780" t="s">
        <v>67</v>
      </c>
      <c r="D780" t="s">
        <v>1848</v>
      </c>
      <c r="E780">
        <v>1</v>
      </c>
      <c r="F780" t="s">
        <v>1849</v>
      </c>
      <c r="G780" s="10">
        <v>45139</v>
      </c>
      <c r="H780">
        <v>32130</v>
      </c>
      <c r="I780">
        <v>12130</v>
      </c>
      <c r="J780" t="s">
        <v>250</v>
      </c>
      <c r="K780">
        <v>6</v>
      </c>
      <c r="L780" t="s">
        <v>24</v>
      </c>
      <c r="M780" t="s">
        <v>29</v>
      </c>
    </row>
    <row r="781" spans="1:13">
      <c r="A781" t="s">
        <v>527</v>
      </c>
      <c r="B781" t="s">
        <v>93</v>
      </c>
      <c r="C781" t="s">
        <v>94</v>
      </c>
      <c r="D781" t="s">
        <v>1850</v>
      </c>
      <c r="E781">
        <v>2</v>
      </c>
      <c r="F781" t="s">
        <v>1851</v>
      </c>
      <c r="G781" s="10">
        <v>45117</v>
      </c>
      <c r="H781">
        <v>198450</v>
      </c>
      <c r="I781">
        <v>15117</v>
      </c>
      <c r="J781" t="s">
        <v>97</v>
      </c>
      <c r="K781">
        <v>6</v>
      </c>
      <c r="L781" t="s">
        <v>41</v>
      </c>
      <c r="M781" t="s">
        <v>42</v>
      </c>
    </row>
    <row r="782" spans="1:13">
      <c r="A782" t="s">
        <v>194</v>
      </c>
      <c r="B782" t="s">
        <v>160</v>
      </c>
      <c r="C782" t="s">
        <v>67</v>
      </c>
      <c r="D782" t="s">
        <v>1852</v>
      </c>
      <c r="E782">
        <v>2</v>
      </c>
      <c r="F782" t="s">
        <v>1853</v>
      </c>
      <c r="G782" s="10">
        <v>45117</v>
      </c>
      <c r="H782">
        <v>32500</v>
      </c>
      <c r="I782">
        <v>7500</v>
      </c>
      <c r="J782" t="s">
        <v>163</v>
      </c>
      <c r="K782">
        <v>6</v>
      </c>
      <c r="L782" t="s">
        <v>35</v>
      </c>
      <c r="M782" t="s">
        <v>27</v>
      </c>
    </row>
    <row r="783" spans="1:13">
      <c r="A783" t="s">
        <v>194</v>
      </c>
      <c r="B783" t="s">
        <v>160</v>
      </c>
      <c r="C783" t="s">
        <v>67</v>
      </c>
      <c r="D783" t="s">
        <v>1854</v>
      </c>
      <c r="E783">
        <v>2</v>
      </c>
      <c r="F783" t="s">
        <v>1855</v>
      </c>
      <c r="G783" s="10">
        <v>45117</v>
      </c>
      <c r="H783">
        <v>48000</v>
      </c>
      <c r="I783">
        <v>8000</v>
      </c>
      <c r="J783" t="s">
        <v>163</v>
      </c>
      <c r="K783">
        <v>5</v>
      </c>
      <c r="L783" t="s">
        <v>35</v>
      </c>
      <c r="M783" t="s">
        <v>27</v>
      </c>
    </row>
    <row r="784" spans="1:13">
      <c r="A784" t="s">
        <v>130</v>
      </c>
      <c r="B784" t="s">
        <v>82</v>
      </c>
      <c r="C784" t="s">
        <v>28</v>
      </c>
      <c r="D784" t="s">
        <v>1856</v>
      </c>
      <c r="E784">
        <v>2</v>
      </c>
      <c r="F784" t="s">
        <v>1857</v>
      </c>
      <c r="G784" s="10">
        <v>45118</v>
      </c>
      <c r="H784">
        <v>119034.72</v>
      </c>
      <c r="I784">
        <v>27368.720000000001</v>
      </c>
      <c r="J784" t="s">
        <v>126</v>
      </c>
      <c r="K784">
        <v>5</v>
      </c>
      <c r="L784" t="s">
        <v>24</v>
      </c>
      <c r="M784" t="s">
        <v>26</v>
      </c>
    </row>
    <row r="785" spans="1:13">
      <c r="A785" t="s">
        <v>256</v>
      </c>
      <c r="B785" t="s">
        <v>160</v>
      </c>
      <c r="C785" t="s">
        <v>67</v>
      </c>
      <c r="D785" t="s">
        <v>1858</v>
      </c>
      <c r="E785">
        <v>2</v>
      </c>
      <c r="F785" t="s">
        <v>1859</v>
      </c>
      <c r="G785" s="10">
        <v>45117</v>
      </c>
      <c r="H785">
        <v>17400</v>
      </c>
      <c r="I785">
        <v>2400</v>
      </c>
      <c r="J785" t="s">
        <v>193</v>
      </c>
      <c r="K785">
        <v>5</v>
      </c>
      <c r="L785" t="s">
        <v>35</v>
      </c>
      <c r="M785" t="s">
        <v>27</v>
      </c>
    </row>
    <row r="786" spans="1:13">
      <c r="A786" t="s">
        <v>256</v>
      </c>
      <c r="B786" t="s">
        <v>160</v>
      </c>
      <c r="C786" t="s">
        <v>67</v>
      </c>
      <c r="D786" t="s">
        <v>1860</v>
      </c>
      <c r="E786">
        <v>2</v>
      </c>
      <c r="F786" t="s">
        <v>1861</v>
      </c>
      <c r="G786" s="10">
        <v>45119</v>
      </c>
      <c r="H786">
        <v>17400</v>
      </c>
      <c r="I786">
        <v>2400</v>
      </c>
      <c r="J786" t="s">
        <v>193</v>
      </c>
      <c r="K786">
        <v>6</v>
      </c>
      <c r="L786" t="s">
        <v>35</v>
      </c>
      <c r="M786" t="s">
        <v>27</v>
      </c>
    </row>
    <row r="787" spans="1:13">
      <c r="A787" t="s">
        <v>71</v>
      </c>
      <c r="B787" t="s">
        <v>72</v>
      </c>
      <c r="C787" t="s">
        <v>67</v>
      </c>
      <c r="D787" t="s">
        <v>1862</v>
      </c>
      <c r="E787">
        <v>1</v>
      </c>
      <c r="F787" t="s">
        <v>1863</v>
      </c>
      <c r="G787" s="10">
        <v>45139</v>
      </c>
      <c r="H787">
        <v>0</v>
      </c>
      <c r="I787">
        <v>-20000</v>
      </c>
      <c r="J787" t="s">
        <v>250</v>
      </c>
      <c r="K787">
        <v>6</v>
      </c>
      <c r="L787" t="s">
        <v>24</v>
      </c>
      <c r="M787" t="s">
        <v>29</v>
      </c>
    </row>
    <row r="788" spans="1:13">
      <c r="A788" t="s">
        <v>140</v>
      </c>
      <c r="B788" t="s">
        <v>141</v>
      </c>
      <c r="C788" t="s">
        <v>67</v>
      </c>
      <c r="D788" t="s">
        <v>1864</v>
      </c>
      <c r="E788">
        <v>1</v>
      </c>
      <c r="F788" t="s">
        <v>1865</v>
      </c>
      <c r="G788" s="10">
        <v>45139</v>
      </c>
      <c r="H788">
        <v>32130</v>
      </c>
      <c r="I788">
        <v>12130</v>
      </c>
      <c r="J788" t="s">
        <v>250</v>
      </c>
      <c r="K788">
        <v>6</v>
      </c>
      <c r="L788" t="s">
        <v>24</v>
      </c>
      <c r="M788" t="s">
        <v>29</v>
      </c>
    </row>
    <row r="789" spans="1:13">
      <c r="A789" t="s">
        <v>223</v>
      </c>
      <c r="B789" t="s">
        <v>224</v>
      </c>
      <c r="C789" t="s">
        <v>94</v>
      </c>
      <c r="D789" t="s">
        <v>1866</v>
      </c>
      <c r="E789">
        <v>2</v>
      </c>
      <c r="F789" t="s">
        <v>1867</v>
      </c>
      <c r="G789" s="10">
        <v>45125</v>
      </c>
      <c r="H789">
        <v>28000</v>
      </c>
      <c r="I789">
        <v>1333.33</v>
      </c>
      <c r="J789" t="s">
        <v>227</v>
      </c>
      <c r="K789">
        <v>6</v>
      </c>
      <c r="L789" t="s">
        <v>41</v>
      </c>
      <c r="M789" t="s">
        <v>42</v>
      </c>
    </row>
    <row r="790" spans="1:13">
      <c r="A790" t="s">
        <v>1868</v>
      </c>
      <c r="B790" t="s">
        <v>66</v>
      </c>
      <c r="C790" t="s">
        <v>67</v>
      </c>
      <c r="D790" t="s">
        <v>1869</v>
      </c>
      <c r="E790">
        <v>2</v>
      </c>
      <c r="F790" t="s">
        <v>1870</v>
      </c>
      <c r="G790" s="10">
        <v>45117</v>
      </c>
      <c r="H790">
        <v>32500</v>
      </c>
      <c r="I790">
        <v>7500</v>
      </c>
      <c r="J790" t="s">
        <v>163</v>
      </c>
      <c r="K790">
        <v>6</v>
      </c>
      <c r="L790" t="s">
        <v>35</v>
      </c>
      <c r="M790" t="s">
        <v>27</v>
      </c>
    </row>
    <row r="791" spans="1:13">
      <c r="A791" t="s">
        <v>190</v>
      </c>
      <c r="B791" t="s">
        <v>160</v>
      </c>
      <c r="C791" t="s">
        <v>67</v>
      </c>
      <c r="D791" t="s">
        <v>1871</v>
      </c>
      <c r="E791">
        <v>2</v>
      </c>
      <c r="F791" t="s">
        <v>1872</v>
      </c>
      <c r="G791" s="10">
        <v>45117</v>
      </c>
      <c r="H791">
        <v>48000</v>
      </c>
      <c r="I791">
        <v>8000</v>
      </c>
      <c r="J791" t="s">
        <v>163</v>
      </c>
      <c r="K791">
        <v>6</v>
      </c>
      <c r="L791" t="s">
        <v>35</v>
      </c>
      <c r="M791" t="s">
        <v>27</v>
      </c>
    </row>
    <row r="792" spans="1:13">
      <c r="A792" t="s">
        <v>235</v>
      </c>
      <c r="B792" t="s">
        <v>215</v>
      </c>
      <c r="C792" t="s">
        <v>94</v>
      </c>
      <c r="D792" t="s">
        <v>1873</v>
      </c>
      <c r="E792">
        <v>2</v>
      </c>
      <c r="F792" t="s">
        <v>1874</v>
      </c>
      <c r="G792" s="10">
        <v>45117</v>
      </c>
      <c r="H792">
        <v>90000</v>
      </c>
      <c r="I792">
        <v>15000</v>
      </c>
      <c r="J792" t="s">
        <v>227</v>
      </c>
      <c r="K792">
        <v>6</v>
      </c>
      <c r="L792" t="s">
        <v>41</v>
      </c>
      <c r="M792" t="s">
        <v>42</v>
      </c>
    </row>
    <row r="793" spans="1:13">
      <c r="A793" t="s">
        <v>656</v>
      </c>
      <c r="B793" t="s">
        <v>231</v>
      </c>
      <c r="C793" t="s">
        <v>400</v>
      </c>
      <c r="D793" t="s">
        <v>1875</v>
      </c>
      <c r="E793">
        <v>2</v>
      </c>
      <c r="F793" t="s">
        <v>1876</v>
      </c>
      <c r="G793" s="10">
        <v>45114</v>
      </c>
      <c r="H793">
        <v>30000</v>
      </c>
      <c r="I793">
        <v>1000</v>
      </c>
      <c r="J793" t="s">
        <v>227</v>
      </c>
      <c r="K793">
        <v>5</v>
      </c>
      <c r="L793" t="s">
        <v>41</v>
      </c>
      <c r="M793" t="s">
        <v>42</v>
      </c>
    </row>
    <row r="794" spans="1:13">
      <c r="A794" t="s">
        <v>1228</v>
      </c>
      <c r="B794" t="s">
        <v>224</v>
      </c>
      <c r="C794" t="s">
        <v>94</v>
      </c>
      <c r="D794" t="s">
        <v>1877</v>
      </c>
      <c r="E794">
        <v>2</v>
      </c>
      <c r="F794" t="s">
        <v>1878</v>
      </c>
      <c r="G794" s="10">
        <v>45113</v>
      </c>
      <c r="H794">
        <v>285600</v>
      </c>
      <c r="I794">
        <v>85600</v>
      </c>
      <c r="J794" t="s">
        <v>1357</v>
      </c>
      <c r="K794">
        <v>6</v>
      </c>
      <c r="L794" t="s">
        <v>41</v>
      </c>
      <c r="M794" t="s">
        <v>25</v>
      </c>
    </row>
    <row r="795" spans="1:13">
      <c r="A795" t="s">
        <v>656</v>
      </c>
      <c r="B795" t="s">
        <v>231</v>
      </c>
      <c r="C795" t="s">
        <v>400</v>
      </c>
      <c r="D795" t="s">
        <v>1879</v>
      </c>
      <c r="E795">
        <v>2</v>
      </c>
      <c r="F795" t="s">
        <v>1880</v>
      </c>
      <c r="G795" s="10">
        <v>45124</v>
      </c>
      <c r="H795">
        <v>28000</v>
      </c>
      <c r="I795">
        <v>1000</v>
      </c>
      <c r="J795" t="s">
        <v>227</v>
      </c>
      <c r="K795">
        <v>5</v>
      </c>
      <c r="L795" t="s">
        <v>41</v>
      </c>
      <c r="M795" t="s">
        <v>42</v>
      </c>
    </row>
    <row r="796" spans="1:13">
      <c r="A796" t="s">
        <v>719</v>
      </c>
      <c r="B796" t="s">
        <v>215</v>
      </c>
      <c r="C796" t="s">
        <v>94</v>
      </c>
      <c r="D796" t="s">
        <v>1881</v>
      </c>
      <c r="E796">
        <v>2</v>
      </c>
      <c r="F796" t="s">
        <v>1882</v>
      </c>
      <c r="G796" s="10">
        <v>45121</v>
      </c>
      <c r="H796">
        <v>29000</v>
      </c>
      <c r="I796">
        <v>667</v>
      </c>
      <c r="J796" t="s">
        <v>227</v>
      </c>
      <c r="K796">
        <v>5</v>
      </c>
      <c r="L796" t="s">
        <v>41</v>
      </c>
      <c r="M796" t="s">
        <v>42</v>
      </c>
    </row>
    <row r="797" spans="1:13">
      <c r="A797" t="s">
        <v>656</v>
      </c>
      <c r="B797" t="s">
        <v>231</v>
      </c>
      <c r="C797" t="s">
        <v>400</v>
      </c>
      <c r="D797" t="s">
        <v>1883</v>
      </c>
      <c r="E797">
        <v>2</v>
      </c>
      <c r="F797" t="s">
        <v>1884</v>
      </c>
      <c r="G797" s="10">
        <v>45121</v>
      </c>
      <c r="H797">
        <v>30000</v>
      </c>
      <c r="I797">
        <v>1000</v>
      </c>
      <c r="J797" t="s">
        <v>227</v>
      </c>
      <c r="K797">
        <v>5</v>
      </c>
      <c r="L797" t="s">
        <v>41</v>
      </c>
      <c r="M797" t="s">
        <v>42</v>
      </c>
    </row>
    <row r="798" spans="1:13">
      <c r="A798" t="s">
        <v>297</v>
      </c>
      <c r="B798" t="s">
        <v>179</v>
      </c>
      <c r="C798" t="s">
        <v>45</v>
      </c>
      <c r="D798" t="s">
        <v>1885</v>
      </c>
      <c r="E798">
        <v>4</v>
      </c>
      <c r="F798" t="s">
        <v>1886</v>
      </c>
      <c r="G798" s="10">
        <v>45124</v>
      </c>
      <c r="H798">
        <v>199500</v>
      </c>
      <c r="I798">
        <v>107833.33</v>
      </c>
      <c r="J798" t="s">
        <v>1414</v>
      </c>
      <c r="K798">
        <v>6</v>
      </c>
      <c r="L798" t="s">
        <v>44</v>
      </c>
      <c r="M798" t="s">
        <v>49</v>
      </c>
    </row>
    <row r="799" spans="1:13">
      <c r="A799" t="s">
        <v>1887</v>
      </c>
      <c r="B799" t="s">
        <v>146</v>
      </c>
      <c r="C799" t="s">
        <v>98</v>
      </c>
      <c r="D799" t="s">
        <v>1888</v>
      </c>
      <c r="E799">
        <v>1</v>
      </c>
      <c r="F799" t="s">
        <v>1889</v>
      </c>
      <c r="G799" s="10">
        <v>45114</v>
      </c>
      <c r="H799">
        <v>268000</v>
      </c>
      <c r="I799">
        <v>143000</v>
      </c>
      <c r="J799" t="s">
        <v>1890</v>
      </c>
      <c r="K799">
        <v>5</v>
      </c>
      <c r="L799" t="s">
        <v>24</v>
      </c>
      <c r="M799" t="s">
        <v>32</v>
      </c>
    </row>
    <row r="800" spans="1:13">
      <c r="A800" t="s">
        <v>170</v>
      </c>
      <c r="B800" t="s">
        <v>66</v>
      </c>
      <c r="C800" t="s">
        <v>67</v>
      </c>
      <c r="D800" t="s">
        <v>1891</v>
      </c>
      <c r="E800">
        <v>2</v>
      </c>
      <c r="F800" t="s">
        <v>1892</v>
      </c>
      <c r="G800" s="10">
        <v>45124</v>
      </c>
      <c r="H800">
        <v>41708.33</v>
      </c>
      <c r="I800">
        <v>3792.33</v>
      </c>
      <c r="J800" t="s">
        <v>1893</v>
      </c>
      <c r="K800">
        <v>5</v>
      </c>
      <c r="L800" t="s">
        <v>24</v>
      </c>
      <c r="M800" t="s">
        <v>26</v>
      </c>
    </row>
    <row r="801" spans="1:13">
      <c r="A801" t="s">
        <v>159</v>
      </c>
      <c r="B801" t="s">
        <v>160</v>
      </c>
      <c r="C801" t="s">
        <v>67</v>
      </c>
      <c r="D801" t="s">
        <v>1894</v>
      </c>
      <c r="E801">
        <v>2</v>
      </c>
      <c r="F801" t="s">
        <v>1895</v>
      </c>
      <c r="G801" s="10">
        <v>45119</v>
      </c>
      <c r="H801">
        <v>17400</v>
      </c>
      <c r="I801">
        <v>2400</v>
      </c>
      <c r="J801" t="s">
        <v>193</v>
      </c>
      <c r="K801">
        <v>5</v>
      </c>
      <c r="L801" t="s">
        <v>35</v>
      </c>
      <c r="M801" t="s">
        <v>27</v>
      </c>
    </row>
    <row r="802" spans="1:13">
      <c r="A802" t="s">
        <v>305</v>
      </c>
      <c r="B802" t="s">
        <v>118</v>
      </c>
      <c r="C802" t="s">
        <v>98</v>
      </c>
      <c r="D802" t="s">
        <v>1896</v>
      </c>
      <c r="E802">
        <v>4</v>
      </c>
      <c r="F802" t="s">
        <v>1897</v>
      </c>
      <c r="G802" s="10">
        <v>45118</v>
      </c>
      <c r="H802">
        <v>137931.03</v>
      </c>
      <c r="I802">
        <v>12931.03</v>
      </c>
      <c r="J802" t="s">
        <v>121</v>
      </c>
      <c r="K802">
        <v>6</v>
      </c>
      <c r="L802" t="s">
        <v>24</v>
      </c>
      <c r="M802" t="s">
        <v>30</v>
      </c>
    </row>
    <row r="803" spans="1:13">
      <c r="A803" t="s">
        <v>376</v>
      </c>
      <c r="B803" t="s">
        <v>66</v>
      </c>
      <c r="C803" t="s">
        <v>67</v>
      </c>
      <c r="D803" t="s">
        <v>1898</v>
      </c>
      <c r="E803">
        <v>2</v>
      </c>
      <c r="F803" t="s">
        <v>1899</v>
      </c>
      <c r="G803" s="10">
        <v>45117</v>
      </c>
      <c r="H803">
        <v>32500</v>
      </c>
      <c r="I803">
        <v>7500</v>
      </c>
      <c r="J803" t="s">
        <v>163</v>
      </c>
      <c r="K803">
        <v>6</v>
      </c>
      <c r="L803" t="s">
        <v>35</v>
      </c>
      <c r="M803" t="s">
        <v>27</v>
      </c>
    </row>
    <row r="804" spans="1:13">
      <c r="A804" t="s">
        <v>969</v>
      </c>
      <c r="B804" t="s">
        <v>93</v>
      </c>
      <c r="C804" t="s">
        <v>94</v>
      </c>
      <c r="D804" t="s">
        <v>1900</v>
      </c>
      <c r="E804">
        <v>2</v>
      </c>
      <c r="F804" t="s">
        <v>1901</v>
      </c>
      <c r="G804" s="10">
        <v>45117</v>
      </c>
      <c r="H804">
        <v>220500</v>
      </c>
      <c r="I804">
        <v>12166.67</v>
      </c>
      <c r="J804" t="s">
        <v>97</v>
      </c>
      <c r="K804">
        <v>6</v>
      </c>
      <c r="L804" t="s">
        <v>41</v>
      </c>
      <c r="M804" t="s">
        <v>42</v>
      </c>
    </row>
    <row r="805" spans="1:13">
      <c r="A805" t="s">
        <v>251</v>
      </c>
      <c r="B805" t="s">
        <v>160</v>
      </c>
      <c r="C805" t="s">
        <v>67</v>
      </c>
      <c r="D805" t="s">
        <v>1902</v>
      </c>
      <c r="E805">
        <v>2</v>
      </c>
      <c r="F805" t="s">
        <v>1903</v>
      </c>
      <c r="G805" s="10">
        <v>45118</v>
      </c>
      <c r="H805">
        <v>34500</v>
      </c>
      <c r="I805">
        <v>4500</v>
      </c>
      <c r="J805" t="s">
        <v>163</v>
      </c>
      <c r="K805">
        <v>5</v>
      </c>
      <c r="L805" t="s">
        <v>35</v>
      </c>
      <c r="M805" t="s">
        <v>27</v>
      </c>
    </row>
    <row r="806" spans="1:13">
      <c r="A806" t="s">
        <v>454</v>
      </c>
      <c r="B806" t="s">
        <v>455</v>
      </c>
      <c r="C806" t="s">
        <v>455</v>
      </c>
      <c r="D806" t="s">
        <v>1904</v>
      </c>
      <c r="E806">
        <v>2</v>
      </c>
      <c r="F806" t="s">
        <v>1905</v>
      </c>
      <c r="G806" s="10">
        <v>45119</v>
      </c>
      <c r="H806">
        <v>140280</v>
      </c>
      <c r="I806">
        <v>48613.33</v>
      </c>
      <c r="J806" t="s">
        <v>458</v>
      </c>
      <c r="K806">
        <v>6</v>
      </c>
      <c r="L806" t="s">
        <v>37</v>
      </c>
      <c r="M806" t="s">
        <v>33</v>
      </c>
    </row>
    <row r="807" spans="1:13">
      <c r="A807" t="s">
        <v>361</v>
      </c>
      <c r="B807" t="s">
        <v>72</v>
      </c>
      <c r="C807" t="s">
        <v>67</v>
      </c>
      <c r="D807" t="s">
        <v>1906</v>
      </c>
      <c r="E807">
        <v>1</v>
      </c>
      <c r="F807" t="s">
        <v>1907</v>
      </c>
      <c r="G807" s="10">
        <v>45170</v>
      </c>
      <c r="H807">
        <v>32130</v>
      </c>
      <c r="I807">
        <v>12130</v>
      </c>
      <c r="J807" t="s">
        <v>250</v>
      </c>
      <c r="K807">
        <v>6</v>
      </c>
      <c r="L807" t="s">
        <v>24</v>
      </c>
      <c r="M807" t="s">
        <v>29</v>
      </c>
    </row>
    <row r="808" spans="1:13">
      <c r="A808" t="s">
        <v>361</v>
      </c>
      <c r="B808" t="s">
        <v>72</v>
      </c>
      <c r="C808" t="s">
        <v>67</v>
      </c>
      <c r="D808" t="s">
        <v>1908</v>
      </c>
      <c r="E808">
        <v>1</v>
      </c>
      <c r="F808" t="s">
        <v>1909</v>
      </c>
      <c r="G808" s="10">
        <v>45139</v>
      </c>
      <c r="H808">
        <v>32130</v>
      </c>
      <c r="I808">
        <v>12130</v>
      </c>
      <c r="J808" t="s">
        <v>250</v>
      </c>
      <c r="K808">
        <v>6</v>
      </c>
      <c r="L808" t="s">
        <v>24</v>
      </c>
      <c r="M808" t="s">
        <v>29</v>
      </c>
    </row>
    <row r="809" spans="1:13">
      <c r="A809" t="s">
        <v>197</v>
      </c>
      <c r="B809" t="s">
        <v>160</v>
      </c>
      <c r="C809" t="s">
        <v>67</v>
      </c>
      <c r="D809" t="s">
        <v>1910</v>
      </c>
      <c r="E809">
        <v>2</v>
      </c>
      <c r="F809" t="s">
        <v>1911</v>
      </c>
      <c r="G809" s="10">
        <v>45118</v>
      </c>
      <c r="H809">
        <v>24265</v>
      </c>
      <c r="I809">
        <v>3165</v>
      </c>
      <c r="J809" t="s">
        <v>193</v>
      </c>
      <c r="K809">
        <v>5</v>
      </c>
      <c r="L809" t="s">
        <v>35</v>
      </c>
      <c r="M809" t="s">
        <v>27</v>
      </c>
    </row>
    <row r="810" spans="1:13">
      <c r="A810" t="s">
        <v>361</v>
      </c>
      <c r="B810" t="s">
        <v>72</v>
      </c>
      <c r="C810" t="s">
        <v>67</v>
      </c>
      <c r="D810" t="s">
        <v>1912</v>
      </c>
      <c r="E810">
        <v>1</v>
      </c>
      <c r="F810" t="s">
        <v>1913</v>
      </c>
      <c r="G810" s="10">
        <v>45139</v>
      </c>
      <c r="H810">
        <v>32130</v>
      </c>
      <c r="I810">
        <v>12130</v>
      </c>
      <c r="J810" t="s">
        <v>250</v>
      </c>
      <c r="K810">
        <v>6</v>
      </c>
      <c r="L810" t="s">
        <v>24</v>
      </c>
      <c r="M810" t="s">
        <v>29</v>
      </c>
    </row>
    <row r="811" spans="1:13">
      <c r="A811" t="s">
        <v>1547</v>
      </c>
      <c r="B811" t="s">
        <v>160</v>
      </c>
      <c r="C811" t="s">
        <v>67</v>
      </c>
      <c r="D811" t="s">
        <v>1914</v>
      </c>
      <c r="E811">
        <v>1</v>
      </c>
      <c r="F811" t="s">
        <v>1915</v>
      </c>
      <c r="G811" s="10">
        <v>45113</v>
      </c>
      <c r="H811">
        <v>38377</v>
      </c>
      <c r="I811">
        <v>13377</v>
      </c>
      <c r="J811" t="s">
        <v>250</v>
      </c>
      <c r="K811">
        <v>6</v>
      </c>
      <c r="L811" t="s">
        <v>24</v>
      </c>
      <c r="M811" t="s">
        <v>29</v>
      </c>
    </row>
    <row r="812" spans="1:13">
      <c r="A812" t="s">
        <v>65</v>
      </c>
      <c r="B812" t="s">
        <v>66</v>
      </c>
      <c r="C812" t="s">
        <v>67</v>
      </c>
      <c r="D812" t="s">
        <v>1916</v>
      </c>
      <c r="E812">
        <v>6</v>
      </c>
      <c r="F812" t="s">
        <v>1917</v>
      </c>
      <c r="G812" s="10">
        <v>45114</v>
      </c>
      <c r="H812">
        <v>34375</v>
      </c>
      <c r="I812">
        <v>6875</v>
      </c>
      <c r="J812" t="s">
        <v>70</v>
      </c>
      <c r="K812">
        <v>5</v>
      </c>
      <c r="L812" t="s">
        <v>35</v>
      </c>
      <c r="M812" t="s">
        <v>36</v>
      </c>
    </row>
    <row r="813" spans="1:13">
      <c r="A813" t="s">
        <v>71</v>
      </c>
      <c r="B813" t="s">
        <v>72</v>
      </c>
      <c r="C813" t="s">
        <v>67</v>
      </c>
      <c r="D813" t="s">
        <v>1918</v>
      </c>
      <c r="E813">
        <v>1</v>
      </c>
      <c r="F813" t="s">
        <v>1919</v>
      </c>
      <c r="G813" s="10">
        <v>45118</v>
      </c>
      <c r="H813">
        <v>72292.5</v>
      </c>
      <c r="I813">
        <v>9792.5</v>
      </c>
      <c r="J813" t="s">
        <v>250</v>
      </c>
      <c r="K813">
        <v>6</v>
      </c>
      <c r="L813" t="s">
        <v>24</v>
      </c>
      <c r="M813" t="s">
        <v>29</v>
      </c>
    </row>
    <row r="814" spans="1:13">
      <c r="A814" t="s">
        <v>1530</v>
      </c>
      <c r="B814" t="s">
        <v>1531</v>
      </c>
      <c r="C814" t="s">
        <v>1532</v>
      </c>
      <c r="D814" t="s">
        <v>1920</v>
      </c>
      <c r="E814">
        <v>2</v>
      </c>
      <c r="F814" t="s">
        <v>1921</v>
      </c>
      <c r="G814" s="10">
        <v>45121</v>
      </c>
      <c r="H814">
        <v>27000</v>
      </c>
      <c r="I814">
        <v>1000</v>
      </c>
      <c r="J814" t="s">
        <v>227</v>
      </c>
      <c r="K814">
        <v>5</v>
      </c>
      <c r="L814" t="s">
        <v>41</v>
      </c>
      <c r="M814" t="s">
        <v>42</v>
      </c>
    </row>
    <row r="815" spans="1:13">
      <c r="A815" t="s">
        <v>275</v>
      </c>
      <c r="B815" t="s">
        <v>160</v>
      </c>
      <c r="C815" t="s">
        <v>67</v>
      </c>
      <c r="D815" t="s">
        <v>1922</v>
      </c>
      <c r="E815">
        <v>2</v>
      </c>
      <c r="F815" t="s">
        <v>1923</v>
      </c>
      <c r="G815" s="10">
        <v>45117</v>
      </c>
      <c r="H815">
        <v>48000</v>
      </c>
      <c r="I815">
        <v>8000</v>
      </c>
      <c r="J815" t="s">
        <v>163</v>
      </c>
      <c r="K815">
        <v>6</v>
      </c>
      <c r="L815" t="s">
        <v>35</v>
      </c>
      <c r="M815" t="s">
        <v>27</v>
      </c>
    </row>
    <row r="816" spans="1:13">
      <c r="A816" t="s">
        <v>275</v>
      </c>
      <c r="B816" t="s">
        <v>160</v>
      </c>
      <c r="C816" t="s">
        <v>67</v>
      </c>
      <c r="D816" t="s">
        <v>1924</v>
      </c>
      <c r="E816">
        <v>2</v>
      </c>
      <c r="F816" t="s">
        <v>1925</v>
      </c>
      <c r="G816" s="10">
        <v>45117</v>
      </c>
      <c r="H816">
        <v>48000</v>
      </c>
      <c r="I816">
        <v>8000</v>
      </c>
      <c r="J816" t="s">
        <v>163</v>
      </c>
      <c r="K816">
        <v>6</v>
      </c>
      <c r="L816" t="s">
        <v>35</v>
      </c>
      <c r="M816" t="s">
        <v>27</v>
      </c>
    </row>
    <row r="817" spans="1:13">
      <c r="A817" t="s">
        <v>266</v>
      </c>
      <c r="B817" t="s">
        <v>160</v>
      </c>
      <c r="C817" t="s">
        <v>67</v>
      </c>
      <c r="D817" t="s">
        <v>1926</v>
      </c>
      <c r="E817">
        <v>2</v>
      </c>
      <c r="F817" t="s">
        <v>1927</v>
      </c>
      <c r="G817" s="10">
        <v>45117</v>
      </c>
      <c r="H817">
        <v>46560</v>
      </c>
      <c r="I817">
        <v>7760</v>
      </c>
      <c r="J817" t="s">
        <v>163</v>
      </c>
      <c r="K817">
        <v>6</v>
      </c>
      <c r="L817" t="s">
        <v>35</v>
      </c>
      <c r="M817" t="s">
        <v>27</v>
      </c>
    </row>
    <row r="818" spans="1:13">
      <c r="A818" t="s">
        <v>1171</v>
      </c>
      <c r="B818" t="s">
        <v>43</v>
      </c>
      <c r="C818" t="s">
        <v>94</v>
      </c>
      <c r="D818" t="s">
        <v>1928</v>
      </c>
      <c r="E818">
        <v>1</v>
      </c>
      <c r="F818" t="s">
        <v>1929</v>
      </c>
      <c r="G818" s="10">
        <v>45121</v>
      </c>
      <c r="H818">
        <v>26000</v>
      </c>
      <c r="I818">
        <v>1000</v>
      </c>
      <c r="J818" t="s">
        <v>227</v>
      </c>
      <c r="K818">
        <v>5</v>
      </c>
      <c r="L818" t="s">
        <v>41</v>
      </c>
      <c r="M818" t="s">
        <v>42</v>
      </c>
    </row>
    <row r="819" spans="1:13">
      <c r="A819" t="s">
        <v>261</v>
      </c>
      <c r="B819" t="s">
        <v>160</v>
      </c>
      <c r="C819" t="s">
        <v>67</v>
      </c>
      <c r="D819" t="s">
        <v>1930</v>
      </c>
      <c r="E819">
        <v>2</v>
      </c>
      <c r="F819" t="s">
        <v>1931</v>
      </c>
      <c r="G819" s="10">
        <v>45117</v>
      </c>
      <c r="H819">
        <v>38400</v>
      </c>
      <c r="I819">
        <v>6400</v>
      </c>
      <c r="J819" t="s">
        <v>163</v>
      </c>
      <c r="K819">
        <v>6</v>
      </c>
      <c r="L819" t="s">
        <v>35</v>
      </c>
      <c r="M819" t="s">
        <v>27</v>
      </c>
    </row>
    <row r="820" spans="1:13">
      <c r="A820" t="s">
        <v>266</v>
      </c>
      <c r="B820" t="s">
        <v>160</v>
      </c>
      <c r="C820" t="s">
        <v>67</v>
      </c>
      <c r="D820" t="s">
        <v>1932</v>
      </c>
      <c r="E820">
        <v>2</v>
      </c>
      <c r="F820" t="s">
        <v>1933</v>
      </c>
      <c r="G820" s="10">
        <v>45117</v>
      </c>
      <c r="H820">
        <v>48000</v>
      </c>
      <c r="I820">
        <v>8000</v>
      </c>
      <c r="J820" t="s">
        <v>163</v>
      </c>
      <c r="K820">
        <v>6</v>
      </c>
      <c r="L820" t="s">
        <v>35</v>
      </c>
      <c r="M820" t="s">
        <v>27</v>
      </c>
    </row>
    <row r="821" spans="1:13">
      <c r="A821" t="s">
        <v>1044</v>
      </c>
      <c r="B821" t="s">
        <v>93</v>
      </c>
      <c r="C821" t="s">
        <v>94</v>
      </c>
      <c r="D821" t="s">
        <v>1934</v>
      </c>
      <c r="E821">
        <v>2</v>
      </c>
      <c r="F821" t="s">
        <v>1935</v>
      </c>
      <c r="G821" s="10">
        <v>45121</v>
      </c>
      <c r="H821">
        <v>29000</v>
      </c>
      <c r="I821">
        <v>1500</v>
      </c>
      <c r="J821" t="s">
        <v>227</v>
      </c>
      <c r="K821">
        <v>5</v>
      </c>
      <c r="L821" t="s">
        <v>41</v>
      </c>
      <c r="M821" t="s">
        <v>42</v>
      </c>
    </row>
    <row r="822" spans="1:13">
      <c r="A822" t="s">
        <v>275</v>
      </c>
      <c r="B822" t="s">
        <v>160</v>
      </c>
      <c r="C822" t="s">
        <v>67</v>
      </c>
      <c r="D822" t="s">
        <v>1936</v>
      </c>
      <c r="E822">
        <v>2</v>
      </c>
      <c r="F822" t="s">
        <v>1937</v>
      </c>
      <c r="G822" s="10">
        <v>45117</v>
      </c>
      <c r="H822">
        <v>36000</v>
      </c>
      <c r="I822">
        <v>6000</v>
      </c>
      <c r="J822" t="s">
        <v>163</v>
      </c>
      <c r="K822">
        <v>5</v>
      </c>
      <c r="L822" t="s">
        <v>35</v>
      </c>
      <c r="M822" t="s">
        <v>27</v>
      </c>
    </row>
    <row r="823" spans="1:13">
      <c r="A823" t="s">
        <v>639</v>
      </c>
      <c r="B823" t="s">
        <v>215</v>
      </c>
      <c r="C823" t="s">
        <v>94</v>
      </c>
      <c r="D823" t="s">
        <v>1938</v>
      </c>
      <c r="E823">
        <v>2</v>
      </c>
      <c r="F823" t="s">
        <v>1939</v>
      </c>
      <c r="G823" s="10">
        <v>45119</v>
      </c>
      <c r="H823">
        <v>195000</v>
      </c>
      <c r="I823">
        <v>7500</v>
      </c>
      <c r="J823" t="s">
        <v>227</v>
      </c>
      <c r="K823">
        <v>6</v>
      </c>
      <c r="L823" t="s">
        <v>41</v>
      </c>
      <c r="M823" t="s">
        <v>42</v>
      </c>
    </row>
    <row r="824" spans="1:13">
      <c r="A824" t="s">
        <v>256</v>
      </c>
      <c r="B824" t="s">
        <v>160</v>
      </c>
      <c r="C824" t="s">
        <v>67</v>
      </c>
      <c r="D824" t="s">
        <v>1940</v>
      </c>
      <c r="E824">
        <v>2</v>
      </c>
      <c r="F824" t="s">
        <v>1941</v>
      </c>
      <c r="G824" s="10">
        <v>45118</v>
      </c>
      <c r="H824">
        <v>28750</v>
      </c>
      <c r="I824">
        <v>3750</v>
      </c>
      <c r="J824" t="s">
        <v>193</v>
      </c>
      <c r="K824">
        <v>6</v>
      </c>
      <c r="L824" t="s">
        <v>35</v>
      </c>
      <c r="M824" t="s">
        <v>27</v>
      </c>
    </row>
    <row r="825" spans="1:13">
      <c r="A825" t="s">
        <v>251</v>
      </c>
      <c r="B825" t="s">
        <v>160</v>
      </c>
      <c r="C825" t="s">
        <v>67</v>
      </c>
      <c r="D825" t="s">
        <v>1942</v>
      </c>
      <c r="E825">
        <v>2</v>
      </c>
      <c r="F825" t="s">
        <v>1943</v>
      </c>
      <c r="G825" s="10">
        <v>45120</v>
      </c>
      <c r="H825">
        <v>17400</v>
      </c>
      <c r="I825">
        <v>2400</v>
      </c>
      <c r="J825" t="s">
        <v>193</v>
      </c>
      <c r="K825">
        <v>6</v>
      </c>
      <c r="L825" t="s">
        <v>35</v>
      </c>
      <c r="M825" t="s">
        <v>27</v>
      </c>
    </row>
    <row r="826" spans="1:13">
      <c r="A826" t="s">
        <v>431</v>
      </c>
      <c r="B826" t="s">
        <v>160</v>
      </c>
      <c r="C826" t="s">
        <v>67</v>
      </c>
      <c r="D826" t="s">
        <v>1944</v>
      </c>
      <c r="E826">
        <v>2</v>
      </c>
      <c r="F826" t="s">
        <v>1945</v>
      </c>
      <c r="G826" s="10">
        <v>45119</v>
      </c>
      <c r="H826">
        <v>17400</v>
      </c>
      <c r="I826">
        <v>2400</v>
      </c>
      <c r="J826" t="s">
        <v>193</v>
      </c>
      <c r="K826">
        <v>6</v>
      </c>
      <c r="L826" t="s">
        <v>35</v>
      </c>
      <c r="M826" t="s">
        <v>27</v>
      </c>
    </row>
    <row r="827" spans="1:13">
      <c r="A827" t="s">
        <v>175</v>
      </c>
      <c r="B827" t="s">
        <v>66</v>
      </c>
      <c r="C827" t="s">
        <v>67</v>
      </c>
      <c r="D827" t="s">
        <v>1946</v>
      </c>
      <c r="E827">
        <v>2</v>
      </c>
      <c r="F827" t="s">
        <v>1947</v>
      </c>
      <c r="G827" s="10">
        <v>45181</v>
      </c>
      <c r="H827">
        <v>41708.33</v>
      </c>
      <c r="I827">
        <v>3791.67</v>
      </c>
      <c r="J827" t="s">
        <v>1893</v>
      </c>
      <c r="K827">
        <v>6</v>
      </c>
      <c r="L827" t="s">
        <v>24</v>
      </c>
      <c r="M827" t="s">
        <v>26</v>
      </c>
    </row>
    <row r="828" spans="1:13">
      <c r="A828" t="s">
        <v>319</v>
      </c>
      <c r="B828" t="s">
        <v>179</v>
      </c>
      <c r="C828" t="s">
        <v>45</v>
      </c>
      <c r="D828" t="s">
        <v>1948</v>
      </c>
      <c r="E828">
        <v>2</v>
      </c>
      <c r="F828" t="s">
        <v>1949</v>
      </c>
      <c r="G828" s="10">
        <v>45133</v>
      </c>
      <c r="H828">
        <v>373800</v>
      </c>
      <c r="I828">
        <v>132134</v>
      </c>
      <c r="J828" t="s">
        <v>189</v>
      </c>
      <c r="K828">
        <v>5</v>
      </c>
      <c r="L828" t="s">
        <v>44</v>
      </c>
      <c r="M828" t="s">
        <v>45</v>
      </c>
    </row>
    <row r="829" spans="1:13">
      <c r="A829" t="s">
        <v>512</v>
      </c>
      <c r="B829" t="s">
        <v>513</v>
      </c>
      <c r="C829" t="s">
        <v>1950</v>
      </c>
      <c r="D829" t="s">
        <v>1951</v>
      </c>
      <c r="E829">
        <v>2</v>
      </c>
      <c r="F829" t="s">
        <v>1952</v>
      </c>
      <c r="G829" s="10">
        <v>45145</v>
      </c>
      <c r="H829">
        <v>61749.87</v>
      </c>
      <c r="I829">
        <v>14249.87</v>
      </c>
      <c r="J829" t="s">
        <v>1414</v>
      </c>
      <c r="K829">
        <v>5</v>
      </c>
      <c r="L829" t="s">
        <v>44</v>
      </c>
      <c r="M829" t="s">
        <v>49</v>
      </c>
    </row>
    <row r="830" spans="1:13">
      <c r="A830" t="s">
        <v>223</v>
      </c>
      <c r="B830" t="s">
        <v>224</v>
      </c>
      <c r="C830" t="s">
        <v>94</v>
      </c>
      <c r="D830" t="s">
        <v>1953</v>
      </c>
      <c r="E830">
        <v>2</v>
      </c>
      <c r="F830" t="s">
        <v>1954</v>
      </c>
      <c r="G830" s="10">
        <v>45128</v>
      </c>
      <c r="H830">
        <v>30000</v>
      </c>
      <c r="I830">
        <v>5000</v>
      </c>
      <c r="J830" t="s">
        <v>227</v>
      </c>
      <c r="K830">
        <v>6</v>
      </c>
      <c r="L830" t="s">
        <v>41</v>
      </c>
      <c r="M830" t="s">
        <v>42</v>
      </c>
    </row>
    <row r="831" spans="1:13">
      <c r="A831" t="s">
        <v>190</v>
      </c>
      <c r="B831" t="s">
        <v>160</v>
      </c>
      <c r="C831" t="s">
        <v>67</v>
      </c>
      <c r="D831" t="s">
        <v>1955</v>
      </c>
      <c r="E831">
        <v>2</v>
      </c>
      <c r="F831" t="s">
        <v>1956</v>
      </c>
      <c r="G831" s="10">
        <v>45131</v>
      </c>
      <c r="H831">
        <v>48000</v>
      </c>
      <c r="I831">
        <v>8000</v>
      </c>
      <c r="J831" t="s">
        <v>163</v>
      </c>
      <c r="K831">
        <v>6</v>
      </c>
      <c r="L831" t="s">
        <v>35</v>
      </c>
      <c r="M831" t="s">
        <v>27</v>
      </c>
    </row>
    <row r="832" spans="1:13">
      <c r="A832" t="s">
        <v>190</v>
      </c>
      <c r="B832" t="s">
        <v>160</v>
      </c>
      <c r="C832" t="s">
        <v>67</v>
      </c>
      <c r="D832" t="s">
        <v>1957</v>
      </c>
      <c r="E832">
        <v>2</v>
      </c>
      <c r="F832" t="s">
        <v>1958</v>
      </c>
      <c r="G832" s="10">
        <v>45131</v>
      </c>
      <c r="H832">
        <v>45600</v>
      </c>
      <c r="I832">
        <v>7600</v>
      </c>
      <c r="J832" t="s">
        <v>163</v>
      </c>
      <c r="K832">
        <v>5</v>
      </c>
      <c r="L832" t="s">
        <v>35</v>
      </c>
      <c r="M832" t="s">
        <v>27</v>
      </c>
    </row>
    <row r="833" spans="1:13">
      <c r="A833" t="s">
        <v>159</v>
      </c>
      <c r="B833" t="s">
        <v>160</v>
      </c>
      <c r="C833" t="s">
        <v>67</v>
      </c>
      <c r="D833" t="s">
        <v>1959</v>
      </c>
      <c r="E833">
        <v>2</v>
      </c>
      <c r="F833" t="s">
        <v>1960</v>
      </c>
      <c r="G833" s="10">
        <v>45131</v>
      </c>
      <c r="H833">
        <v>17400</v>
      </c>
      <c r="I833">
        <v>2400</v>
      </c>
      <c r="J833" t="s">
        <v>193</v>
      </c>
      <c r="K833">
        <v>5</v>
      </c>
      <c r="L833" t="s">
        <v>35</v>
      </c>
      <c r="M833" t="s">
        <v>27</v>
      </c>
    </row>
    <row r="834" spans="1:13">
      <c r="A834" t="s">
        <v>190</v>
      </c>
      <c r="B834" t="s">
        <v>160</v>
      </c>
      <c r="C834" t="s">
        <v>67</v>
      </c>
      <c r="D834" t="s">
        <v>1961</v>
      </c>
      <c r="E834">
        <v>2</v>
      </c>
      <c r="F834" t="s">
        <v>1962</v>
      </c>
      <c r="G834" s="10">
        <v>45131</v>
      </c>
      <c r="H834">
        <v>48000</v>
      </c>
      <c r="I834">
        <v>8000</v>
      </c>
      <c r="J834" t="s">
        <v>163</v>
      </c>
      <c r="K834">
        <v>5</v>
      </c>
      <c r="L834" t="s">
        <v>35</v>
      </c>
      <c r="M834" t="s">
        <v>27</v>
      </c>
    </row>
    <row r="835" spans="1:13">
      <c r="A835" t="s">
        <v>159</v>
      </c>
      <c r="B835" t="s">
        <v>160</v>
      </c>
      <c r="C835" t="s">
        <v>67</v>
      </c>
      <c r="D835" t="s">
        <v>1963</v>
      </c>
      <c r="E835">
        <v>1</v>
      </c>
      <c r="F835" t="s">
        <v>1964</v>
      </c>
      <c r="G835" s="10">
        <v>45139</v>
      </c>
      <c r="H835">
        <v>0</v>
      </c>
      <c r="I835">
        <v>-20000</v>
      </c>
      <c r="J835" t="s">
        <v>250</v>
      </c>
      <c r="K835">
        <v>6</v>
      </c>
      <c r="L835" t="s">
        <v>24</v>
      </c>
      <c r="M835" t="s">
        <v>29</v>
      </c>
    </row>
    <row r="836" spans="1:13">
      <c r="A836" t="s">
        <v>159</v>
      </c>
      <c r="B836" t="s">
        <v>160</v>
      </c>
      <c r="C836" t="s">
        <v>67</v>
      </c>
      <c r="D836" t="s">
        <v>1965</v>
      </c>
      <c r="E836">
        <v>1</v>
      </c>
      <c r="F836" t="s">
        <v>1966</v>
      </c>
      <c r="G836" s="10">
        <v>45159</v>
      </c>
      <c r="H836">
        <v>26775</v>
      </c>
      <c r="I836">
        <v>6775</v>
      </c>
      <c r="J836" t="s">
        <v>250</v>
      </c>
      <c r="K836">
        <v>6</v>
      </c>
      <c r="L836" t="s">
        <v>24</v>
      </c>
      <c r="M836" t="s">
        <v>29</v>
      </c>
    </row>
    <row r="837" spans="1:13">
      <c r="A837" t="s">
        <v>361</v>
      </c>
      <c r="B837" t="s">
        <v>72</v>
      </c>
      <c r="C837" t="s">
        <v>67</v>
      </c>
      <c r="D837" t="s">
        <v>1967</v>
      </c>
      <c r="E837">
        <v>1</v>
      </c>
      <c r="F837" t="s">
        <v>1968</v>
      </c>
      <c r="G837" s="10">
        <v>45139</v>
      </c>
      <c r="H837">
        <v>32130</v>
      </c>
      <c r="I837">
        <v>12130</v>
      </c>
      <c r="J837" t="s">
        <v>250</v>
      </c>
      <c r="K837">
        <v>6</v>
      </c>
      <c r="L837" t="s">
        <v>24</v>
      </c>
      <c r="M837" t="s">
        <v>29</v>
      </c>
    </row>
    <row r="838" spans="1:13">
      <c r="A838" t="s">
        <v>1193</v>
      </c>
      <c r="B838" t="s">
        <v>141</v>
      </c>
      <c r="C838" t="s">
        <v>67</v>
      </c>
      <c r="D838" t="s">
        <v>1969</v>
      </c>
      <c r="E838">
        <v>2</v>
      </c>
      <c r="F838" t="s">
        <v>1970</v>
      </c>
      <c r="G838" s="10">
        <v>45126</v>
      </c>
      <c r="H838">
        <v>34500</v>
      </c>
      <c r="I838">
        <v>4500</v>
      </c>
      <c r="J838" t="s">
        <v>193</v>
      </c>
      <c r="K838">
        <v>5</v>
      </c>
      <c r="L838" t="s">
        <v>35</v>
      </c>
      <c r="M838" t="s">
        <v>27</v>
      </c>
    </row>
    <row r="839" spans="1:13">
      <c r="A839" t="s">
        <v>140</v>
      </c>
      <c r="B839" t="s">
        <v>141</v>
      </c>
      <c r="C839" t="s">
        <v>67</v>
      </c>
      <c r="D839" t="s">
        <v>1971</v>
      </c>
      <c r="E839">
        <v>2</v>
      </c>
      <c r="F839" t="s">
        <v>1972</v>
      </c>
      <c r="G839" s="10">
        <v>45126</v>
      </c>
      <c r="H839">
        <v>34500</v>
      </c>
      <c r="I839">
        <v>4500</v>
      </c>
      <c r="J839" t="s">
        <v>193</v>
      </c>
      <c r="K839">
        <v>6</v>
      </c>
      <c r="L839" t="s">
        <v>35</v>
      </c>
      <c r="M839" t="s">
        <v>27</v>
      </c>
    </row>
    <row r="840" spans="1:13">
      <c r="A840" t="s">
        <v>361</v>
      </c>
      <c r="B840" t="s">
        <v>72</v>
      </c>
      <c r="C840" t="s">
        <v>67</v>
      </c>
      <c r="D840" t="s">
        <v>1973</v>
      </c>
      <c r="E840">
        <v>1</v>
      </c>
      <c r="F840" t="s">
        <v>1974</v>
      </c>
      <c r="G840" s="10">
        <v>45170</v>
      </c>
      <c r="H840">
        <v>32130</v>
      </c>
      <c r="I840">
        <v>12130</v>
      </c>
      <c r="J840" t="s">
        <v>250</v>
      </c>
      <c r="K840">
        <v>6</v>
      </c>
      <c r="L840" t="s">
        <v>24</v>
      </c>
      <c r="M840" t="s">
        <v>29</v>
      </c>
    </row>
    <row r="841" spans="1:13">
      <c r="A841" t="s">
        <v>140</v>
      </c>
      <c r="B841" t="s">
        <v>141</v>
      </c>
      <c r="C841" t="s">
        <v>67</v>
      </c>
      <c r="D841" t="s">
        <v>1975</v>
      </c>
      <c r="E841">
        <v>2</v>
      </c>
      <c r="F841" t="s">
        <v>1976</v>
      </c>
      <c r="G841" s="10">
        <v>45126</v>
      </c>
      <c r="H841">
        <v>35400</v>
      </c>
      <c r="I841">
        <v>5400</v>
      </c>
      <c r="J841" t="s">
        <v>193</v>
      </c>
      <c r="K841">
        <v>6</v>
      </c>
      <c r="L841" t="s">
        <v>35</v>
      </c>
      <c r="M841" t="s">
        <v>27</v>
      </c>
    </row>
    <row r="842" spans="1:13">
      <c r="A842" t="s">
        <v>305</v>
      </c>
      <c r="B842" t="s">
        <v>118</v>
      </c>
      <c r="C842" t="s">
        <v>98</v>
      </c>
      <c r="D842" t="s">
        <v>1977</v>
      </c>
      <c r="E842">
        <v>1</v>
      </c>
      <c r="F842" t="s">
        <v>1978</v>
      </c>
      <c r="G842" s="10">
        <v>45166</v>
      </c>
      <c r="H842">
        <v>295566.5</v>
      </c>
      <c r="I842">
        <v>53900.5</v>
      </c>
      <c r="J842" t="s">
        <v>121</v>
      </c>
      <c r="K842">
        <v>5</v>
      </c>
      <c r="L842" t="s">
        <v>24</v>
      </c>
      <c r="M842" t="s">
        <v>30</v>
      </c>
    </row>
    <row r="843" spans="1:13">
      <c r="A843" t="s">
        <v>703</v>
      </c>
      <c r="B843" t="s">
        <v>179</v>
      </c>
      <c r="C843" t="s">
        <v>45</v>
      </c>
      <c r="D843" t="s">
        <v>1979</v>
      </c>
      <c r="E843">
        <v>2</v>
      </c>
      <c r="F843" t="s">
        <v>1980</v>
      </c>
      <c r="G843" s="10">
        <v>45118</v>
      </c>
      <c r="H843">
        <v>286000</v>
      </c>
      <c r="I843">
        <v>111000</v>
      </c>
      <c r="J843" t="s">
        <v>714</v>
      </c>
      <c r="K843">
        <v>5</v>
      </c>
      <c r="L843" t="s">
        <v>44</v>
      </c>
      <c r="M843" t="s">
        <v>45</v>
      </c>
    </row>
    <row r="844" spans="1:13">
      <c r="A844" t="s">
        <v>223</v>
      </c>
      <c r="B844" t="s">
        <v>224</v>
      </c>
      <c r="C844" t="s">
        <v>94</v>
      </c>
      <c r="D844" t="s">
        <v>1981</v>
      </c>
      <c r="E844">
        <v>2</v>
      </c>
      <c r="F844" t="s">
        <v>1982</v>
      </c>
      <c r="G844" s="10">
        <v>45126</v>
      </c>
      <c r="H844">
        <v>37000</v>
      </c>
      <c r="I844">
        <v>7000</v>
      </c>
      <c r="J844" t="s">
        <v>227</v>
      </c>
      <c r="K844">
        <v>5</v>
      </c>
      <c r="L844" t="s">
        <v>41</v>
      </c>
      <c r="M844" t="s">
        <v>42</v>
      </c>
    </row>
    <row r="845" spans="1:13">
      <c r="A845" t="s">
        <v>1983</v>
      </c>
      <c r="B845" t="s">
        <v>179</v>
      </c>
      <c r="C845" t="s">
        <v>45</v>
      </c>
      <c r="D845" t="s">
        <v>1984</v>
      </c>
      <c r="E845">
        <v>2</v>
      </c>
      <c r="F845" t="s">
        <v>1985</v>
      </c>
      <c r="G845" s="10">
        <v>45121</v>
      </c>
      <c r="H845">
        <v>160000</v>
      </c>
      <c r="I845">
        <v>60000</v>
      </c>
      <c r="J845" t="s">
        <v>884</v>
      </c>
      <c r="K845">
        <v>5</v>
      </c>
      <c r="L845" t="s">
        <v>44</v>
      </c>
      <c r="M845" t="s">
        <v>45</v>
      </c>
    </row>
    <row r="846" spans="1:13">
      <c r="A846" t="s">
        <v>186</v>
      </c>
      <c r="B846" t="s">
        <v>179</v>
      </c>
      <c r="C846" t="s">
        <v>45</v>
      </c>
      <c r="D846" t="s">
        <v>1206</v>
      </c>
      <c r="E846">
        <v>2</v>
      </c>
      <c r="F846" t="s">
        <v>1986</v>
      </c>
      <c r="G846" s="10">
        <v>45118</v>
      </c>
      <c r="H846">
        <v>180000</v>
      </c>
      <c r="I846">
        <v>42500</v>
      </c>
      <c r="J846" t="s">
        <v>714</v>
      </c>
      <c r="K846">
        <v>6</v>
      </c>
      <c r="L846" t="s">
        <v>44</v>
      </c>
      <c r="M846" t="s">
        <v>45</v>
      </c>
    </row>
    <row r="847" spans="1:13">
      <c r="A847" t="s">
        <v>1193</v>
      </c>
      <c r="B847" t="s">
        <v>141</v>
      </c>
      <c r="C847" t="s">
        <v>67</v>
      </c>
      <c r="D847" t="s">
        <v>1987</v>
      </c>
      <c r="E847">
        <v>1</v>
      </c>
      <c r="F847" t="s">
        <v>1988</v>
      </c>
      <c r="G847" s="10">
        <v>45139</v>
      </c>
      <c r="H847">
        <v>32130</v>
      </c>
      <c r="I847">
        <v>12130</v>
      </c>
      <c r="J847" t="s">
        <v>250</v>
      </c>
      <c r="K847">
        <v>6</v>
      </c>
      <c r="L847" t="s">
        <v>24</v>
      </c>
      <c r="M847" t="s">
        <v>29</v>
      </c>
    </row>
    <row r="848" spans="1:13">
      <c r="A848" t="s">
        <v>140</v>
      </c>
      <c r="B848" t="s">
        <v>141</v>
      </c>
      <c r="C848" t="s">
        <v>67</v>
      </c>
      <c r="D848" t="s">
        <v>1989</v>
      </c>
      <c r="E848">
        <v>2</v>
      </c>
      <c r="F848" t="s">
        <v>1990</v>
      </c>
      <c r="G848" s="10">
        <v>45126</v>
      </c>
      <c r="H848">
        <v>34500</v>
      </c>
      <c r="I848">
        <v>4500</v>
      </c>
      <c r="J848" t="s">
        <v>193</v>
      </c>
      <c r="K848">
        <v>5</v>
      </c>
      <c r="L848" t="s">
        <v>35</v>
      </c>
      <c r="M848" t="s">
        <v>27</v>
      </c>
    </row>
    <row r="849" spans="1:13">
      <c r="A849" t="s">
        <v>1193</v>
      </c>
      <c r="B849" t="s">
        <v>141</v>
      </c>
      <c r="C849" t="s">
        <v>67</v>
      </c>
      <c r="D849" t="s">
        <v>1991</v>
      </c>
      <c r="E849">
        <v>1</v>
      </c>
      <c r="F849" t="s">
        <v>1992</v>
      </c>
      <c r="G849" s="10">
        <v>45159</v>
      </c>
      <c r="H849">
        <v>26775</v>
      </c>
      <c r="I849">
        <v>6775</v>
      </c>
      <c r="J849" t="s">
        <v>250</v>
      </c>
      <c r="K849">
        <v>6</v>
      </c>
      <c r="L849" t="s">
        <v>24</v>
      </c>
      <c r="M849" t="s">
        <v>29</v>
      </c>
    </row>
    <row r="850" spans="1:13">
      <c r="A850" t="s">
        <v>190</v>
      </c>
      <c r="B850" t="s">
        <v>160</v>
      </c>
      <c r="C850" t="s">
        <v>67</v>
      </c>
      <c r="D850" t="s">
        <v>1993</v>
      </c>
      <c r="E850">
        <v>2</v>
      </c>
      <c r="F850" t="s">
        <v>1994</v>
      </c>
      <c r="G850" s="10">
        <v>45131</v>
      </c>
      <c r="H850">
        <v>42000</v>
      </c>
      <c r="I850">
        <v>7000</v>
      </c>
      <c r="J850" t="s">
        <v>163</v>
      </c>
      <c r="K850">
        <v>6</v>
      </c>
      <c r="L850" t="s">
        <v>35</v>
      </c>
      <c r="M850" t="s">
        <v>27</v>
      </c>
    </row>
    <row r="851" spans="1:13">
      <c r="A851" t="s">
        <v>1193</v>
      </c>
      <c r="B851" t="s">
        <v>141</v>
      </c>
      <c r="C851" t="s">
        <v>67</v>
      </c>
      <c r="D851" t="s">
        <v>1995</v>
      </c>
      <c r="E851">
        <v>1</v>
      </c>
      <c r="F851" t="s">
        <v>1996</v>
      </c>
      <c r="G851" s="10">
        <v>45159</v>
      </c>
      <c r="H851">
        <v>26775</v>
      </c>
      <c r="I851">
        <v>6775</v>
      </c>
      <c r="J851" t="s">
        <v>250</v>
      </c>
      <c r="K851">
        <v>6</v>
      </c>
      <c r="L851" t="s">
        <v>24</v>
      </c>
      <c r="M851" t="s">
        <v>29</v>
      </c>
    </row>
    <row r="852" spans="1:13">
      <c r="A852" t="s">
        <v>261</v>
      </c>
      <c r="B852" t="s">
        <v>160</v>
      </c>
      <c r="C852" t="s">
        <v>67</v>
      </c>
      <c r="D852" t="s">
        <v>1997</v>
      </c>
      <c r="E852">
        <v>2</v>
      </c>
      <c r="F852" t="s">
        <v>1998</v>
      </c>
      <c r="G852" s="10">
        <v>45124</v>
      </c>
      <c r="H852">
        <v>28750</v>
      </c>
      <c r="I852">
        <v>3750</v>
      </c>
      <c r="J852" t="s">
        <v>193</v>
      </c>
      <c r="K852">
        <v>5</v>
      </c>
      <c r="L852" t="s">
        <v>35</v>
      </c>
      <c r="M852" t="s">
        <v>27</v>
      </c>
    </row>
    <row r="853" spans="1:13">
      <c r="A853" t="s">
        <v>190</v>
      </c>
      <c r="B853" t="s">
        <v>160</v>
      </c>
      <c r="C853" t="s">
        <v>67</v>
      </c>
      <c r="D853" t="s">
        <v>1999</v>
      </c>
      <c r="E853">
        <v>2</v>
      </c>
      <c r="F853" t="s">
        <v>2000</v>
      </c>
      <c r="G853" s="10">
        <v>45125</v>
      </c>
      <c r="H853">
        <v>24265</v>
      </c>
      <c r="I853">
        <v>3165</v>
      </c>
      <c r="J853" t="s">
        <v>193</v>
      </c>
      <c r="K853">
        <v>5</v>
      </c>
      <c r="L853" t="s">
        <v>35</v>
      </c>
      <c r="M853" t="s">
        <v>27</v>
      </c>
    </row>
    <row r="854" spans="1:13">
      <c r="A854" t="s">
        <v>661</v>
      </c>
      <c r="B854" t="s">
        <v>179</v>
      </c>
      <c r="C854" t="s">
        <v>45</v>
      </c>
      <c r="D854" t="s">
        <v>1423</v>
      </c>
      <c r="E854">
        <v>2</v>
      </c>
      <c r="F854" t="s">
        <v>2001</v>
      </c>
      <c r="G854" s="10">
        <v>45119</v>
      </c>
      <c r="H854">
        <v>170000</v>
      </c>
      <c r="I854">
        <v>45000</v>
      </c>
      <c r="J854" t="s">
        <v>714</v>
      </c>
      <c r="K854">
        <v>5</v>
      </c>
      <c r="L854" t="s">
        <v>44</v>
      </c>
      <c r="M854" t="s">
        <v>45</v>
      </c>
    </row>
    <row r="855" spans="1:13">
      <c r="A855" t="s">
        <v>1171</v>
      </c>
      <c r="B855" t="s">
        <v>43</v>
      </c>
      <c r="C855" t="s">
        <v>94</v>
      </c>
      <c r="D855" t="s">
        <v>2002</v>
      </c>
      <c r="E855">
        <v>1</v>
      </c>
      <c r="F855" t="s">
        <v>2003</v>
      </c>
      <c r="G855" s="10">
        <v>45126</v>
      </c>
      <c r="H855">
        <v>26000</v>
      </c>
      <c r="I855">
        <v>1000</v>
      </c>
      <c r="J855" t="s">
        <v>227</v>
      </c>
      <c r="K855">
        <v>5</v>
      </c>
      <c r="L855" t="s">
        <v>41</v>
      </c>
      <c r="M855" t="s">
        <v>42</v>
      </c>
    </row>
    <row r="856" spans="1:13">
      <c r="A856" t="s">
        <v>376</v>
      </c>
      <c r="B856" t="s">
        <v>66</v>
      </c>
      <c r="C856" t="s">
        <v>67</v>
      </c>
      <c r="D856" t="s">
        <v>2004</v>
      </c>
      <c r="E856">
        <v>2</v>
      </c>
      <c r="F856" t="s">
        <v>2005</v>
      </c>
      <c r="G856" s="10">
        <v>45232</v>
      </c>
      <c r="H856">
        <v>32083.33</v>
      </c>
      <c r="I856">
        <v>2917.33</v>
      </c>
      <c r="J856" t="s">
        <v>1893</v>
      </c>
      <c r="K856">
        <v>5</v>
      </c>
      <c r="L856" t="s">
        <v>24</v>
      </c>
      <c r="M856" t="s">
        <v>26</v>
      </c>
    </row>
    <row r="857" spans="1:13">
      <c r="A857" t="s">
        <v>197</v>
      </c>
      <c r="B857" t="s">
        <v>160</v>
      </c>
      <c r="C857" t="s">
        <v>67</v>
      </c>
      <c r="D857" t="s">
        <v>2006</v>
      </c>
      <c r="E857">
        <v>2</v>
      </c>
      <c r="F857" t="s">
        <v>2007</v>
      </c>
      <c r="G857" s="10">
        <v>45120</v>
      </c>
      <c r="H857">
        <v>17400</v>
      </c>
      <c r="I857">
        <v>2400</v>
      </c>
      <c r="J857" t="s">
        <v>193</v>
      </c>
      <c r="K857">
        <v>5</v>
      </c>
      <c r="L857" t="s">
        <v>35</v>
      </c>
      <c r="M857" t="s">
        <v>27</v>
      </c>
    </row>
    <row r="858" spans="1:13">
      <c r="A858" t="s">
        <v>29</v>
      </c>
      <c r="B858" t="s">
        <v>98</v>
      </c>
      <c r="C858" t="s">
        <v>29</v>
      </c>
      <c r="D858" t="s">
        <v>2008</v>
      </c>
      <c r="E858">
        <v>1</v>
      </c>
      <c r="F858" t="s">
        <v>2009</v>
      </c>
      <c r="G858" s="10">
        <v>45198</v>
      </c>
      <c r="H858">
        <v>72292.5</v>
      </c>
      <c r="I858">
        <v>9792.5</v>
      </c>
      <c r="J858" t="s">
        <v>250</v>
      </c>
      <c r="K858">
        <v>6</v>
      </c>
      <c r="L858" t="s">
        <v>24</v>
      </c>
      <c r="M858" t="s">
        <v>29</v>
      </c>
    </row>
    <row r="859" spans="1:13">
      <c r="A859" t="s">
        <v>813</v>
      </c>
      <c r="B859" t="s">
        <v>43</v>
      </c>
      <c r="C859" t="s">
        <v>94</v>
      </c>
      <c r="D859" t="s">
        <v>2010</v>
      </c>
      <c r="E859">
        <v>1</v>
      </c>
      <c r="F859" t="s">
        <v>2011</v>
      </c>
      <c r="G859" s="10">
        <v>45139</v>
      </c>
      <c r="H859">
        <v>32130</v>
      </c>
      <c r="I859">
        <v>12130</v>
      </c>
      <c r="J859" t="s">
        <v>250</v>
      </c>
      <c r="K859">
        <v>6</v>
      </c>
      <c r="L859" t="s">
        <v>24</v>
      </c>
      <c r="M859" t="s">
        <v>29</v>
      </c>
    </row>
    <row r="860" spans="1:13">
      <c r="A860" t="s">
        <v>2012</v>
      </c>
      <c r="B860" t="s">
        <v>43</v>
      </c>
      <c r="C860" t="s">
        <v>94</v>
      </c>
      <c r="D860" t="s">
        <v>2013</v>
      </c>
      <c r="E860">
        <v>2</v>
      </c>
      <c r="F860" t="s">
        <v>2014</v>
      </c>
      <c r="G860" s="10">
        <v>45126</v>
      </c>
      <c r="H860">
        <v>29000</v>
      </c>
      <c r="I860">
        <v>4000</v>
      </c>
      <c r="J860" t="s">
        <v>227</v>
      </c>
      <c r="K860">
        <v>5</v>
      </c>
      <c r="L860" t="s">
        <v>41</v>
      </c>
      <c r="M860" t="s">
        <v>42</v>
      </c>
    </row>
    <row r="861" spans="1:13">
      <c r="A861" t="s">
        <v>1228</v>
      </c>
      <c r="B861" t="s">
        <v>224</v>
      </c>
      <c r="C861" t="s">
        <v>94</v>
      </c>
      <c r="D861" t="s">
        <v>2015</v>
      </c>
      <c r="E861">
        <v>2</v>
      </c>
      <c r="F861" t="s">
        <v>2016</v>
      </c>
      <c r="G861" s="10">
        <v>45128</v>
      </c>
      <c r="H861">
        <v>28000</v>
      </c>
      <c r="I861">
        <v>2000</v>
      </c>
      <c r="J861" t="s">
        <v>227</v>
      </c>
      <c r="K861">
        <v>5</v>
      </c>
      <c r="L861" t="s">
        <v>41</v>
      </c>
      <c r="M861" t="s">
        <v>42</v>
      </c>
    </row>
    <row r="862" spans="1:13">
      <c r="A862" t="s">
        <v>65</v>
      </c>
      <c r="B862" t="s">
        <v>66</v>
      </c>
      <c r="C862" t="s">
        <v>67</v>
      </c>
      <c r="D862" t="s">
        <v>2017</v>
      </c>
      <c r="E862">
        <v>2</v>
      </c>
      <c r="F862" t="s">
        <v>2018</v>
      </c>
      <c r="G862" s="10">
        <v>45089</v>
      </c>
      <c r="H862">
        <v>27500</v>
      </c>
      <c r="I862">
        <v>2500</v>
      </c>
      <c r="J862" t="s">
        <v>2019</v>
      </c>
      <c r="K862">
        <v>5</v>
      </c>
      <c r="L862" t="s">
        <v>24</v>
      </c>
      <c r="M862" t="s">
        <v>26</v>
      </c>
    </row>
    <row r="863" spans="1:13">
      <c r="A863" t="s">
        <v>1983</v>
      </c>
      <c r="B863" t="s">
        <v>179</v>
      </c>
      <c r="C863" t="s">
        <v>45</v>
      </c>
      <c r="D863" t="s">
        <v>2020</v>
      </c>
      <c r="E863">
        <v>2</v>
      </c>
      <c r="F863" t="s">
        <v>2021</v>
      </c>
      <c r="G863" s="10">
        <v>45127</v>
      </c>
      <c r="H863">
        <v>314500</v>
      </c>
      <c r="I863">
        <v>22834</v>
      </c>
      <c r="J863" t="s">
        <v>884</v>
      </c>
      <c r="K863">
        <v>6</v>
      </c>
      <c r="L863" t="s">
        <v>44</v>
      </c>
      <c r="M863" t="s">
        <v>45</v>
      </c>
    </row>
    <row r="864" spans="1:13">
      <c r="A864" t="s">
        <v>376</v>
      </c>
      <c r="B864" t="s">
        <v>66</v>
      </c>
      <c r="C864" t="s">
        <v>67</v>
      </c>
      <c r="D864" t="s">
        <v>2022</v>
      </c>
      <c r="E864">
        <v>2</v>
      </c>
      <c r="F864" t="s">
        <v>2023</v>
      </c>
      <c r="G864" s="10">
        <v>45204</v>
      </c>
      <c r="H864">
        <v>41708.33</v>
      </c>
      <c r="I864">
        <v>3792.33</v>
      </c>
      <c r="J864" t="s">
        <v>2019</v>
      </c>
      <c r="K864">
        <v>5</v>
      </c>
      <c r="L864" t="s">
        <v>24</v>
      </c>
      <c r="M864" t="s">
        <v>26</v>
      </c>
    </row>
    <row r="865" spans="1:13">
      <c r="A865" t="s">
        <v>2024</v>
      </c>
      <c r="B865" t="s">
        <v>43</v>
      </c>
      <c r="C865" t="s">
        <v>94</v>
      </c>
      <c r="D865" t="s">
        <v>2025</v>
      </c>
      <c r="E865">
        <v>2</v>
      </c>
      <c r="F865" t="s">
        <v>2026</v>
      </c>
      <c r="G865" s="10">
        <v>45127</v>
      </c>
      <c r="H865">
        <v>26000</v>
      </c>
      <c r="I865">
        <v>1000</v>
      </c>
      <c r="J865" t="s">
        <v>227</v>
      </c>
      <c r="K865">
        <v>5</v>
      </c>
      <c r="L865" t="s">
        <v>41</v>
      </c>
      <c r="M865" t="s">
        <v>42</v>
      </c>
    </row>
    <row r="866" spans="1:13">
      <c r="A866" t="s">
        <v>305</v>
      </c>
      <c r="B866" t="s">
        <v>118</v>
      </c>
      <c r="C866" t="s">
        <v>98</v>
      </c>
      <c r="D866" t="s">
        <v>852</v>
      </c>
      <c r="E866">
        <v>4</v>
      </c>
      <c r="F866" t="s">
        <v>2027</v>
      </c>
      <c r="G866" s="10">
        <v>45121</v>
      </c>
      <c r="H866">
        <v>369458.13</v>
      </c>
      <c r="I866">
        <v>77792.13</v>
      </c>
      <c r="J866" t="s">
        <v>121</v>
      </c>
      <c r="K866">
        <v>6</v>
      </c>
      <c r="L866" t="s">
        <v>24</v>
      </c>
      <c r="M866" t="s">
        <v>30</v>
      </c>
    </row>
    <row r="867" spans="1:13">
      <c r="A867" t="s">
        <v>140</v>
      </c>
      <c r="B867" t="s">
        <v>141</v>
      </c>
      <c r="C867" t="s">
        <v>67</v>
      </c>
      <c r="D867" t="s">
        <v>2028</v>
      </c>
      <c r="E867">
        <v>2</v>
      </c>
      <c r="F867" t="s">
        <v>2029</v>
      </c>
      <c r="G867" s="10">
        <v>45126</v>
      </c>
      <c r="H867">
        <v>34500</v>
      </c>
      <c r="I867">
        <v>4500</v>
      </c>
      <c r="J867" t="s">
        <v>193</v>
      </c>
      <c r="K867">
        <v>5</v>
      </c>
      <c r="L867" t="s">
        <v>35</v>
      </c>
      <c r="M867" t="s">
        <v>27</v>
      </c>
    </row>
    <row r="868" spans="1:13">
      <c r="A868" t="s">
        <v>522</v>
      </c>
      <c r="B868" t="s">
        <v>72</v>
      </c>
      <c r="C868" t="s">
        <v>67</v>
      </c>
      <c r="D868" t="s">
        <v>2030</v>
      </c>
      <c r="E868">
        <v>1</v>
      </c>
      <c r="F868" t="s">
        <v>2031</v>
      </c>
      <c r="G868" s="10">
        <v>45159</v>
      </c>
      <c r="H868">
        <v>26775</v>
      </c>
      <c r="I868">
        <v>6775</v>
      </c>
      <c r="J868" t="s">
        <v>250</v>
      </c>
      <c r="K868">
        <v>6</v>
      </c>
      <c r="L868" t="s">
        <v>24</v>
      </c>
      <c r="M868" t="s">
        <v>29</v>
      </c>
    </row>
    <row r="869" spans="1:13">
      <c r="A869" t="s">
        <v>376</v>
      </c>
      <c r="B869" t="s">
        <v>66</v>
      </c>
      <c r="C869" t="s">
        <v>67</v>
      </c>
      <c r="D869" t="s">
        <v>2032</v>
      </c>
      <c r="E869">
        <v>2</v>
      </c>
      <c r="F869" t="s">
        <v>2033</v>
      </c>
      <c r="G869" s="10">
        <v>45225</v>
      </c>
      <c r="H869">
        <v>41708.33</v>
      </c>
      <c r="I869">
        <v>3792.33</v>
      </c>
      <c r="J869" t="s">
        <v>2019</v>
      </c>
      <c r="K869">
        <v>6</v>
      </c>
      <c r="L869" t="s">
        <v>24</v>
      </c>
      <c r="M869" t="s">
        <v>26</v>
      </c>
    </row>
    <row r="870" spans="1:13">
      <c r="A870" t="s">
        <v>92</v>
      </c>
      <c r="B870" t="s">
        <v>93</v>
      </c>
      <c r="C870" t="s">
        <v>94</v>
      </c>
      <c r="D870" t="s">
        <v>2034</v>
      </c>
      <c r="E870">
        <v>2</v>
      </c>
      <c r="F870" t="s">
        <v>2035</v>
      </c>
      <c r="G870" s="10">
        <v>45135</v>
      </c>
      <c r="H870">
        <v>25680</v>
      </c>
      <c r="I870">
        <v>680</v>
      </c>
      <c r="J870" t="s">
        <v>227</v>
      </c>
      <c r="K870">
        <v>6</v>
      </c>
      <c r="L870" t="s">
        <v>41</v>
      </c>
      <c r="M870" t="s">
        <v>42</v>
      </c>
    </row>
    <row r="871" spans="1:13">
      <c r="A871" t="s">
        <v>527</v>
      </c>
      <c r="B871" t="s">
        <v>93</v>
      </c>
      <c r="C871" t="s">
        <v>94</v>
      </c>
      <c r="D871" t="s">
        <v>2036</v>
      </c>
      <c r="E871">
        <v>2</v>
      </c>
      <c r="F871" t="s">
        <v>2037</v>
      </c>
      <c r="G871" s="10">
        <v>45132</v>
      </c>
      <c r="H871">
        <v>25000</v>
      </c>
      <c r="I871">
        <v>667</v>
      </c>
      <c r="J871" t="s">
        <v>227</v>
      </c>
      <c r="K871">
        <v>5</v>
      </c>
      <c r="L871" t="s">
        <v>41</v>
      </c>
      <c r="M871" t="s">
        <v>42</v>
      </c>
    </row>
    <row r="872" spans="1:13">
      <c r="A872" t="s">
        <v>92</v>
      </c>
      <c r="B872" t="s">
        <v>93</v>
      </c>
      <c r="C872" t="s">
        <v>94</v>
      </c>
      <c r="D872" t="s">
        <v>2038</v>
      </c>
      <c r="E872">
        <v>2</v>
      </c>
      <c r="F872" t="s">
        <v>2039</v>
      </c>
      <c r="G872" s="10">
        <v>45124</v>
      </c>
      <c r="H872">
        <v>178500</v>
      </c>
      <c r="I872">
        <v>61834</v>
      </c>
      <c r="J872" t="s">
        <v>97</v>
      </c>
      <c r="K872">
        <v>6</v>
      </c>
      <c r="L872" t="s">
        <v>41</v>
      </c>
      <c r="M872" t="s">
        <v>42</v>
      </c>
    </row>
    <row r="873" spans="1:13">
      <c r="A873" t="s">
        <v>194</v>
      </c>
      <c r="B873" t="s">
        <v>160</v>
      </c>
      <c r="C873" t="s">
        <v>67</v>
      </c>
      <c r="D873" t="s">
        <v>2040</v>
      </c>
      <c r="E873">
        <v>2</v>
      </c>
      <c r="F873" t="s">
        <v>2041</v>
      </c>
      <c r="G873" s="10">
        <v>45131</v>
      </c>
      <c r="H873">
        <v>48000</v>
      </c>
      <c r="I873">
        <v>8000</v>
      </c>
      <c r="J873" t="s">
        <v>163</v>
      </c>
      <c r="K873">
        <v>5</v>
      </c>
      <c r="L873" t="s">
        <v>35</v>
      </c>
      <c r="M873" t="s">
        <v>27</v>
      </c>
    </row>
    <row r="874" spans="1:13">
      <c r="A874" t="s">
        <v>197</v>
      </c>
      <c r="B874" t="s">
        <v>160</v>
      </c>
      <c r="C874" t="s">
        <v>67</v>
      </c>
      <c r="D874" t="s">
        <v>2042</v>
      </c>
      <c r="E874">
        <v>1</v>
      </c>
      <c r="F874" t="s">
        <v>2043</v>
      </c>
      <c r="G874" s="10">
        <v>45159</v>
      </c>
      <c r="H874">
        <v>26775</v>
      </c>
      <c r="I874">
        <v>6775</v>
      </c>
      <c r="J874" t="s">
        <v>250</v>
      </c>
      <c r="K874">
        <v>6</v>
      </c>
      <c r="L874" t="s">
        <v>24</v>
      </c>
      <c r="M874" t="s">
        <v>29</v>
      </c>
    </row>
    <row r="875" spans="1:13">
      <c r="A875" t="s">
        <v>197</v>
      </c>
      <c r="B875" t="s">
        <v>160</v>
      </c>
      <c r="C875" t="s">
        <v>67</v>
      </c>
      <c r="D875" t="s">
        <v>2044</v>
      </c>
      <c r="E875">
        <v>1</v>
      </c>
      <c r="F875" t="s">
        <v>2045</v>
      </c>
      <c r="G875" s="10">
        <v>45159</v>
      </c>
      <c r="H875">
        <v>26775</v>
      </c>
      <c r="I875">
        <v>6775</v>
      </c>
      <c r="J875" t="s">
        <v>250</v>
      </c>
      <c r="K875">
        <v>6</v>
      </c>
      <c r="L875" t="s">
        <v>24</v>
      </c>
      <c r="M875" t="s">
        <v>29</v>
      </c>
    </row>
    <row r="876" spans="1:13">
      <c r="A876" t="s">
        <v>214</v>
      </c>
      <c r="B876" t="s">
        <v>215</v>
      </c>
      <c r="C876" t="s">
        <v>94</v>
      </c>
      <c r="D876" t="s">
        <v>2046</v>
      </c>
      <c r="E876">
        <v>2</v>
      </c>
      <c r="F876" t="s">
        <v>2047</v>
      </c>
      <c r="G876" s="10">
        <v>45127</v>
      </c>
      <c r="H876">
        <v>26000</v>
      </c>
      <c r="I876">
        <v>1000</v>
      </c>
      <c r="J876" t="s">
        <v>227</v>
      </c>
      <c r="K876">
        <v>5</v>
      </c>
      <c r="L876" t="s">
        <v>41</v>
      </c>
      <c r="M876" t="s">
        <v>42</v>
      </c>
    </row>
    <row r="877" spans="1:13">
      <c r="A877" t="s">
        <v>214</v>
      </c>
      <c r="B877" t="s">
        <v>215</v>
      </c>
      <c r="C877" t="s">
        <v>94</v>
      </c>
      <c r="D877" t="s">
        <v>2048</v>
      </c>
      <c r="E877">
        <v>2</v>
      </c>
      <c r="F877" t="s">
        <v>2049</v>
      </c>
      <c r="G877" s="10">
        <v>45128</v>
      </c>
      <c r="H877">
        <v>27000</v>
      </c>
      <c r="I877">
        <v>2000</v>
      </c>
      <c r="J877" t="s">
        <v>227</v>
      </c>
      <c r="K877">
        <v>5</v>
      </c>
      <c r="L877" t="s">
        <v>41</v>
      </c>
      <c r="M877" t="s">
        <v>42</v>
      </c>
    </row>
    <row r="878" spans="1:13">
      <c r="A878" t="s">
        <v>1772</v>
      </c>
      <c r="B878" t="s">
        <v>1030</v>
      </c>
      <c r="C878" t="s">
        <v>94</v>
      </c>
      <c r="D878" t="s">
        <v>2050</v>
      </c>
      <c r="E878">
        <v>2</v>
      </c>
      <c r="F878" t="s">
        <v>2051</v>
      </c>
      <c r="G878" s="10">
        <v>45127</v>
      </c>
      <c r="H878">
        <v>28000</v>
      </c>
      <c r="I878">
        <v>1334</v>
      </c>
      <c r="J878" t="s">
        <v>227</v>
      </c>
      <c r="K878">
        <v>5</v>
      </c>
      <c r="L878" t="s">
        <v>41</v>
      </c>
      <c r="M878" t="s">
        <v>42</v>
      </c>
    </row>
    <row r="879" spans="1:13">
      <c r="A879" t="s">
        <v>639</v>
      </c>
      <c r="B879" t="s">
        <v>215</v>
      </c>
      <c r="C879" t="s">
        <v>94</v>
      </c>
      <c r="D879" t="s">
        <v>2052</v>
      </c>
      <c r="E879">
        <v>2</v>
      </c>
      <c r="F879" t="s">
        <v>2053</v>
      </c>
      <c r="G879" s="10">
        <v>45135</v>
      </c>
      <c r="H879">
        <v>27000</v>
      </c>
      <c r="I879">
        <v>1166.67</v>
      </c>
      <c r="J879" t="s">
        <v>227</v>
      </c>
      <c r="K879">
        <v>6</v>
      </c>
      <c r="L879" t="s">
        <v>41</v>
      </c>
      <c r="M879" t="s">
        <v>42</v>
      </c>
    </row>
    <row r="880" spans="1:13">
      <c r="A880" t="s">
        <v>491</v>
      </c>
      <c r="B880" t="s">
        <v>93</v>
      </c>
      <c r="C880" t="s">
        <v>94</v>
      </c>
      <c r="D880" t="s">
        <v>2054</v>
      </c>
      <c r="E880">
        <v>2</v>
      </c>
      <c r="F880" t="s">
        <v>2055</v>
      </c>
      <c r="G880" s="10">
        <v>45126</v>
      </c>
      <c r="H880">
        <v>26750</v>
      </c>
      <c r="I880">
        <v>1750</v>
      </c>
      <c r="J880" t="s">
        <v>227</v>
      </c>
      <c r="K880">
        <v>5</v>
      </c>
      <c r="L880" t="s">
        <v>41</v>
      </c>
      <c r="M880" t="s">
        <v>42</v>
      </c>
    </row>
    <row r="881" spans="1:13">
      <c r="A881" t="s">
        <v>1530</v>
      </c>
      <c r="B881" t="s">
        <v>1531</v>
      </c>
      <c r="C881" t="s">
        <v>1532</v>
      </c>
      <c r="D881" t="s">
        <v>2056</v>
      </c>
      <c r="E881">
        <v>2</v>
      </c>
      <c r="F881" t="s">
        <v>2057</v>
      </c>
      <c r="G881" s="10">
        <v>45126</v>
      </c>
      <c r="H881">
        <v>28000</v>
      </c>
      <c r="I881">
        <v>2500</v>
      </c>
      <c r="J881" t="s">
        <v>227</v>
      </c>
      <c r="K881">
        <v>5</v>
      </c>
      <c r="L881" t="s">
        <v>41</v>
      </c>
      <c r="M881" t="s">
        <v>42</v>
      </c>
    </row>
    <row r="882" spans="1:13">
      <c r="A882" t="s">
        <v>399</v>
      </c>
      <c r="B882" t="s">
        <v>231</v>
      </c>
      <c r="C882" t="s">
        <v>400</v>
      </c>
      <c r="D882" t="s">
        <v>2058</v>
      </c>
      <c r="E882">
        <v>2</v>
      </c>
      <c r="F882" t="s">
        <v>2059</v>
      </c>
      <c r="G882" s="10">
        <v>45132</v>
      </c>
      <c r="H882">
        <v>26000</v>
      </c>
      <c r="I882">
        <v>1000</v>
      </c>
      <c r="J882" t="s">
        <v>227</v>
      </c>
      <c r="K882">
        <v>5</v>
      </c>
      <c r="L882" t="s">
        <v>41</v>
      </c>
      <c r="M882" t="s">
        <v>42</v>
      </c>
    </row>
    <row r="883" spans="1:13">
      <c r="A883" t="s">
        <v>1596</v>
      </c>
      <c r="B883" t="s">
        <v>215</v>
      </c>
      <c r="C883" t="s">
        <v>94</v>
      </c>
      <c r="D883" t="s">
        <v>2060</v>
      </c>
      <c r="E883">
        <v>2</v>
      </c>
      <c r="F883" t="s">
        <v>2061</v>
      </c>
      <c r="G883" s="10">
        <v>45128</v>
      </c>
      <c r="H883">
        <v>26000</v>
      </c>
      <c r="I883">
        <v>1000</v>
      </c>
      <c r="J883" t="s">
        <v>227</v>
      </c>
      <c r="K883">
        <v>5</v>
      </c>
      <c r="L883" t="s">
        <v>41</v>
      </c>
      <c r="M883" t="s">
        <v>42</v>
      </c>
    </row>
    <row r="884" spans="1:13">
      <c r="A884" t="s">
        <v>1544</v>
      </c>
      <c r="B884" t="s">
        <v>93</v>
      </c>
      <c r="C884" t="s">
        <v>94</v>
      </c>
      <c r="D884" t="s">
        <v>2062</v>
      </c>
      <c r="E884">
        <v>2</v>
      </c>
      <c r="F884" t="s">
        <v>2063</v>
      </c>
      <c r="G884" s="10">
        <v>45128</v>
      </c>
      <c r="H884">
        <v>26000</v>
      </c>
      <c r="I884">
        <v>1000</v>
      </c>
      <c r="J884" t="s">
        <v>227</v>
      </c>
      <c r="K884">
        <v>5</v>
      </c>
      <c r="L884" t="s">
        <v>41</v>
      </c>
      <c r="M884" t="s">
        <v>42</v>
      </c>
    </row>
    <row r="885" spans="1:13">
      <c r="A885" t="s">
        <v>190</v>
      </c>
      <c r="B885" t="s">
        <v>160</v>
      </c>
      <c r="C885" t="s">
        <v>67</v>
      </c>
      <c r="D885" t="s">
        <v>2064</v>
      </c>
      <c r="E885">
        <v>2</v>
      </c>
      <c r="F885" t="s">
        <v>2065</v>
      </c>
      <c r="G885" s="10">
        <v>45131</v>
      </c>
      <c r="H885">
        <v>48000</v>
      </c>
      <c r="I885">
        <v>8000</v>
      </c>
      <c r="J885" t="s">
        <v>163</v>
      </c>
      <c r="K885">
        <v>6</v>
      </c>
      <c r="L885" t="s">
        <v>35</v>
      </c>
      <c r="M885" t="s">
        <v>27</v>
      </c>
    </row>
    <row r="886" spans="1:13">
      <c r="A886" t="s">
        <v>190</v>
      </c>
      <c r="B886" t="s">
        <v>160</v>
      </c>
      <c r="C886" t="s">
        <v>67</v>
      </c>
      <c r="D886" t="s">
        <v>2066</v>
      </c>
      <c r="E886">
        <v>1</v>
      </c>
      <c r="F886" t="s">
        <v>2067</v>
      </c>
      <c r="G886" s="10">
        <v>45139</v>
      </c>
      <c r="H886">
        <v>0</v>
      </c>
      <c r="I886">
        <v>-20000</v>
      </c>
      <c r="J886" t="s">
        <v>250</v>
      </c>
      <c r="K886">
        <v>6</v>
      </c>
      <c r="L886" t="s">
        <v>24</v>
      </c>
      <c r="M886" t="s">
        <v>29</v>
      </c>
    </row>
    <row r="887" spans="1:13">
      <c r="A887" t="s">
        <v>933</v>
      </c>
      <c r="B887" t="s">
        <v>215</v>
      </c>
      <c r="C887" t="s">
        <v>94</v>
      </c>
      <c r="D887" t="s">
        <v>2068</v>
      </c>
      <c r="E887">
        <v>2</v>
      </c>
      <c r="F887" t="s">
        <v>2069</v>
      </c>
      <c r="G887" s="10">
        <v>45142</v>
      </c>
      <c r="H887">
        <v>65000</v>
      </c>
      <c r="I887">
        <v>9167</v>
      </c>
      <c r="J887" t="s">
        <v>227</v>
      </c>
      <c r="K887">
        <v>5</v>
      </c>
      <c r="L887" t="s">
        <v>41</v>
      </c>
      <c r="M887" t="s">
        <v>42</v>
      </c>
    </row>
    <row r="888" spans="1:13">
      <c r="A888" t="s">
        <v>2070</v>
      </c>
      <c r="B888" t="s">
        <v>455</v>
      </c>
      <c r="C888" t="s">
        <v>455</v>
      </c>
      <c r="D888" t="s">
        <v>2071</v>
      </c>
      <c r="E888">
        <v>2</v>
      </c>
      <c r="F888" t="s">
        <v>2072</v>
      </c>
      <c r="G888" s="10">
        <v>45128</v>
      </c>
      <c r="H888">
        <v>26000</v>
      </c>
      <c r="I888">
        <v>4000</v>
      </c>
      <c r="J888" t="s">
        <v>227</v>
      </c>
      <c r="K888">
        <v>5</v>
      </c>
      <c r="L888" t="s">
        <v>41</v>
      </c>
      <c r="M888" t="s">
        <v>42</v>
      </c>
    </row>
    <row r="889" spans="1:13">
      <c r="A889" t="s">
        <v>190</v>
      </c>
      <c r="B889" t="s">
        <v>160</v>
      </c>
      <c r="C889" t="s">
        <v>67</v>
      </c>
      <c r="D889" t="s">
        <v>2073</v>
      </c>
      <c r="E889">
        <v>1</v>
      </c>
      <c r="F889" t="s">
        <v>2074</v>
      </c>
      <c r="G889" s="10">
        <v>45159</v>
      </c>
      <c r="H889">
        <v>26775</v>
      </c>
      <c r="I889">
        <v>6775</v>
      </c>
      <c r="J889" t="s">
        <v>250</v>
      </c>
      <c r="K889">
        <v>6</v>
      </c>
      <c r="L889" t="s">
        <v>24</v>
      </c>
      <c r="M889" t="s">
        <v>29</v>
      </c>
    </row>
    <row r="890" spans="1:13">
      <c r="A890" t="s">
        <v>1447</v>
      </c>
      <c r="B890" t="s">
        <v>179</v>
      </c>
      <c r="C890" t="s">
        <v>45</v>
      </c>
      <c r="D890" t="s">
        <v>2075</v>
      </c>
      <c r="E890">
        <v>2</v>
      </c>
      <c r="F890" t="s">
        <v>2076</v>
      </c>
      <c r="G890" s="10">
        <v>45134</v>
      </c>
      <c r="H890">
        <v>474999.84</v>
      </c>
      <c r="I890">
        <v>58333.84</v>
      </c>
      <c r="J890" t="s">
        <v>2077</v>
      </c>
      <c r="K890">
        <v>5</v>
      </c>
      <c r="L890" t="s">
        <v>44</v>
      </c>
      <c r="M890" t="s">
        <v>45</v>
      </c>
    </row>
    <row r="891" spans="1:13">
      <c r="A891" t="s">
        <v>190</v>
      </c>
      <c r="B891" t="s">
        <v>160</v>
      </c>
      <c r="C891" t="s">
        <v>67</v>
      </c>
      <c r="D891" t="s">
        <v>2078</v>
      </c>
      <c r="E891">
        <v>1</v>
      </c>
      <c r="F891" t="s">
        <v>2079</v>
      </c>
      <c r="G891" s="10">
        <v>45159</v>
      </c>
      <c r="H891">
        <v>26775</v>
      </c>
      <c r="I891">
        <v>6775</v>
      </c>
      <c r="J891" t="s">
        <v>250</v>
      </c>
      <c r="K891">
        <v>6</v>
      </c>
      <c r="L891" t="s">
        <v>24</v>
      </c>
      <c r="M891" t="s">
        <v>29</v>
      </c>
    </row>
    <row r="892" spans="1:13">
      <c r="A892" t="s">
        <v>1631</v>
      </c>
      <c r="B892" t="s">
        <v>179</v>
      </c>
      <c r="C892" t="s">
        <v>45</v>
      </c>
      <c r="D892" t="s">
        <v>2080</v>
      </c>
      <c r="E892">
        <v>2</v>
      </c>
      <c r="F892" t="s">
        <v>2081</v>
      </c>
      <c r="G892" s="10">
        <v>45127</v>
      </c>
      <c r="H892">
        <v>336000</v>
      </c>
      <c r="I892">
        <v>69334</v>
      </c>
      <c r="J892" t="s">
        <v>189</v>
      </c>
      <c r="K892">
        <v>5</v>
      </c>
      <c r="L892" t="s">
        <v>44</v>
      </c>
      <c r="M892" t="s">
        <v>45</v>
      </c>
    </row>
    <row r="893" spans="1:13">
      <c r="A893" t="s">
        <v>65</v>
      </c>
      <c r="B893" t="s">
        <v>66</v>
      </c>
      <c r="C893" t="s">
        <v>67</v>
      </c>
      <c r="D893" t="s">
        <v>2082</v>
      </c>
      <c r="E893">
        <v>6</v>
      </c>
      <c r="F893" t="s">
        <v>2083</v>
      </c>
      <c r="G893" s="10">
        <v>45127</v>
      </c>
      <c r="H893">
        <v>34375</v>
      </c>
      <c r="I893">
        <v>6875</v>
      </c>
      <c r="J893" t="s">
        <v>70</v>
      </c>
      <c r="K893">
        <v>6</v>
      </c>
      <c r="L893" t="s">
        <v>35</v>
      </c>
      <c r="M893" t="s">
        <v>36</v>
      </c>
    </row>
    <row r="894" spans="1:13">
      <c r="A894" t="s">
        <v>779</v>
      </c>
      <c r="B894" t="s">
        <v>215</v>
      </c>
      <c r="C894" t="s">
        <v>94</v>
      </c>
      <c r="D894" t="s">
        <v>2084</v>
      </c>
      <c r="E894">
        <v>2</v>
      </c>
      <c r="F894" t="s">
        <v>2085</v>
      </c>
      <c r="G894" s="10">
        <v>45131</v>
      </c>
      <c r="H894">
        <v>30000</v>
      </c>
      <c r="I894">
        <v>5000</v>
      </c>
      <c r="J894" t="s">
        <v>227</v>
      </c>
      <c r="K894">
        <v>5</v>
      </c>
      <c r="L894" t="s">
        <v>41</v>
      </c>
      <c r="M894" t="s">
        <v>42</v>
      </c>
    </row>
    <row r="895" spans="1:13">
      <c r="A895" t="s">
        <v>261</v>
      </c>
      <c r="B895" t="s">
        <v>160</v>
      </c>
      <c r="C895" t="s">
        <v>67</v>
      </c>
      <c r="D895" t="s">
        <v>2086</v>
      </c>
      <c r="E895">
        <v>2</v>
      </c>
      <c r="F895" t="s">
        <v>2087</v>
      </c>
      <c r="G895" s="10">
        <v>45131</v>
      </c>
      <c r="H895">
        <v>38400</v>
      </c>
      <c r="I895">
        <v>6400</v>
      </c>
      <c r="J895" t="s">
        <v>163</v>
      </c>
      <c r="K895">
        <v>6</v>
      </c>
      <c r="L895" t="s">
        <v>35</v>
      </c>
      <c r="M895" t="s">
        <v>27</v>
      </c>
    </row>
    <row r="896" spans="1:13">
      <c r="A896" t="s">
        <v>522</v>
      </c>
      <c r="B896" t="s">
        <v>72</v>
      </c>
      <c r="C896" t="s">
        <v>67</v>
      </c>
      <c r="D896" t="s">
        <v>2088</v>
      </c>
      <c r="E896">
        <v>1</v>
      </c>
      <c r="F896" t="s">
        <v>2089</v>
      </c>
      <c r="G896" s="10">
        <v>45139</v>
      </c>
      <c r="H896">
        <v>0</v>
      </c>
      <c r="I896">
        <v>-20000</v>
      </c>
      <c r="J896" t="s">
        <v>250</v>
      </c>
      <c r="K896">
        <v>6</v>
      </c>
      <c r="L896" t="s">
        <v>24</v>
      </c>
      <c r="M896" t="s">
        <v>29</v>
      </c>
    </row>
    <row r="897" spans="1:13">
      <c r="A897" t="s">
        <v>170</v>
      </c>
      <c r="B897" t="s">
        <v>66</v>
      </c>
      <c r="C897" t="s">
        <v>67</v>
      </c>
      <c r="D897" t="s">
        <v>2090</v>
      </c>
      <c r="E897">
        <v>6</v>
      </c>
      <c r="F897" t="s">
        <v>2091</v>
      </c>
      <c r="G897" s="10">
        <v>45127</v>
      </c>
      <c r="H897">
        <v>34375</v>
      </c>
      <c r="I897">
        <v>6875</v>
      </c>
      <c r="J897" t="s">
        <v>70</v>
      </c>
      <c r="K897">
        <v>5</v>
      </c>
      <c r="L897" t="s">
        <v>35</v>
      </c>
      <c r="M897" t="s">
        <v>36</v>
      </c>
    </row>
    <row r="898" spans="1:13">
      <c r="A898" t="s">
        <v>628</v>
      </c>
      <c r="B898" t="s">
        <v>66</v>
      </c>
      <c r="C898" t="s">
        <v>67</v>
      </c>
      <c r="D898" t="s">
        <v>2092</v>
      </c>
      <c r="E898">
        <v>2</v>
      </c>
      <c r="F898" t="s">
        <v>2093</v>
      </c>
      <c r="G898" s="10">
        <v>45232</v>
      </c>
      <c r="H898">
        <v>45832</v>
      </c>
      <c r="I898">
        <v>4166</v>
      </c>
      <c r="J898" t="s">
        <v>2019</v>
      </c>
      <c r="K898">
        <v>5</v>
      </c>
      <c r="L898" t="s">
        <v>24</v>
      </c>
      <c r="M898" t="s">
        <v>26</v>
      </c>
    </row>
    <row r="899" spans="1:13">
      <c r="A899" t="s">
        <v>117</v>
      </c>
      <c r="B899" t="s">
        <v>118</v>
      </c>
      <c r="C899" t="s">
        <v>98</v>
      </c>
      <c r="D899" t="s">
        <v>2094</v>
      </c>
      <c r="E899">
        <v>1</v>
      </c>
      <c r="F899" t="s">
        <v>2095</v>
      </c>
      <c r="G899" s="10">
        <v>45126</v>
      </c>
      <c r="H899">
        <v>315270.94</v>
      </c>
      <c r="I899">
        <v>115270.94</v>
      </c>
      <c r="J899" t="s">
        <v>121</v>
      </c>
      <c r="K899">
        <v>6</v>
      </c>
      <c r="L899" t="s">
        <v>24</v>
      </c>
      <c r="M899" t="s">
        <v>30</v>
      </c>
    </row>
    <row r="900" spans="1:13">
      <c r="A900" t="s">
        <v>194</v>
      </c>
      <c r="B900" t="s">
        <v>160</v>
      </c>
      <c r="C900" t="s">
        <v>67</v>
      </c>
      <c r="D900" t="s">
        <v>2096</v>
      </c>
      <c r="E900">
        <v>2</v>
      </c>
      <c r="F900" t="s">
        <v>2097</v>
      </c>
      <c r="G900" s="10">
        <v>45131</v>
      </c>
      <c r="H900">
        <v>32500</v>
      </c>
      <c r="I900">
        <v>7500</v>
      </c>
      <c r="J900" t="s">
        <v>163</v>
      </c>
      <c r="K900">
        <v>6</v>
      </c>
      <c r="L900" t="s">
        <v>35</v>
      </c>
      <c r="M900" t="s">
        <v>27</v>
      </c>
    </row>
    <row r="901" spans="1:13">
      <c r="A901" t="s">
        <v>275</v>
      </c>
      <c r="B901" t="s">
        <v>160</v>
      </c>
      <c r="C901" t="s">
        <v>67</v>
      </c>
      <c r="D901" t="s">
        <v>2098</v>
      </c>
      <c r="E901">
        <v>2</v>
      </c>
      <c r="F901" t="s">
        <v>2099</v>
      </c>
      <c r="G901" s="10">
        <v>45131</v>
      </c>
      <c r="H901">
        <v>38400</v>
      </c>
      <c r="I901">
        <v>6400</v>
      </c>
      <c r="J901" t="s">
        <v>163</v>
      </c>
      <c r="K901">
        <v>6</v>
      </c>
      <c r="L901" t="s">
        <v>35</v>
      </c>
      <c r="M901" t="s">
        <v>27</v>
      </c>
    </row>
    <row r="902" spans="1:13">
      <c r="A902" t="s">
        <v>275</v>
      </c>
      <c r="B902" t="s">
        <v>160</v>
      </c>
      <c r="C902" t="s">
        <v>67</v>
      </c>
      <c r="D902" t="s">
        <v>2100</v>
      </c>
      <c r="E902">
        <v>2</v>
      </c>
      <c r="F902" t="s">
        <v>2101</v>
      </c>
      <c r="G902" s="10">
        <v>45131</v>
      </c>
      <c r="H902">
        <v>46560</v>
      </c>
      <c r="I902">
        <v>7760</v>
      </c>
      <c r="J902" t="s">
        <v>163</v>
      </c>
      <c r="K902">
        <v>6</v>
      </c>
      <c r="L902" t="s">
        <v>35</v>
      </c>
      <c r="M902" t="s">
        <v>27</v>
      </c>
    </row>
    <row r="903" spans="1:13">
      <c r="A903" t="s">
        <v>431</v>
      </c>
      <c r="B903" t="s">
        <v>160</v>
      </c>
      <c r="C903" t="s">
        <v>67</v>
      </c>
      <c r="D903" t="s">
        <v>2102</v>
      </c>
      <c r="E903">
        <v>2</v>
      </c>
      <c r="F903" t="s">
        <v>2103</v>
      </c>
      <c r="G903" s="10">
        <v>45127</v>
      </c>
      <c r="H903">
        <v>21850</v>
      </c>
      <c r="I903">
        <v>2850</v>
      </c>
      <c r="J903" t="s">
        <v>193</v>
      </c>
      <c r="K903">
        <v>6</v>
      </c>
      <c r="L903" t="s">
        <v>35</v>
      </c>
      <c r="M903" t="s">
        <v>27</v>
      </c>
    </row>
    <row r="904" spans="1:13">
      <c r="A904" t="s">
        <v>1535</v>
      </c>
      <c r="B904" t="s">
        <v>93</v>
      </c>
      <c r="C904" t="s">
        <v>94</v>
      </c>
      <c r="D904" t="s">
        <v>2104</v>
      </c>
      <c r="E904">
        <v>2</v>
      </c>
      <c r="F904" t="s">
        <v>2105</v>
      </c>
      <c r="G904" s="10">
        <v>45133</v>
      </c>
      <c r="H904">
        <v>205800</v>
      </c>
      <c r="I904">
        <v>39134</v>
      </c>
      <c r="J904" t="s">
        <v>97</v>
      </c>
      <c r="K904">
        <v>6</v>
      </c>
      <c r="L904" t="s">
        <v>41</v>
      </c>
      <c r="M904" t="s">
        <v>42</v>
      </c>
    </row>
    <row r="905" spans="1:13">
      <c r="A905" t="s">
        <v>628</v>
      </c>
      <c r="B905" t="s">
        <v>66</v>
      </c>
      <c r="C905" t="s">
        <v>67</v>
      </c>
      <c r="D905" t="s">
        <v>2106</v>
      </c>
      <c r="E905">
        <v>6</v>
      </c>
      <c r="F905" t="s">
        <v>2107</v>
      </c>
      <c r="G905" s="10">
        <v>45127</v>
      </c>
      <c r="H905">
        <v>34375</v>
      </c>
      <c r="I905">
        <v>6875</v>
      </c>
      <c r="J905" t="s">
        <v>70</v>
      </c>
      <c r="K905">
        <v>6</v>
      </c>
      <c r="L905" t="s">
        <v>35</v>
      </c>
      <c r="M905" t="s">
        <v>36</v>
      </c>
    </row>
    <row r="906" spans="1:13">
      <c r="A906" t="s">
        <v>628</v>
      </c>
      <c r="B906" t="s">
        <v>66</v>
      </c>
      <c r="C906" t="s">
        <v>67</v>
      </c>
      <c r="D906" t="s">
        <v>2108</v>
      </c>
      <c r="E906">
        <v>6</v>
      </c>
      <c r="F906" t="s">
        <v>2109</v>
      </c>
      <c r="G906" s="10">
        <v>45127</v>
      </c>
      <c r="H906">
        <v>34375</v>
      </c>
      <c r="I906">
        <v>6875</v>
      </c>
      <c r="J906" t="s">
        <v>70</v>
      </c>
      <c r="K906">
        <v>5</v>
      </c>
      <c r="L906" t="s">
        <v>35</v>
      </c>
      <c r="M906" t="s">
        <v>36</v>
      </c>
    </row>
    <row r="907" spans="1:13">
      <c r="A907" t="s">
        <v>2110</v>
      </c>
      <c r="B907" t="s">
        <v>43</v>
      </c>
      <c r="C907" t="s">
        <v>94</v>
      </c>
      <c r="D907" t="s">
        <v>2111</v>
      </c>
      <c r="E907">
        <v>2</v>
      </c>
      <c r="F907" t="s">
        <v>2112</v>
      </c>
      <c r="G907" s="10">
        <v>45131</v>
      </c>
      <c r="H907">
        <v>156492</v>
      </c>
      <c r="I907">
        <v>48159</v>
      </c>
      <c r="J907" t="s">
        <v>458</v>
      </c>
      <c r="K907">
        <v>6</v>
      </c>
      <c r="L907" t="s">
        <v>37</v>
      </c>
      <c r="M907" t="s">
        <v>33</v>
      </c>
    </row>
    <row r="908" spans="1:13">
      <c r="A908" t="s">
        <v>159</v>
      </c>
      <c r="B908" t="s">
        <v>160</v>
      </c>
      <c r="C908" t="s">
        <v>67</v>
      </c>
      <c r="D908" t="s">
        <v>2113</v>
      </c>
      <c r="E908">
        <v>2</v>
      </c>
      <c r="F908" t="s">
        <v>2114</v>
      </c>
      <c r="G908" s="10">
        <v>45131</v>
      </c>
      <c r="H908">
        <v>48000</v>
      </c>
      <c r="I908">
        <v>8000</v>
      </c>
      <c r="J908" t="s">
        <v>163</v>
      </c>
      <c r="K908">
        <v>5</v>
      </c>
      <c r="L908" t="s">
        <v>35</v>
      </c>
      <c r="M908" t="s">
        <v>27</v>
      </c>
    </row>
    <row r="909" spans="1:13">
      <c r="A909" t="s">
        <v>1447</v>
      </c>
      <c r="B909" t="s">
        <v>179</v>
      </c>
      <c r="C909" t="s">
        <v>45</v>
      </c>
      <c r="D909" t="s">
        <v>2115</v>
      </c>
      <c r="E909">
        <v>2</v>
      </c>
      <c r="F909" t="s">
        <v>2116</v>
      </c>
      <c r="G909" s="10">
        <v>45126</v>
      </c>
      <c r="H909">
        <v>336000</v>
      </c>
      <c r="I909">
        <v>127667</v>
      </c>
      <c r="J909" t="s">
        <v>189</v>
      </c>
      <c r="K909">
        <v>5</v>
      </c>
      <c r="L909" t="s">
        <v>44</v>
      </c>
      <c r="M909" t="s">
        <v>45</v>
      </c>
    </row>
    <row r="910" spans="1:13">
      <c r="A910" t="s">
        <v>628</v>
      </c>
      <c r="B910" t="s">
        <v>66</v>
      </c>
      <c r="C910" t="s">
        <v>67</v>
      </c>
      <c r="D910" t="s">
        <v>2117</v>
      </c>
      <c r="E910">
        <v>6</v>
      </c>
      <c r="F910" t="s">
        <v>2118</v>
      </c>
      <c r="G910" s="10">
        <v>45127</v>
      </c>
      <c r="H910">
        <v>34375</v>
      </c>
      <c r="I910">
        <v>6875</v>
      </c>
      <c r="J910" t="s">
        <v>70</v>
      </c>
      <c r="K910">
        <v>5</v>
      </c>
      <c r="L910" t="s">
        <v>35</v>
      </c>
      <c r="M910" t="s">
        <v>36</v>
      </c>
    </row>
    <row r="911" spans="1:13">
      <c r="A911" t="s">
        <v>628</v>
      </c>
      <c r="B911" t="s">
        <v>66</v>
      </c>
      <c r="C911" t="s">
        <v>67</v>
      </c>
      <c r="D911" t="s">
        <v>2119</v>
      </c>
      <c r="E911">
        <v>6</v>
      </c>
      <c r="F911" t="s">
        <v>2120</v>
      </c>
      <c r="G911" s="10">
        <v>45127</v>
      </c>
      <c r="H911">
        <v>34375</v>
      </c>
      <c r="I911">
        <v>6875</v>
      </c>
      <c r="J911" t="s">
        <v>70</v>
      </c>
      <c r="K911">
        <v>6</v>
      </c>
      <c r="L911" t="s">
        <v>35</v>
      </c>
      <c r="M911" t="s">
        <v>36</v>
      </c>
    </row>
    <row r="912" spans="1:13">
      <c r="A912" t="s">
        <v>117</v>
      </c>
      <c r="B912" t="s">
        <v>118</v>
      </c>
      <c r="C912" t="s">
        <v>98</v>
      </c>
      <c r="D912" t="s">
        <v>2121</v>
      </c>
      <c r="E912">
        <v>4</v>
      </c>
      <c r="F912" t="s">
        <v>2122</v>
      </c>
      <c r="G912" s="10">
        <v>45126</v>
      </c>
      <c r="H912">
        <v>236453.2</v>
      </c>
      <c r="I912">
        <v>94787.199999999997</v>
      </c>
      <c r="J912" t="s">
        <v>121</v>
      </c>
      <c r="K912">
        <v>6</v>
      </c>
      <c r="L912" t="s">
        <v>24</v>
      </c>
      <c r="M912" t="s">
        <v>30</v>
      </c>
    </row>
    <row r="913" spans="1:13">
      <c r="A913" t="s">
        <v>628</v>
      </c>
      <c r="B913" t="s">
        <v>66</v>
      </c>
      <c r="C913" t="s">
        <v>67</v>
      </c>
      <c r="D913" t="s">
        <v>2123</v>
      </c>
      <c r="E913">
        <v>6</v>
      </c>
      <c r="F913" t="s">
        <v>2124</v>
      </c>
      <c r="G913" s="10">
        <v>45127</v>
      </c>
      <c r="H913">
        <v>34375</v>
      </c>
      <c r="I913">
        <v>6875</v>
      </c>
      <c r="J913" t="s">
        <v>70</v>
      </c>
      <c r="K913">
        <v>6</v>
      </c>
      <c r="L913" t="s">
        <v>35</v>
      </c>
      <c r="M913" t="s">
        <v>36</v>
      </c>
    </row>
    <row r="914" spans="1:13">
      <c r="A914" t="s">
        <v>140</v>
      </c>
      <c r="B914" t="s">
        <v>141</v>
      </c>
      <c r="C914" t="s">
        <v>67</v>
      </c>
      <c r="D914" t="s">
        <v>2125</v>
      </c>
      <c r="E914">
        <v>2</v>
      </c>
      <c r="F914" t="s">
        <v>2126</v>
      </c>
      <c r="G914" s="10">
        <v>45145</v>
      </c>
      <c r="H914">
        <v>42000</v>
      </c>
      <c r="I914">
        <v>7000</v>
      </c>
      <c r="J914" t="s">
        <v>851</v>
      </c>
      <c r="K914">
        <v>5</v>
      </c>
      <c r="L914" t="s">
        <v>24</v>
      </c>
      <c r="M914" t="s">
        <v>33</v>
      </c>
    </row>
    <row r="915" spans="1:13">
      <c r="A915" t="s">
        <v>159</v>
      </c>
      <c r="B915" t="s">
        <v>160</v>
      </c>
      <c r="C915" t="s">
        <v>67</v>
      </c>
      <c r="D915" t="s">
        <v>2127</v>
      </c>
      <c r="E915">
        <v>1</v>
      </c>
      <c r="F915" t="s">
        <v>2128</v>
      </c>
      <c r="G915" s="10">
        <v>45159</v>
      </c>
      <c r="H915">
        <v>32130</v>
      </c>
      <c r="I915">
        <v>12130</v>
      </c>
      <c r="J915" t="s">
        <v>250</v>
      </c>
      <c r="K915">
        <v>6</v>
      </c>
      <c r="L915" t="s">
        <v>24</v>
      </c>
      <c r="M915" t="s">
        <v>29</v>
      </c>
    </row>
    <row r="916" spans="1:13">
      <c r="A916" t="s">
        <v>431</v>
      </c>
      <c r="B916" t="s">
        <v>160</v>
      </c>
      <c r="C916" t="s">
        <v>67</v>
      </c>
      <c r="D916" t="s">
        <v>2129</v>
      </c>
      <c r="E916">
        <v>2</v>
      </c>
      <c r="F916" t="s">
        <v>2130</v>
      </c>
      <c r="G916" s="10">
        <v>45131</v>
      </c>
      <c r="H916">
        <v>21850</v>
      </c>
      <c r="I916">
        <v>2850</v>
      </c>
      <c r="J916" t="s">
        <v>193</v>
      </c>
      <c r="K916">
        <v>5</v>
      </c>
      <c r="L916" t="s">
        <v>35</v>
      </c>
      <c r="M916" t="s">
        <v>27</v>
      </c>
    </row>
    <row r="917" spans="1:13">
      <c r="A917" t="s">
        <v>194</v>
      </c>
      <c r="B917" t="s">
        <v>160</v>
      </c>
      <c r="C917" t="s">
        <v>67</v>
      </c>
      <c r="D917" t="s">
        <v>2131</v>
      </c>
      <c r="E917">
        <v>2</v>
      </c>
      <c r="F917" t="s">
        <v>2132</v>
      </c>
      <c r="G917" s="10">
        <v>45170</v>
      </c>
      <c r="H917">
        <v>32500</v>
      </c>
      <c r="I917">
        <v>7500</v>
      </c>
      <c r="J917" t="s">
        <v>163</v>
      </c>
      <c r="K917">
        <v>5</v>
      </c>
      <c r="L917" t="s">
        <v>35</v>
      </c>
      <c r="M917" t="s">
        <v>27</v>
      </c>
    </row>
    <row r="918" spans="1:13">
      <c r="A918" t="s">
        <v>1658</v>
      </c>
      <c r="B918" t="s">
        <v>160</v>
      </c>
      <c r="C918" t="s">
        <v>67</v>
      </c>
      <c r="D918" t="s">
        <v>2133</v>
      </c>
      <c r="E918">
        <v>2</v>
      </c>
      <c r="F918" t="s">
        <v>2134</v>
      </c>
      <c r="G918" s="10">
        <v>45128</v>
      </c>
      <c r="H918">
        <v>17400</v>
      </c>
      <c r="I918">
        <v>2400</v>
      </c>
      <c r="J918" t="s">
        <v>193</v>
      </c>
      <c r="K918">
        <v>5</v>
      </c>
      <c r="L918" t="s">
        <v>35</v>
      </c>
      <c r="M918" t="s">
        <v>27</v>
      </c>
    </row>
    <row r="919" spans="1:13">
      <c r="A919" t="s">
        <v>197</v>
      </c>
      <c r="B919" t="s">
        <v>160</v>
      </c>
      <c r="C919" t="s">
        <v>67</v>
      </c>
      <c r="D919" t="s">
        <v>2135</v>
      </c>
      <c r="E919">
        <v>2</v>
      </c>
      <c r="F919" t="s">
        <v>2136</v>
      </c>
      <c r="G919" s="10">
        <v>45131</v>
      </c>
      <c r="H919">
        <v>17400</v>
      </c>
      <c r="I919">
        <v>2400</v>
      </c>
      <c r="J919" t="s">
        <v>193</v>
      </c>
      <c r="K919">
        <v>5</v>
      </c>
      <c r="L919" t="s">
        <v>35</v>
      </c>
      <c r="M919" t="s">
        <v>27</v>
      </c>
    </row>
    <row r="920" spans="1:13">
      <c r="A920" t="s">
        <v>197</v>
      </c>
      <c r="B920" t="s">
        <v>160</v>
      </c>
      <c r="C920" t="s">
        <v>67</v>
      </c>
      <c r="D920" t="s">
        <v>2137</v>
      </c>
      <c r="E920">
        <v>2</v>
      </c>
      <c r="F920" t="s">
        <v>2138</v>
      </c>
      <c r="G920" s="10">
        <v>45128</v>
      </c>
      <c r="H920">
        <v>17400</v>
      </c>
      <c r="I920">
        <v>2400</v>
      </c>
      <c r="J920" t="s">
        <v>193</v>
      </c>
      <c r="K920">
        <v>6</v>
      </c>
      <c r="L920" t="s">
        <v>35</v>
      </c>
      <c r="M920" t="s">
        <v>27</v>
      </c>
    </row>
    <row r="921" spans="1:13">
      <c r="A921" t="s">
        <v>1868</v>
      </c>
      <c r="B921" t="s">
        <v>66</v>
      </c>
      <c r="C921" t="s">
        <v>67</v>
      </c>
      <c r="D921" t="s">
        <v>2139</v>
      </c>
      <c r="E921">
        <v>6</v>
      </c>
      <c r="F921" t="s">
        <v>2140</v>
      </c>
      <c r="G921" s="10">
        <v>45127</v>
      </c>
      <c r="H921">
        <v>34375</v>
      </c>
      <c r="I921">
        <v>6875</v>
      </c>
      <c r="J921" t="s">
        <v>70</v>
      </c>
      <c r="K921">
        <v>6</v>
      </c>
      <c r="L921" t="s">
        <v>35</v>
      </c>
      <c r="M921" t="s">
        <v>36</v>
      </c>
    </row>
    <row r="922" spans="1:13">
      <c r="A922" t="s">
        <v>2141</v>
      </c>
      <c r="B922" t="s">
        <v>66</v>
      </c>
      <c r="C922" t="s">
        <v>67</v>
      </c>
      <c r="D922" t="s">
        <v>2142</v>
      </c>
      <c r="E922">
        <v>6</v>
      </c>
      <c r="F922" t="s">
        <v>2143</v>
      </c>
      <c r="G922" s="10">
        <v>45127</v>
      </c>
      <c r="H922">
        <v>34375</v>
      </c>
      <c r="I922">
        <v>6875</v>
      </c>
      <c r="J922" t="s">
        <v>70</v>
      </c>
      <c r="K922">
        <v>6</v>
      </c>
      <c r="L922" t="s">
        <v>35</v>
      </c>
      <c r="M922" t="s">
        <v>36</v>
      </c>
    </row>
    <row r="923" spans="1:13">
      <c r="A923" t="s">
        <v>71</v>
      </c>
      <c r="B923" t="s">
        <v>72</v>
      </c>
      <c r="C923" t="s">
        <v>67</v>
      </c>
      <c r="D923" t="s">
        <v>2144</v>
      </c>
      <c r="E923">
        <v>1</v>
      </c>
      <c r="F923" t="s">
        <v>2145</v>
      </c>
      <c r="G923" s="10">
        <v>45139</v>
      </c>
      <c r="H923">
        <v>72292.5</v>
      </c>
      <c r="I923">
        <v>9792.5</v>
      </c>
      <c r="J923" t="s">
        <v>250</v>
      </c>
      <c r="K923">
        <v>6</v>
      </c>
      <c r="L923" t="s">
        <v>24</v>
      </c>
      <c r="M923" t="s">
        <v>29</v>
      </c>
    </row>
    <row r="924" spans="1:13">
      <c r="A924" t="s">
        <v>382</v>
      </c>
      <c r="B924" t="s">
        <v>141</v>
      </c>
      <c r="C924" t="s">
        <v>67</v>
      </c>
      <c r="D924" t="s">
        <v>2146</v>
      </c>
      <c r="E924">
        <v>1</v>
      </c>
      <c r="F924" t="s">
        <v>2147</v>
      </c>
      <c r="G924" s="10">
        <v>45159</v>
      </c>
      <c r="H924">
        <v>26775</v>
      </c>
      <c r="I924">
        <v>6775</v>
      </c>
      <c r="J924" t="s">
        <v>250</v>
      </c>
      <c r="K924">
        <v>5</v>
      </c>
      <c r="L924" t="s">
        <v>24</v>
      </c>
      <c r="M924" t="s">
        <v>29</v>
      </c>
    </row>
    <row r="925" spans="1:13">
      <c r="A925" t="s">
        <v>382</v>
      </c>
      <c r="B925" t="s">
        <v>141</v>
      </c>
      <c r="C925" t="s">
        <v>67</v>
      </c>
      <c r="D925" t="s">
        <v>2148</v>
      </c>
      <c r="E925">
        <v>1</v>
      </c>
      <c r="F925" t="s">
        <v>2149</v>
      </c>
      <c r="G925" s="10">
        <v>45139</v>
      </c>
      <c r="H925">
        <v>32130</v>
      </c>
      <c r="I925">
        <v>12130</v>
      </c>
      <c r="J925" t="s">
        <v>250</v>
      </c>
      <c r="K925">
        <v>6</v>
      </c>
      <c r="L925" t="s">
        <v>24</v>
      </c>
      <c r="M925" t="s">
        <v>29</v>
      </c>
    </row>
    <row r="926" spans="1:13">
      <c r="A926" t="s">
        <v>382</v>
      </c>
      <c r="B926" t="s">
        <v>141</v>
      </c>
      <c r="C926" t="s">
        <v>67</v>
      </c>
      <c r="D926" t="s">
        <v>2150</v>
      </c>
      <c r="E926">
        <v>1</v>
      </c>
      <c r="F926" t="s">
        <v>2151</v>
      </c>
      <c r="G926" s="10">
        <v>45159</v>
      </c>
      <c r="H926">
        <v>26775</v>
      </c>
      <c r="I926">
        <v>6775</v>
      </c>
      <c r="J926" t="s">
        <v>250</v>
      </c>
      <c r="K926">
        <v>6</v>
      </c>
      <c r="L926" t="s">
        <v>24</v>
      </c>
      <c r="M926" t="s">
        <v>29</v>
      </c>
    </row>
    <row r="927" spans="1:13">
      <c r="A927" t="s">
        <v>130</v>
      </c>
      <c r="B927" t="s">
        <v>82</v>
      </c>
      <c r="C927" t="s">
        <v>28</v>
      </c>
      <c r="D927" t="s">
        <v>2152</v>
      </c>
      <c r="E927">
        <v>2</v>
      </c>
      <c r="F927" t="s">
        <v>2153</v>
      </c>
      <c r="G927" s="10">
        <v>45125</v>
      </c>
      <c r="H927">
        <v>118540.8</v>
      </c>
      <c r="I927">
        <v>18540.8</v>
      </c>
      <c r="J927" t="s">
        <v>126</v>
      </c>
      <c r="K927">
        <v>5</v>
      </c>
      <c r="L927" t="s">
        <v>24</v>
      </c>
      <c r="M927" t="s">
        <v>26</v>
      </c>
    </row>
    <row r="928" spans="1:13">
      <c r="A928" t="s">
        <v>197</v>
      </c>
      <c r="B928" t="s">
        <v>160</v>
      </c>
      <c r="C928" t="s">
        <v>67</v>
      </c>
      <c r="D928" t="s">
        <v>2154</v>
      </c>
      <c r="E928">
        <v>2</v>
      </c>
      <c r="F928" t="s">
        <v>2155</v>
      </c>
      <c r="G928" s="10">
        <v>45131</v>
      </c>
      <c r="H928">
        <v>40250</v>
      </c>
      <c r="I928">
        <v>5250</v>
      </c>
      <c r="J928" t="s">
        <v>193</v>
      </c>
      <c r="K928">
        <v>5</v>
      </c>
      <c r="L928" t="s">
        <v>35</v>
      </c>
      <c r="M928" t="s">
        <v>27</v>
      </c>
    </row>
    <row r="929" spans="1:13">
      <c r="A929" t="s">
        <v>719</v>
      </c>
      <c r="B929" t="s">
        <v>215</v>
      </c>
      <c r="C929" t="s">
        <v>94</v>
      </c>
      <c r="D929" t="s">
        <v>2156</v>
      </c>
      <c r="E929">
        <v>2</v>
      </c>
      <c r="F929" t="s">
        <v>2157</v>
      </c>
      <c r="G929" s="10">
        <v>45134</v>
      </c>
      <c r="H929">
        <v>70000</v>
      </c>
      <c r="I929">
        <v>7500</v>
      </c>
      <c r="J929" t="s">
        <v>227</v>
      </c>
      <c r="K929">
        <v>6</v>
      </c>
      <c r="L929" t="s">
        <v>41</v>
      </c>
      <c r="M929" t="s">
        <v>42</v>
      </c>
    </row>
    <row r="930" spans="1:13">
      <c r="A930" t="s">
        <v>223</v>
      </c>
      <c r="B930" t="s">
        <v>224</v>
      </c>
      <c r="C930" t="s">
        <v>94</v>
      </c>
      <c r="D930" t="s">
        <v>2158</v>
      </c>
      <c r="E930">
        <v>2</v>
      </c>
      <c r="F930" t="s">
        <v>2159</v>
      </c>
      <c r="G930" s="10">
        <v>45128</v>
      </c>
      <c r="H930">
        <v>39000</v>
      </c>
      <c r="I930">
        <v>9834</v>
      </c>
      <c r="J930" t="s">
        <v>227</v>
      </c>
      <c r="K930">
        <v>5</v>
      </c>
      <c r="L930" t="s">
        <v>41</v>
      </c>
      <c r="M930" t="s">
        <v>42</v>
      </c>
    </row>
    <row r="931" spans="1:13">
      <c r="A931" t="s">
        <v>200</v>
      </c>
      <c r="B931" t="s">
        <v>179</v>
      </c>
      <c r="C931" t="s">
        <v>45</v>
      </c>
      <c r="D931" t="s">
        <v>1733</v>
      </c>
      <c r="E931">
        <v>2</v>
      </c>
      <c r="F931" t="s">
        <v>2160</v>
      </c>
      <c r="G931" s="10">
        <v>45126</v>
      </c>
      <c r="H931">
        <v>369600</v>
      </c>
      <c r="I931">
        <v>136267</v>
      </c>
      <c r="J931" t="s">
        <v>189</v>
      </c>
      <c r="K931">
        <v>6</v>
      </c>
      <c r="L931" t="s">
        <v>44</v>
      </c>
      <c r="M931" t="s">
        <v>45</v>
      </c>
    </row>
    <row r="932" spans="1:13">
      <c r="A932" t="s">
        <v>194</v>
      </c>
      <c r="B932" t="s">
        <v>160</v>
      </c>
      <c r="C932" t="s">
        <v>67</v>
      </c>
      <c r="D932" t="s">
        <v>2161</v>
      </c>
      <c r="E932">
        <v>2</v>
      </c>
      <c r="F932" t="s">
        <v>2162</v>
      </c>
      <c r="G932" s="10">
        <v>45170</v>
      </c>
      <c r="H932">
        <v>32500</v>
      </c>
      <c r="I932">
        <v>7500</v>
      </c>
      <c r="J932" t="s">
        <v>163</v>
      </c>
      <c r="K932">
        <v>6</v>
      </c>
      <c r="L932" t="s">
        <v>35</v>
      </c>
      <c r="M932" t="s">
        <v>27</v>
      </c>
    </row>
    <row r="933" spans="1:13">
      <c r="A933" t="s">
        <v>382</v>
      </c>
      <c r="B933" t="s">
        <v>141</v>
      </c>
      <c r="C933" t="s">
        <v>67</v>
      </c>
      <c r="D933" t="s">
        <v>2163</v>
      </c>
      <c r="E933">
        <v>1</v>
      </c>
      <c r="F933" t="s">
        <v>2164</v>
      </c>
      <c r="G933" s="10">
        <v>45159</v>
      </c>
      <c r="H933">
        <v>26775</v>
      </c>
      <c r="I933">
        <v>6775</v>
      </c>
      <c r="J933" t="s">
        <v>250</v>
      </c>
      <c r="K933">
        <v>6</v>
      </c>
      <c r="L933" t="s">
        <v>24</v>
      </c>
      <c r="M933" t="s">
        <v>29</v>
      </c>
    </row>
    <row r="934" spans="1:13">
      <c r="A934" t="s">
        <v>571</v>
      </c>
      <c r="B934" t="s">
        <v>179</v>
      </c>
      <c r="C934" t="s">
        <v>45</v>
      </c>
      <c r="D934" t="s">
        <v>2165</v>
      </c>
      <c r="E934">
        <v>2</v>
      </c>
      <c r="F934" t="s">
        <v>2166</v>
      </c>
      <c r="G934" s="10">
        <v>45126</v>
      </c>
      <c r="H934">
        <v>166668</v>
      </c>
      <c r="I934">
        <v>33335</v>
      </c>
      <c r="J934" t="s">
        <v>2167</v>
      </c>
      <c r="K934">
        <v>5</v>
      </c>
      <c r="L934" t="s">
        <v>44</v>
      </c>
      <c r="M934" t="s">
        <v>45</v>
      </c>
    </row>
    <row r="935" spans="1:13">
      <c r="A935" t="s">
        <v>122</v>
      </c>
      <c r="B935" t="s">
        <v>123</v>
      </c>
      <c r="C935" t="s">
        <v>28</v>
      </c>
      <c r="D935" t="s">
        <v>2168</v>
      </c>
      <c r="E935">
        <v>2</v>
      </c>
      <c r="F935" t="s">
        <v>2169</v>
      </c>
      <c r="G935" s="10">
        <v>45125</v>
      </c>
      <c r="H935">
        <v>95088</v>
      </c>
      <c r="I935">
        <v>15922</v>
      </c>
      <c r="J935" t="s">
        <v>126</v>
      </c>
      <c r="K935">
        <v>6</v>
      </c>
      <c r="L935" t="s">
        <v>24</v>
      </c>
      <c r="M935" t="s">
        <v>26</v>
      </c>
    </row>
    <row r="936" spans="1:13">
      <c r="A936" t="s">
        <v>130</v>
      </c>
      <c r="B936" t="s">
        <v>82</v>
      </c>
      <c r="C936" t="s">
        <v>28</v>
      </c>
      <c r="D936" t="s">
        <v>2170</v>
      </c>
      <c r="E936">
        <v>2</v>
      </c>
      <c r="F936" t="s">
        <v>2171</v>
      </c>
      <c r="G936" s="10">
        <v>45125</v>
      </c>
      <c r="H936">
        <v>88576.320000000007</v>
      </c>
      <c r="I936">
        <v>14410.32</v>
      </c>
      <c r="J936" t="s">
        <v>126</v>
      </c>
      <c r="K936">
        <v>5</v>
      </c>
      <c r="L936" t="s">
        <v>24</v>
      </c>
      <c r="M936" t="s">
        <v>26</v>
      </c>
    </row>
    <row r="937" spans="1:13">
      <c r="A937" t="s">
        <v>382</v>
      </c>
      <c r="B937" t="s">
        <v>141</v>
      </c>
      <c r="C937" t="s">
        <v>67</v>
      </c>
      <c r="D937" t="s">
        <v>2172</v>
      </c>
      <c r="E937">
        <v>1</v>
      </c>
      <c r="F937" t="s">
        <v>2173</v>
      </c>
      <c r="G937" s="10">
        <v>45159</v>
      </c>
      <c r="H937">
        <v>26775</v>
      </c>
      <c r="I937">
        <v>6775</v>
      </c>
      <c r="J937" t="s">
        <v>250</v>
      </c>
      <c r="K937">
        <v>6</v>
      </c>
      <c r="L937" t="s">
        <v>24</v>
      </c>
      <c r="M937" t="s">
        <v>29</v>
      </c>
    </row>
    <row r="938" spans="1:13">
      <c r="A938" t="s">
        <v>382</v>
      </c>
      <c r="B938" t="s">
        <v>141</v>
      </c>
      <c r="C938" t="s">
        <v>67</v>
      </c>
      <c r="D938" t="s">
        <v>2174</v>
      </c>
      <c r="E938">
        <v>1</v>
      </c>
      <c r="F938" t="s">
        <v>2175</v>
      </c>
      <c r="G938" s="10">
        <v>45159</v>
      </c>
      <c r="H938">
        <v>26775</v>
      </c>
      <c r="I938">
        <v>6775</v>
      </c>
      <c r="J938" t="s">
        <v>250</v>
      </c>
      <c r="K938">
        <v>6</v>
      </c>
      <c r="L938" t="s">
        <v>24</v>
      </c>
      <c r="M938" t="s">
        <v>29</v>
      </c>
    </row>
    <row r="939" spans="1:13">
      <c r="A939" t="s">
        <v>703</v>
      </c>
      <c r="B939" t="s">
        <v>179</v>
      </c>
      <c r="C939" t="s">
        <v>45</v>
      </c>
      <c r="D939" t="s">
        <v>2176</v>
      </c>
      <c r="E939">
        <v>4</v>
      </c>
      <c r="F939" t="s">
        <v>2177</v>
      </c>
      <c r="G939" s="10">
        <v>45138</v>
      </c>
      <c r="H939">
        <v>436800</v>
      </c>
      <c r="I939">
        <v>220134</v>
      </c>
      <c r="J939" t="s">
        <v>189</v>
      </c>
      <c r="K939">
        <v>6</v>
      </c>
      <c r="L939" t="s">
        <v>44</v>
      </c>
      <c r="M939" t="s">
        <v>45</v>
      </c>
    </row>
    <row r="940" spans="1:13">
      <c r="A940" t="s">
        <v>661</v>
      </c>
      <c r="B940" t="s">
        <v>179</v>
      </c>
      <c r="C940" t="s">
        <v>45</v>
      </c>
      <c r="D940" t="s">
        <v>1789</v>
      </c>
      <c r="E940">
        <v>2</v>
      </c>
      <c r="F940" t="s">
        <v>2178</v>
      </c>
      <c r="G940" s="10">
        <v>45126</v>
      </c>
      <c r="H940">
        <v>100000</v>
      </c>
      <c r="I940">
        <v>20834</v>
      </c>
      <c r="J940" t="s">
        <v>189</v>
      </c>
      <c r="K940">
        <v>5</v>
      </c>
      <c r="L940" t="s">
        <v>44</v>
      </c>
      <c r="M940" t="s">
        <v>45</v>
      </c>
    </row>
    <row r="941" spans="1:13">
      <c r="A941" t="s">
        <v>256</v>
      </c>
      <c r="B941" t="s">
        <v>160</v>
      </c>
      <c r="C941" t="s">
        <v>67</v>
      </c>
      <c r="D941" t="s">
        <v>2179</v>
      </c>
      <c r="E941">
        <v>2</v>
      </c>
      <c r="F941" t="s">
        <v>2180</v>
      </c>
      <c r="G941" s="10">
        <v>45131</v>
      </c>
      <c r="H941">
        <v>17400</v>
      </c>
      <c r="I941">
        <v>2400</v>
      </c>
      <c r="J941" t="s">
        <v>193</v>
      </c>
      <c r="K941">
        <v>6</v>
      </c>
      <c r="L941" t="s">
        <v>35</v>
      </c>
      <c r="M941" t="s">
        <v>27</v>
      </c>
    </row>
    <row r="942" spans="1:13">
      <c r="A942" t="s">
        <v>642</v>
      </c>
      <c r="B942" t="s">
        <v>179</v>
      </c>
      <c r="C942" t="s">
        <v>45</v>
      </c>
      <c r="D942" t="s">
        <v>2181</v>
      </c>
      <c r="E942">
        <v>2</v>
      </c>
      <c r="F942" t="s">
        <v>2182</v>
      </c>
      <c r="G942" s="10">
        <v>45126</v>
      </c>
      <c r="H942">
        <v>445200</v>
      </c>
      <c r="I942">
        <v>103534</v>
      </c>
      <c r="J942" t="s">
        <v>189</v>
      </c>
      <c r="K942">
        <v>6</v>
      </c>
      <c r="L942" t="s">
        <v>44</v>
      </c>
      <c r="M942" t="s">
        <v>45</v>
      </c>
    </row>
    <row r="943" spans="1:13">
      <c r="A943" t="s">
        <v>275</v>
      </c>
      <c r="B943" t="s">
        <v>160</v>
      </c>
      <c r="C943" t="s">
        <v>67</v>
      </c>
      <c r="D943" t="s">
        <v>2183</v>
      </c>
      <c r="E943">
        <v>2</v>
      </c>
      <c r="F943" t="s">
        <v>2184</v>
      </c>
      <c r="G943" s="10">
        <v>45131</v>
      </c>
      <c r="H943">
        <v>38400</v>
      </c>
      <c r="I943">
        <v>6400</v>
      </c>
      <c r="J943" t="s">
        <v>163</v>
      </c>
      <c r="K943">
        <v>6</v>
      </c>
      <c r="L943" t="s">
        <v>35</v>
      </c>
      <c r="M943" t="s">
        <v>27</v>
      </c>
    </row>
    <row r="944" spans="1:13">
      <c r="A944" t="s">
        <v>159</v>
      </c>
      <c r="B944" t="s">
        <v>160</v>
      </c>
      <c r="C944" t="s">
        <v>67</v>
      </c>
      <c r="D944" t="s">
        <v>2185</v>
      </c>
      <c r="E944">
        <v>2</v>
      </c>
      <c r="F944" t="s">
        <v>2186</v>
      </c>
      <c r="G944" s="10">
        <v>45131</v>
      </c>
      <c r="H944">
        <v>47760</v>
      </c>
      <c r="I944">
        <v>7960</v>
      </c>
      <c r="J944" t="s">
        <v>163</v>
      </c>
      <c r="K944">
        <v>6</v>
      </c>
      <c r="L944" t="s">
        <v>35</v>
      </c>
      <c r="M944" t="s">
        <v>27</v>
      </c>
    </row>
    <row r="945" spans="1:13">
      <c r="A945" t="s">
        <v>266</v>
      </c>
      <c r="B945" t="s">
        <v>160</v>
      </c>
      <c r="C945" t="s">
        <v>67</v>
      </c>
      <c r="D945" t="s">
        <v>2187</v>
      </c>
      <c r="E945">
        <v>2</v>
      </c>
      <c r="F945" t="s">
        <v>2188</v>
      </c>
      <c r="G945" s="10">
        <v>45131</v>
      </c>
      <c r="H945">
        <v>48000</v>
      </c>
      <c r="I945">
        <v>8000</v>
      </c>
      <c r="J945" t="s">
        <v>163</v>
      </c>
      <c r="K945">
        <v>5</v>
      </c>
      <c r="L945" t="s">
        <v>35</v>
      </c>
      <c r="M945" t="s">
        <v>27</v>
      </c>
    </row>
    <row r="946" spans="1:13">
      <c r="A946" t="s">
        <v>275</v>
      </c>
      <c r="B946" t="s">
        <v>160</v>
      </c>
      <c r="C946" t="s">
        <v>67</v>
      </c>
      <c r="D946" t="s">
        <v>2189</v>
      </c>
      <c r="E946">
        <v>2</v>
      </c>
      <c r="F946" t="s">
        <v>2190</v>
      </c>
      <c r="G946" s="10">
        <v>45145</v>
      </c>
      <c r="H946">
        <v>47760</v>
      </c>
      <c r="I946">
        <v>7960</v>
      </c>
      <c r="J946" t="s">
        <v>163</v>
      </c>
      <c r="K946">
        <v>6</v>
      </c>
      <c r="L946" t="s">
        <v>35</v>
      </c>
      <c r="M946" t="s">
        <v>27</v>
      </c>
    </row>
    <row r="947" spans="1:13">
      <c r="A947" t="s">
        <v>266</v>
      </c>
      <c r="B947" t="s">
        <v>160</v>
      </c>
      <c r="C947" t="s">
        <v>67</v>
      </c>
      <c r="D947" t="s">
        <v>2191</v>
      </c>
      <c r="E947">
        <v>2</v>
      </c>
      <c r="F947" t="s">
        <v>2192</v>
      </c>
      <c r="G947" s="10">
        <v>45131</v>
      </c>
      <c r="H947">
        <v>46800</v>
      </c>
      <c r="I947">
        <v>7800</v>
      </c>
      <c r="J947" t="s">
        <v>163</v>
      </c>
      <c r="K947">
        <v>5</v>
      </c>
      <c r="L947" t="s">
        <v>35</v>
      </c>
      <c r="M947" t="s">
        <v>27</v>
      </c>
    </row>
    <row r="948" spans="1:13">
      <c r="A948" t="s">
        <v>194</v>
      </c>
      <c r="B948" t="s">
        <v>160</v>
      </c>
      <c r="C948" t="s">
        <v>67</v>
      </c>
      <c r="D948" t="s">
        <v>2193</v>
      </c>
      <c r="E948">
        <v>2</v>
      </c>
      <c r="F948" t="s">
        <v>2194</v>
      </c>
      <c r="G948" s="10">
        <v>45131</v>
      </c>
      <c r="H948">
        <v>46560</v>
      </c>
      <c r="I948">
        <v>7760</v>
      </c>
      <c r="J948" t="s">
        <v>163</v>
      </c>
      <c r="K948">
        <v>6</v>
      </c>
      <c r="L948" t="s">
        <v>35</v>
      </c>
      <c r="M948" t="s">
        <v>27</v>
      </c>
    </row>
    <row r="949" spans="1:13">
      <c r="A949" t="s">
        <v>1658</v>
      </c>
      <c r="B949" t="s">
        <v>160</v>
      </c>
      <c r="C949" t="s">
        <v>67</v>
      </c>
      <c r="D949" t="s">
        <v>2195</v>
      </c>
      <c r="E949">
        <v>2</v>
      </c>
      <c r="F949" t="s">
        <v>2196</v>
      </c>
      <c r="G949" s="10">
        <v>45134</v>
      </c>
      <c r="H949">
        <v>38525</v>
      </c>
      <c r="I949">
        <v>5025</v>
      </c>
      <c r="J949" t="s">
        <v>193</v>
      </c>
      <c r="K949">
        <v>5</v>
      </c>
      <c r="L949" t="s">
        <v>35</v>
      </c>
      <c r="M949" t="s">
        <v>27</v>
      </c>
    </row>
    <row r="950" spans="1:13">
      <c r="A950" t="s">
        <v>159</v>
      </c>
      <c r="B950" t="s">
        <v>160</v>
      </c>
      <c r="C950" t="s">
        <v>67</v>
      </c>
      <c r="D950" t="s">
        <v>2197</v>
      </c>
      <c r="E950">
        <v>2</v>
      </c>
      <c r="F950" t="s">
        <v>2198</v>
      </c>
      <c r="G950" s="10">
        <v>45139</v>
      </c>
      <c r="H950">
        <v>48000</v>
      </c>
      <c r="I950">
        <v>8000</v>
      </c>
      <c r="J950" t="s">
        <v>163</v>
      </c>
      <c r="K950">
        <v>5</v>
      </c>
      <c r="L950" t="s">
        <v>35</v>
      </c>
      <c r="M950" t="s">
        <v>27</v>
      </c>
    </row>
    <row r="951" spans="1:13">
      <c r="A951" t="s">
        <v>251</v>
      </c>
      <c r="B951" t="s">
        <v>160</v>
      </c>
      <c r="C951" t="s">
        <v>67</v>
      </c>
      <c r="D951" t="s">
        <v>2199</v>
      </c>
      <c r="E951">
        <v>2</v>
      </c>
      <c r="F951" t="s">
        <v>2200</v>
      </c>
      <c r="G951" s="10">
        <v>45159</v>
      </c>
      <c r="H951">
        <v>34500</v>
      </c>
      <c r="I951">
        <v>4500</v>
      </c>
      <c r="J951" t="s">
        <v>163</v>
      </c>
      <c r="K951">
        <v>5</v>
      </c>
      <c r="L951" t="s">
        <v>35</v>
      </c>
      <c r="M951" t="s">
        <v>27</v>
      </c>
    </row>
    <row r="952" spans="1:13">
      <c r="A952" t="s">
        <v>2141</v>
      </c>
      <c r="B952" t="s">
        <v>66</v>
      </c>
      <c r="C952" t="s">
        <v>67</v>
      </c>
      <c r="D952" t="s">
        <v>2201</v>
      </c>
      <c r="E952">
        <v>2</v>
      </c>
      <c r="F952" t="s">
        <v>2202</v>
      </c>
      <c r="G952" s="10">
        <v>45131</v>
      </c>
      <c r="H952">
        <v>46800</v>
      </c>
      <c r="I952">
        <v>7800</v>
      </c>
      <c r="J952" t="s">
        <v>163</v>
      </c>
      <c r="K952">
        <v>6</v>
      </c>
      <c r="L952" t="s">
        <v>35</v>
      </c>
      <c r="M952" t="s">
        <v>27</v>
      </c>
    </row>
    <row r="953" spans="1:13">
      <c r="A953" t="s">
        <v>159</v>
      </c>
      <c r="B953" t="s">
        <v>160</v>
      </c>
      <c r="C953" t="s">
        <v>67</v>
      </c>
      <c r="D953" t="s">
        <v>2203</v>
      </c>
      <c r="E953">
        <v>2</v>
      </c>
      <c r="F953" t="s">
        <v>2204</v>
      </c>
      <c r="G953" s="10">
        <v>45139</v>
      </c>
      <c r="H953">
        <v>48000</v>
      </c>
      <c r="I953">
        <v>8000</v>
      </c>
      <c r="J953" t="s">
        <v>163</v>
      </c>
      <c r="K953">
        <v>6</v>
      </c>
      <c r="L953" t="s">
        <v>35</v>
      </c>
      <c r="M953" t="s">
        <v>27</v>
      </c>
    </row>
    <row r="954" spans="1:13">
      <c r="A954" t="s">
        <v>159</v>
      </c>
      <c r="B954" t="s">
        <v>160</v>
      </c>
      <c r="C954" t="s">
        <v>67</v>
      </c>
      <c r="D954" t="s">
        <v>2205</v>
      </c>
      <c r="E954">
        <v>2</v>
      </c>
      <c r="F954" t="s">
        <v>2206</v>
      </c>
      <c r="G954" s="10">
        <v>45131</v>
      </c>
      <c r="H954">
        <v>32500</v>
      </c>
      <c r="I954">
        <v>7500</v>
      </c>
      <c r="J954" t="s">
        <v>163</v>
      </c>
      <c r="K954">
        <v>6</v>
      </c>
      <c r="L954" t="s">
        <v>35</v>
      </c>
      <c r="M954" t="s">
        <v>27</v>
      </c>
    </row>
    <row r="955" spans="1:13">
      <c r="A955" t="s">
        <v>76</v>
      </c>
      <c r="B955" t="s">
        <v>72</v>
      </c>
      <c r="C955" t="s">
        <v>67</v>
      </c>
      <c r="D955" t="s">
        <v>2207</v>
      </c>
      <c r="E955">
        <v>1</v>
      </c>
      <c r="F955" t="s">
        <v>2208</v>
      </c>
      <c r="G955" s="10">
        <v>45108</v>
      </c>
      <c r="H955">
        <v>0</v>
      </c>
      <c r="I955">
        <v>-25000</v>
      </c>
      <c r="J955" t="s">
        <v>250</v>
      </c>
      <c r="K955">
        <v>6</v>
      </c>
      <c r="L955" t="s">
        <v>24</v>
      </c>
      <c r="M955" t="s">
        <v>29</v>
      </c>
    </row>
    <row r="956" spans="1:13">
      <c r="A956" t="s">
        <v>76</v>
      </c>
      <c r="B956" t="s">
        <v>72</v>
      </c>
      <c r="C956" t="s">
        <v>67</v>
      </c>
      <c r="D956" t="s">
        <v>2209</v>
      </c>
      <c r="E956">
        <v>1</v>
      </c>
      <c r="F956" t="s">
        <v>2210</v>
      </c>
      <c r="G956" s="10">
        <v>45159</v>
      </c>
      <c r="H956">
        <v>26775</v>
      </c>
      <c r="I956">
        <v>6775</v>
      </c>
      <c r="J956" t="s">
        <v>250</v>
      </c>
      <c r="K956">
        <v>6</v>
      </c>
      <c r="L956" t="s">
        <v>24</v>
      </c>
      <c r="M956" t="s">
        <v>29</v>
      </c>
    </row>
    <row r="957" spans="1:13">
      <c r="A957" t="s">
        <v>159</v>
      </c>
      <c r="B957" t="s">
        <v>160</v>
      </c>
      <c r="C957" t="s">
        <v>67</v>
      </c>
      <c r="D957" t="s">
        <v>2211</v>
      </c>
      <c r="E957">
        <v>2</v>
      </c>
      <c r="F957" t="s">
        <v>2212</v>
      </c>
      <c r="G957" s="10">
        <v>45139</v>
      </c>
      <c r="H957">
        <v>48000</v>
      </c>
      <c r="I957">
        <v>8000</v>
      </c>
      <c r="J957" t="s">
        <v>163</v>
      </c>
      <c r="K957">
        <v>5</v>
      </c>
      <c r="L957" t="s">
        <v>35</v>
      </c>
      <c r="M957" t="s">
        <v>27</v>
      </c>
    </row>
    <row r="958" spans="1:13">
      <c r="A958" t="s">
        <v>1547</v>
      </c>
      <c r="B958" t="s">
        <v>160</v>
      </c>
      <c r="C958" t="s">
        <v>67</v>
      </c>
      <c r="D958" t="s">
        <v>2213</v>
      </c>
      <c r="E958">
        <v>1</v>
      </c>
      <c r="F958" t="s">
        <v>2214</v>
      </c>
      <c r="G958" s="10">
        <v>45131</v>
      </c>
      <c r="H958">
        <v>42483</v>
      </c>
      <c r="I958">
        <v>3317</v>
      </c>
      <c r="J958" t="s">
        <v>250</v>
      </c>
      <c r="K958">
        <v>5</v>
      </c>
      <c r="L958" t="s">
        <v>24</v>
      </c>
      <c r="M958" t="s">
        <v>29</v>
      </c>
    </row>
    <row r="959" spans="1:13">
      <c r="A959" t="s">
        <v>361</v>
      </c>
      <c r="B959" t="s">
        <v>72</v>
      </c>
      <c r="C959" t="s">
        <v>67</v>
      </c>
      <c r="D959" t="s">
        <v>2215</v>
      </c>
      <c r="E959">
        <v>1</v>
      </c>
      <c r="F959" t="s">
        <v>2216</v>
      </c>
      <c r="G959" s="10">
        <v>45170</v>
      </c>
      <c r="H959">
        <v>0</v>
      </c>
      <c r="I959">
        <v>-20000</v>
      </c>
      <c r="J959" t="s">
        <v>250</v>
      </c>
      <c r="K959">
        <v>6</v>
      </c>
      <c r="L959" t="s">
        <v>24</v>
      </c>
      <c r="M959" t="s">
        <v>29</v>
      </c>
    </row>
    <row r="960" spans="1:13">
      <c r="A960" t="s">
        <v>251</v>
      </c>
      <c r="B960" t="s">
        <v>160</v>
      </c>
      <c r="C960" t="s">
        <v>67</v>
      </c>
      <c r="D960" t="s">
        <v>2217</v>
      </c>
      <c r="E960">
        <v>2</v>
      </c>
      <c r="F960" t="s">
        <v>2218</v>
      </c>
      <c r="G960" s="10">
        <v>45131</v>
      </c>
      <c r="H960">
        <v>17400</v>
      </c>
      <c r="I960">
        <v>2400</v>
      </c>
      <c r="J960" t="s">
        <v>193</v>
      </c>
      <c r="K960">
        <v>5</v>
      </c>
      <c r="L960" t="s">
        <v>35</v>
      </c>
      <c r="M960" t="s">
        <v>27</v>
      </c>
    </row>
    <row r="961" spans="1:13">
      <c r="A961" t="s">
        <v>266</v>
      </c>
      <c r="B961" t="s">
        <v>160</v>
      </c>
      <c r="C961" t="s">
        <v>67</v>
      </c>
      <c r="D961" t="s">
        <v>2219</v>
      </c>
      <c r="E961">
        <v>2</v>
      </c>
      <c r="F961" t="s">
        <v>2220</v>
      </c>
      <c r="G961" s="10">
        <v>45133</v>
      </c>
      <c r="H961">
        <v>17400</v>
      </c>
      <c r="I961">
        <v>2400</v>
      </c>
      <c r="J961" t="s">
        <v>193</v>
      </c>
      <c r="K961">
        <v>5</v>
      </c>
      <c r="L961" t="s">
        <v>35</v>
      </c>
      <c r="M961" t="s">
        <v>27</v>
      </c>
    </row>
    <row r="962" spans="1:13">
      <c r="A962" t="s">
        <v>197</v>
      </c>
      <c r="B962" t="s">
        <v>160</v>
      </c>
      <c r="C962" t="s">
        <v>67</v>
      </c>
      <c r="D962" t="s">
        <v>2221</v>
      </c>
      <c r="E962">
        <v>2</v>
      </c>
      <c r="F962" t="s">
        <v>2222</v>
      </c>
      <c r="G962" s="10">
        <v>45133</v>
      </c>
      <c r="H962">
        <v>17400</v>
      </c>
      <c r="I962">
        <v>2400</v>
      </c>
      <c r="J962" t="s">
        <v>193</v>
      </c>
      <c r="K962">
        <v>5</v>
      </c>
      <c r="L962" t="s">
        <v>35</v>
      </c>
      <c r="M962" t="s">
        <v>27</v>
      </c>
    </row>
    <row r="963" spans="1:13">
      <c r="A963" t="s">
        <v>256</v>
      </c>
      <c r="B963" t="s">
        <v>160</v>
      </c>
      <c r="C963" t="s">
        <v>67</v>
      </c>
      <c r="D963" t="s">
        <v>2223</v>
      </c>
      <c r="E963">
        <v>1</v>
      </c>
      <c r="F963" t="s">
        <v>2224</v>
      </c>
      <c r="G963" s="10">
        <v>45131</v>
      </c>
      <c r="H963">
        <v>45517.5</v>
      </c>
      <c r="I963">
        <v>6351.5</v>
      </c>
      <c r="J963" t="s">
        <v>75</v>
      </c>
      <c r="K963">
        <v>5</v>
      </c>
      <c r="L963" t="s">
        <v>35</v>
      </c>
      <c r="M963" t="s">
        <v>29</v>
      </c>
    </row>
    <row r="964" spans="1:13">
      <c r="A964" t="s">
        <v>1658</v>
      </c>
      <c r="B964" t="s">
        <v>160</v>
      </c>
      <c r="C964" t="s">
        <v>67</v>
      </c>
      <c r="D964" t="s">
        <v>2225</v>
      </c>
      <c r="E964">
        <v>2</v>
      </c>
      <c r="F964" t="s">
        <v>2226</v>
      </c>
      <c r="G964" s="10">
        <v>45131</v>
      </c>
      <c r="H964">
        <v>48000</v>
      </c>
      <c r="I964">
        <v>8000</v>
      </c>
      <c r="J964" t="s">
        <v>163</v>
      </c>
      <c r="K964">
        <v>6</v>
      </c>
      <c r="L964" t="s">
        <v>35</v>
      </c>
      <c r="M964" t="s">
        <v>27</v>
      </c>
    </row>
    <row r="965" spans="1:13">
      <c r="A965" t="s">
        <v>76</v>
      </c>
      <c r="B965" t="s">
        <v>72</v>
      </c>
      <c r="C965" t="s">
        <v>67</v>
      </c>
      <c r="D965" t="s">
        <v>2227</v>
      </c>
      <c r="E965">
        <v>1</v>
      </c>
      <c r="F965" t="s">
        <v>2228</v>
      </c>
      <c r="G965" s="10">
        <v>45159</v>
      </c>
      <c r="H965">
        <v>26775</v>
      </c>
      <c r="I965">
        <v>6775</v>
      </c>
      <c r="J965" t="s">
        <v>250</v>
      </c>
      <c r="K965">
        <v>6</v>
      </c>
      <c r="L965" t="s">
        <v>24</v>
      </c>
      <c r="M965" t="s">
        <v>29</v>
      </c>
    </row>
    <row r="966" spans="1:13">
      <c r="A966" t="s">
        <v>261</v>
      </c>
      <c r="B966" t="s">
        <v>160</v>
      </c>
      <c r="C966" t="s">
        <v>67</v>
      </c>
      <c r="D966" t="s">
        <v>2229</v>
      </c>
      <c r="E966">
        <v>2</v>
      </c>
      <c r="F966" t="s">
        <v>2230</v>
      </c>
      <c r="G966" s="10">
        <v>45131</v>
      </c>
      <c r="H966">
        <v>45000</v>
      </c>
      <c r="I966">
        <v>7500</v>
      </c>
      <c r="J966" t="s">
        <v>163</v>
      </c>
      <c r="K966">
        <v>5</v>
      </c>
      <c r="L966" t="s">
        <v>35</v>
      </c>
      <c r="M966" t="s">
        <v>27</v>
      </c>
    </row>
    <row r="967" spans="1:13">
      <c r="A967" t="s">
        <v>628</v>
      </c>
      <c r="B967" t="s">
        <v>66</v>
      </c>
      <c r="C967" t="s">
        <v>67</v>
      </c>
      <c r="D967" t="s">
        <v>2231</v>
      </c>
      <c r="E967">
        <v>2</v>
      </c>
      <c r="F967" t="s">
        <v>2232</v>
      </c>
      <c r="G967" s="10">
        <v>45232</v>
      </c>
      <c r="H967">
        <v>59583.33</v>
      </c>
      <c r="I967">
        <v>5417.33</v>
      </c>
      <c r="J967" t="s">
        <v>2019</v>
      </c>
      <c r="K967">
        <v>5</v>
      </c>
      <c r="L967" t="s">
        <v>24</v>
      </c>
      <c r="M967" t="s">
        <v>26</v>
      </c>
    </row>
    <row r="968" spans="1:13">
      <c r="A968" t="s">
        <v>194</v>
      </c>
      <c r="B968" t="s">
        <v>160</v>
      </c>
      <c r="C968" t="s">
        <v>67</v>
      </c>
      <c r="D968" t="s">
        <v>2233</v>
      </c>
      <c r="E968">
        <v>2</v>
      </c>
      <c r="F968" t="s">
        <v>2234</v>
      </c>
      <c r="G968" s="10">
        <v>45170</v>
      </c>
      <c r="H968">
        <v>32500</v>
      </c>
      <c r="I968">
        <v>7500</v>
      </c>
      <c r="J968" t="s">
        <v>163</v>
      </c>
      <c r="K968">
        <v>6</v>
      </c>
      <c r="L968" t="s">
        <v>35</v>
      </c>
      <c r="M968" t="s">
        <v>27</v>
      </c>
    </row>
    <row r="969" spans="1:13">
      <c r="A969" t="s">
        <v>251</v>
      </c>
      <c r="B969" t="s">
        <v>160</v>
      </c>
      <c r="C969" t="s">
        <v>67</v>
      </c>
      <c r="D969" t="s">
        <v>2235</v>
      </c>
      <c r="E969">
        <v>2</v>
      </c>
      <c r="F969" t="s">
        <v>2236</v>
      </c>
      <c r="G969" s="10">
        <v>45133</v>
      </c>
      <c r="H969">
        <v>17400</v>
      </c>
      <c r="I969">
        <v>2400</v>
      </c>
      <c r="J969" t="s">
        <v>193</v>
      </c>
      <c r="K969">
        <v>5</v>
      </c>
      <c r="L969" t="s">
        <v>35</v>
      </c>
      <c r="M969" t="s">
        <v>27</v>
      </c>
    </row>
    <row r="970" spans="1:13">
      <c r="A970" t="s">
        <v>190</v>
      </c>
      <c r="B970" t="s">
        <v>160</v>
      </c>
      <c r="C970" t="s">
        <v>67</v>
      </c>
      <c r="D970" t="s">
        <v>2237</v>
      </c>
      <c r="E970">
        <v>2</v>
      </c>
      <c r="F970" t="s">
        <v>2238</v>
      </c>
      <c r="G970" s="10">
        <v>45131</v>
      </c>
      <c r="H970">
        <v>48000</v>
      </c>
      <c r="I970">
        <v>8000</v>
      </c>
      <c r="J970" t="s">
        <v>163</v>
      </c>
      <c r="K970">
        <v>5</v>
      </c>
      <c r="L970" t="s">
        <v>35</v>
      </c>
      <c r="M970" t="s">
        <v>27</v>
      </c>
    </row>
    <row r="971" spans="1:13">
      <c r="A971" t="s">
        <v>361</v>
      </c>
      <c r="B971" t="s">
        <v>72</v>
      </c>
      <c r="C971" t="s">
        <v>67</v>
      </c>
      <c r="D971" t="s">
        <v>2239</v>
      </c>
      <c r="E971">
        <v>1</v>
      </c>
      <c r="F971" t="s">
        <v>2240</v>
      </c>
      <c r="G971" s="10">
        <v>45159</v>
      </c>
      <c r="H971">
        <v>26775</v>
      </c>
      <c r="I971">
        <v>6775</v>
      </c>
      <c r="J971" t="s">
        <v>250</v>
      </c>
      <c r="K971">
        <v>6</v>
      </c>
      <c r="L971" t="s">
        <v>24</v>
      </c>
      <c r="M971" t="s">
        <v>29</v>
      </c>
    </row>
    <row r="972" spans="1:13">
      <c r="A972" t="s">
        <v>361</v>
      </c>
      <c r="B972" t="s">
        <v>72</v>
      </c>
      <c r="C972" t="s">
        <v>67</v>
      </c>
      <c r="D972" t="s">
        <v>2241</v>
      </c>
      <c r="E972">
        <v>1</v>
      </c>
      <c r="F972" t="s">
        <v>2242</v>
      </c>
      <c r="G972" s="10">
        <v>45159</v>
      </c>
      <c r="H972">
        <v>26775</v>
      </c>
      <c r="I972">
        <v>6775</v>
      </c>
      <c r="J972" t="s">
        <v>250</v>
      </c>
      <c r="K972">
        <v>6</v>
      </c>
      <c r="L972" t="s">
        <v>24</v>
      </c>
      <c r="M972" t="s">
        <v>29</v>
      </c>
    </row>
    <row r="973" spans="1:13">
      <c r="A973" t="s">
        <v>76</v>
      </c>
      <c r="B973" t="s">
        <v>72</v>
      </c>
      <c r="C973" t="s">
        <v>67</v>
      </c>
      <c r="D973" t="s">
        <v>2243</v>
      </c>
      <c r="E973">
        <v>1</v>
      </c>
      <c r="F973" t="s">
        <v>2244</v>
      </c>
      <c r="G973" s="10">
        <v>45159</v>
      </c>
      <c r="H973">
        <v>26775</v>
      </c>
      <c r="I973">
        <v>6775</v>
      </c>
      <c r="J973" t="s">
        <v>250</v>
      </c>
      <c r="K973">
        <v>6</v>
      </c>
      <c r="L973" t="s">
        <v>24</v>
      </c>
      <c r="M973" t="s">
        <v>29</v>
      </c>
    </row>
    <row r="974" spans="1:13">
      <c r="A974" t="s">
        <v>361</v>
      </c>
      <c r="B974" t="s">
        <v>72</v>
      </c>
      <c r="C974" t="s">
        <v>67</v>
      </c>
      <c r="D974" t="s">
        <v>2245</v>
      </c>
      <c r="E974">
        <v>1</v>
      </c>
      <c r="F974" t="s">
        <v>2246</v>
      </c>
      <c r="G974" s="10">
        <v>45159</v>
      </c>
      <c r="H974">
        <v>26775</v>
      </c>
      <c r="I974">
        <v>6775</v>
      </c>
      <c r="J974" t="s">
        <v>250</v>
      </c>
      <c r="K974">
        <v>6</v>
      </c>
      <c r="L974" t="s">
        <v>24</v>
      </c>
      <c r="M974" t="s">
        <v>29</v>
      </c>
    </row>
    <row r="975" spans="1:13">
      <c r="A975" t="s">
        <v>76</v>
      </c>
      <c r="B975" t="s">
        <v>72</v>
      </c>
      <c r="C975" t="s">
        <v>67</v>
      </c>
      <c r="D975" t="s">
        <v>2247</v>
      </c>
      <c r="E975">
        <v>1</v>
      </c>
      <c r="F975" t="s">
        <v>2248</v>
      </c>
      <c r="G975" s="10">
        <v>45159</v>
      </c>
      <c r="H975">
        <v>26775</v>
      </c>
      <c r="I975">
        <v>6775</v>
      </c>
      <c r="J975" t="s">
        <v>250</v>
      </c>
      <c r="K975">
        <v>6</v>
      </c>
      <c r="L975" t="s">
        <v>24</v>
      </c>
      <c r="M975" t="s">
        <v>29</v>
      </c>
    </row>
    <row r="976" spans="1:13">
      <c r="A976" t="s">
        <v>266</v>
      </c>
      <c r="B976" t="s">
        <v>160</v>
      </c>
      <c r="C976" t="s">
        <v>67</v>
      </c>
      <c r="D976" t="s">
        <v>2249</v>
      </c>
      <c r="E976">
        <v>2</v>
      </c>
      <c r="F976" t="s">
        <v>2250</v>
      </c>
      <c r="G976" s="10">
        <v>45131</v>
      </c>
      <c r="H976">
        <v>45600</v>
      </c>
      <c r="I976">
        <v>7600</v>
      </c>
      <c r="J976" t="s">
        <v>163</v>
      </c>
      <c r="K976">
        <v>6</v>
      </c>
      <c r="L976" t="s">
        <v>35</v>
      </c>
      <c r="M976" t="s">
        <v>27</v>
      </c>
    </row>
    <row r="977" spans="1:13">
      <c r="A977" t="s">
        <v>361</v>
      </c>
      <c r="B977" t="s">
        <v>72</v>
      </c>
      <c r="C977" t="s">
        <v>67</v>
      </c>
      <c r="D977" t="s">
        <v>2251</v>
      </c>
      <c r="E977">
        <v>1</v>
      </c>
      <c r="F977" t="s">
        <v>2252</v>
      </c>
      <c r="G977" s="10">
        <v>45159</v>
      </c>
      <c r="H977">
        <v>26775</v>
      </c>
      <c r="I977">
        <v>6775</v>
      </c>
      <c r="J977" t="s">
        <v>250</v>
      </c>
      <c r="K977">
        <v>6</v>
      </c>
      <c r="L977" t="s">
        <v>24</v>
      </c>
      <c r="M977" t="s">
        <v>29</v>
      </c>
    </row>
    <row r="978" spans="1:13">
      <c r="A978" t="s">
        <v>197</v>
      </c>
      <c r="B978" t="s">
        <v>160</v>
      </c>
      <c r="C978" t="s">
        <v>67</v>
      </c>
      <c r="D978" t="s">
        <v>2253</v>
      </c>
      <c r="E978">
        <v>1</v>
      </c>
      <c r="F978" t="s">
        <v>2254</v>
      </c>
      <c r="G978" s="10">
        <v>45159</v>
      </c>
      <c r="H978">
        <v>26775</v>
      </c>
      <c r="I978">
        <v>6775</v>
      </c>
      <c r="J978" t="s">
        <v>2255</v>
      </c>
      <c r="K978">
        <v>5</v>
      </c>
      <c r="L978" t="s">
        <v>24</v>
      </c>
      <c r="M978" t="s">
        <v>29</v>
      </c>
    </row>
    <row r="979" spans="1:13">
      <c r="A979" t="s">
        <v>522</v>
      </c>
      <c r="B979" t="s">
        <v>72</v>
      </c>
      <c r="C979" t="s">
        <v>67</v>
      </c>
      <c r="D979" t="s">
        <v>2256</v>
      </c>
      <c r="E979">
        <v>1</v>
      </c>
      <c r="F979" t="s">
        <v>2257</v>
      </c>
      <c r="G979" s="10">
        <v>45170</v>
      </c>
      <c r="H979">
        <v>32130</v>
      </c>
      <c r="I979">
        <v>12130</v>
      </c>
      <c r="J979" t="s">
        <v>250</v>
      </c>
      <c r="K979">
        <v>6</v>
      </c>
      <c r="L979" t="s">
        <v>24</v>
      </c>
      <c r="M979" t="s">
        <v>29</v>
      </c>
    </row>
    <row r="980" spans="1:13">
      <c r="A980" t="s">
        <v>361</v>
      </c>
      <c r="B980" t="s">
        <v>72</v>
      </c>
      <c r="C980" t="s">
        <v>67</v>
      </c>
      <c r="D980" t="s">
        <v>2258</v>
      </c>
      <c r="E980">
        <v>1</v>
      </c>
      <c r="F980" t="s">
        <v>2259</v>
      </c>
      <c r="G980" s="10">
        <v>45159</v>
      </c>
      <c r="H980">
        <v>26775</v>
      </c>
      <c r="I980">
        <v>6775</v>
      </c>
      <c r="J980" t="s">
        <v>250</v>
      </c>
      <c r="K980">
        <v>6</v>
      </c>
      <c r="L980" t="s">
        <v>24</v>
      </c>
      <c r="M980" t="s">
        <v>29</v>
      </c>
    </row>
    <row r="981" spans="1:13">
      <c r="A981" t="s">
        <v>361</v>
      </c>
      <c r="B981" t="s">
        <v>72</v>
      </c>
      <c r="C981" t="s">
        <v>67</v>
      </c>
      <c r="D981" t="s">
        <v>2260</v>
      </c>
      <c r="E981">
        <v>1</v>
      </c>
      <c r="F981" t="s">
        <v>2261</v>
      </c>
      <c r="G981" s="10">
        <v>45159</v>
      </c>
      <c r="H981">
        <v>26775</v>
      </c>
      <c r="I981">
        <v>6775</v>
      </c>
      <c r="J981" t="s">
        <v>250</v>
      </c>
      <c r="K981">
        <v>6</v>
      </c>
      <c r="L981" t="s">
        <v>24</v>
      </c>
      <c r="M981" t="s">
        <v>29</v>
      </c>
    </row>
    <row r="982" spans="1:13">
      <c r="A982" t="s">
        <v>159</v>
      </c>
      <c r="B982" t="s">
        <v>160</v>
      </c>
      <c r="C982" t="s">
        <v>67</v>
      </c>
      <c r="D982" t="s">
        <v>2262</v>
      </c>
      <c r="E982">
        <v>2</v>
      </c>
      <c r="F982" t="s">
        <v>2263</v>
      </c>
      <c r="G982" s="10">
        <v>45142</v>
      </c>
      <c r="H982">
        <v>48000</v>
      </c>
      <c r="I982">
        <v>8000</v>
      </c>
      <c r="J982" t="s">
        <v>163</v>
      </c>
      <c r="K982">
        <v>5</v>
      </c>
      <c r="L982" t="s">
        <v>35</v>
      </c>
      <c r="M982" t="s">
        <v>27</v>
      </c>
    </row>
    <row r="983" spans="1:13">
      <c r="A983" t="s">
        <v>29</v>
      </c>
      <c r="B983" t="s">
        <v>98</v>
      </c>
      <c r="C983" t="s">
        <v>29</v>
      </c>
      <c r="D983" t="s">
        <v>2264</v>
      </c>
      <c r="E983">
        <v>1</v>
      </c>
      <c r="F983" t="s">
        <v>2265</v>
      </c>
      <c r="G983" s="10">
        <v>45194</v>
      </c>
      <c r="H983">
        <v>26775</v>
      </c>
      <c r="I983">
        <v>6775</v>
      </c>
      <c r="J983" t="s">
        <v>250</v>
      </c>
      <c r="K983">
        <v>6</v>
      </c>
      <c r="L983" t="s">
        <v>24</v>
      </c>
      <c r="M983" t="s">
        <v>29</v>
      </c>
    </row>
    <row r="984" spans="1:13">
      <c r="A984" t="s">
        <v>2266</v>
      </c>
      <c r="B984" t="s">
        <v>2267</v>
      </c>
      <c r="C984" t="s">
        <v>94</v>
      </c>
      <c r="D984" t="s">
        <v>2268</v>
      </c>
      <c r="E984">
        <v>7</v>
      </c>
      <c r="F984" t="s">
        <v>2269</v>
      </c>
      <c r="G984" s="10">
        <v>45155</v>
      </c>
      <c r="H984">
        <v>60860.800000000003</v>
      </c>
      <c r="I984">
        <v>2620.8000000000002</v>
      </c>
      <c r="J984" t="s">
        <v>313</v>
      </c>
      <c r="K984">
        <v>5</v>
      </c>
      <c r="L984" t="s">
        <v>41</v>
      </c>
      <c r="M984" t="s">
        <v>42</v>
      </c>
    </row>
    <row r="985" spans="1:13">
      <c r="A985" t="s">
        <v>76</v>
      </c>
      <c r="B985" t="s">
        <v>72</v>
      </c>
      <c r="C985" t="s">
        <v>67</v>
      </c>
      <c r="D985" t="s">
        <v>2270</v>
      </c>
      <c r="E985">
        <v>1</v>
      </c>
      <c r="F985" t="s">
        <v>2271</v>
      </c>
      <c r="G985" s="10">
        <v>45159</v>
      </c>
      <c r="H985">
        <v>26775</v>
      </c>
      <c r="I985">
        <v>6775</v>
      </c>
      <c r="J985" t="s">
        <v>250</v>
      </c>
      <c r="K985">
        <v>6</v>
      </c>
      <c r="L985" t="s">
        <v>24</v>
      </c>
      <c r="M985" t="s">
        <v>29</v>
      </c>
    </row>
    <row r="986" spans="1:13">
      <c r="A986" t="s">
        <v>275</v>
      </c>
      <c r="B986" t="s">
        <v>160</v>
      </c>
      <c r="C986" t="s">
        <v>67</v>
      </c>
      <c r="D986" t="s">
        <v>2272</v>
      </c>
      <c r="E986">
        <v>2</v>
      </c>
      <c r="F986" t="s">
        <v>2273</v>
      </c>
      <c r="G986" s="10">
        <v>45131</v>
      </c>
      <c r="H986">
        <v>32500</v>
      </c>
      <c r="I986">
        <v>7500</v>
      </c>
      <c r="J986" t="s">
        <v>163</v>
      </c>
      <c r="K986">
        <v>6</v>
      </c>
      <c r="L986" t="s">
        <v>35</v>
      </c>
      <c r="M986" t="s">
        <v>27</v>
      </c>
    </row>
    <row r="987" spans="1:13">
      <c r="A987" t="s">
        <v>1193</v>
      </c>
      <c r="B987" t="s">
        <v>141</v>
      </c>
      <c r="C987" t="s">
        <v>67</v>
      </c>
      <c r="D987" t="s">
        <v>2274</v>
      </c>
      <c r="E987">
        <v>1</v>
      </c>
      <c r="F987" t="s">
        <v>2275</v>
      </c>
      <c r="G987" s="10">
        <v>45159</v>
      </c>
      <c r="H987">
        <v>26775</v>
      </c>
      <c r="I987">
        <v>6775</v>
      </c>
      <c r="J987" t="s">
        <v>250</v>
      </c>
      <c r="K987">
        <v>6</v>
      </c>
      <c r="L987" t="s">
        <v>24</v>
      </c>
      <c r="M987" t="s">
        <v>29</v>
      </c>
    </row>
    <row r="988" spans="1:13">
      <c r="A988" t="s">
        <v>361</v>
      </c>
      <c r="B988" t="s">
        <v>72</v>
      </c>
      <c r="C988" t="s">
        <v>67</v>
      </c>
      <c r="D988" t="s">
        <v>2276</v>
      </c>
      <c r="E988">
        <v>1</v>
      </c>
      <c r="F988" t="s">
        <v>2277</v>
      </c>
      <c r="G988" s="10">
        <v>45159</v>
      </c>
      <c r="H988">
        <v>26775</v>
      </c>
      <c r="I988">
        <v>6775</v>
      </c>
      <c r="J988" t="s">
        <v>250</v>
      </c>
      <c r="K988">
        <v>6</v>
      </c>
      <c r="L988" t="s">
        <v>24</v>
      </c>
      <c r="M988" t="s">
        <v>29</v>
      </c>
    </row>
    <row r="989" spans="1:13">
      <c r="A989" t="s">
        <v>361</v>
      </c>
      <c r="B989" t="s">
        <v>72</v>
      </c>
      <c r="C989" t="s">
        <v>67</v>
      </c>
      <c r="D989" t="s">
        <v>2278</v>
      </c>
      <c r="E989">
        <v>1</v>
      </c>
      <c r="F989" t="s">
        <v>2279</v>
      </c>
      <c r="G989" s="10">
        <v>45159</v>
      </c>
      <c r="H989">
        <v>26775</v>
      </c>
      <c r="I989">
        <v>6775</v>
      </c>
      <c r="J989" t="s">
        <v>250</v>
      </c>
      <c r="K989">
        <v>6</v>
      </c>
      <c r="L989" t="s">
        <v>24</v>
      </c>
      <c r="M989" t="s">
        <v>29</v>
      </c>
    </row>
    <row r="990" spans="1:13">
      <c r="A990" t="s">
        <v>1596</v>
      </c>
      <c r="B990" t="s">
        <v>215</v>
      </c>
      <c r="C990" t="s">
        <v>94</v>
      </c>
      <c r="D990" t="s">
        <v>2280</v>
      </c>
      <c r="E990">
        <v>1</v>
      </c>
      <c r="F990" t="s">
        <v>2281</v>
      </c>
      <c r="G990" s="10">
        <v>45139</v>
      </c>
      <c r="H990">
        <v>32130</v>
      </c>
      <c r="I990">
        <v>12130</v>
      </c>
      <c r="J990" t="s">
        <v>441</v>
      </c>
      <c r="K990">
        <v>6</v>
      </c>
      <c r="L990" t="s">
        <v>24</v>
      </c>
      <c r="M990" t="s">
        <v>29</v>
      </c>
    </row>
    <row r="991" spans="1:13">
      <c r="A991" t="s">
        <v>522</v>
      </c>
      <c r="B991" t="s">
        <v>72</v>
      </c>
      <c r="C991" t="s">
        <v>67</v>
      </c>
      <c r="D991" t="s">
        <v>2282</v>
      </c>
      <c r="E991">
        <v>1</v>
      </c>
      <c r="F991" t="s">
        <v>2283</v>
      </c>
      <c r="G991" s="10">
        <v>45139</v>
      </c>
      <c r="H991">
        <v>32130</v>
      </c>
      <c r="I991">
        <v>12130</v>
      </c>
      <c r="J991" t="s">
        <v>250</v>
      </c>
      <c r="K991">
        <v>6</v>
      </c>
      <c r="L991" t="s">
        <v>24</v>
      </c>
      <c r="M991" t="s">
        <v>29</v>
      </c>
    </row>
    <row r="992" spans="1:13">
      <c r="A992" t="s">
        <v>361</v>
      </c>
      <c r="B992" t="s">
        <v>72</v>
      </c>
      <c r="C992" t="s">
        <v>67</v>
      </c>
      <c r="D992" t="s">
        <v>2284</v>
      </c>
      <c r="E992">
        <v>1</v>
      </c>
      <c r="F992" t="s">
        <v>2285</v>
      </c>
      <c r="G992" s="10">
        <v>45159</v>
      </c>
      <c r="H992">
        <v>26775</v>
      </c>
      <c r="I992">
        <v>6775</v>
      </c>
      <c r="J992" t="s">
        <v>250</v>
      </c>
      <c r="K992">
        <v>6</v>
      </c>
      <c r="L992" t="s">
        <v>24</v>
      </c>
      <c r="M992" t="s">
        <v>29</v>
      </c>
    </row>
    <row r="993" spans="1:13">
      <c r="A993" t="s">
        <v>2286</v>
      </c>
      <c r="B993" t="s">
        <v>141</v>
      </c>
      <c r="C993" t="s">
        <v>67</v>
      </c>
      <c r="D993" t="s">
        <v>2287</v>
      </c>
      <c r="E993">
        <v>2</v>
      </c>
      <c r="F993" t="s">
        <v>2288</v>
      </c>
      <c r="G993" s="10">
        <v>45343</v>
      </c>
      <c r="H993">
        <v>27500</v>
      </c>
      <c r="I993">
        <v>2500</v>
      </c>
      <c r="J993" t="s">
        <v>2019</v>
      </c>
      <c r="K993">
        <v>5</v>
      </c>
      <c r="L993" t="s">
        <v>24</v>
      </c>
      <c r="M993" t="s">
        <v>26</v>
      </c>
    </row>
    <row r="994" spans="1:13">
      <c r="A994" t="s">
        <v>194</v>
      </c>
      <c r="B994" t="s">
        <v>160</v>
      </c>
      <c r="C994" t="s">
        <v>67</v>
      </c>
      <c r="D994" t="s">
        <v>2289</v>
      </c>
      <c r="E994">
        <v>2</v>
      </c>
      <c r="F994" t="s">
        <v>2290</v>
      </c>
      <c r="G994" s="10">
        <v>45131</v>
      </c>
      <c r="H994">
        <v>32500</v>
      </c>
      <c r="I994">
        <v>7500</v>
      </c>
      <c r="J994" t="s">
        <v>163</v>
      </c>
      <c r="K994">
        <v>6</v>
      </c>
      <c r="L994" t="s">
        <v>35</v>
      </c>
      <c r="M994" t="s">
        <v>27</v>
      </c>
    </row>
    <row r="995" spans="1:13">
      <c r="A995" t="s">
        <v>197</v>
      </c>
      <c r="B995" t="s">
        <v>160</v>
      </c>
      <c r="C995" t="s">
        <v>67</v>
      </c>
      <c r="D995" t="s">
        <v>2291</v>
      </c>
      <c r="E995">
        <v>2</v>
      </c>
      <c r="F995" t="s">
        <v>2292</v>
      </c>
      <c r="G995" s="10">
        <v>45131</v>
      </c>
      <c r="H995">
        <v>48000</v>
      </c>
      <c r="I995">
        <v>8000</v>
      </c>
      <c r="J995" t="s">
        <v>163</v>
      </c>
      <c r="K995">
        <v>6</v>
      </c>
      <c r="L995" t="s">
        <v>35</v>
      </c>
      <c r="M995" t="s">
        <v>27</v>
      </c>
    </row>
    <row r="996" spans="1:13">
      <c r="A996" t="s">
        <v>159</v>
      </c>
      <c r="B996" t="s">
        <v>160</v>
      </c>
      <c r="C996" t="s">
        <v>67</v>
      </c>
      <c r="D996" t="s">
        <v>2293</v>
      </c>
      <c r="E996">
        <v>2</v>
      </c>
      <c r="F996" t="s">
        <v>2294</v>
      </c>
      <c r="G996" s="10">
        <v>45170</v>
      </c>
      <c r="H996">
        <v>33600</v>
      </c>
      <c r="I996">
        <v>5600</v>
      </c>
      <c r="J996" t="s">
        <v>163</v>
      </c>
      <c r="K996">
        <v>5</v>
      </c>
      <c r="L996" t="s">
        <v>35</v>
      </c>
      <c r="M996" t="s">
        <v>27</v>
      </c>
    </row>
    <row r="997" spans="1:13">
      <c r="A997" t="s">
        <v>275</v>
      </c>
      <c r="B997" t="s">
        <v>160</v>
      </c>
      <c r="C997" t="s">
        <v>67</v>
      </c>
      <c r="D997" t="s">
        <v>2295</v>
      </c>
      <c r="E997">
        <v>2</v>
      </c>
      <c r="F997" t="s">
        <v>2296</v>
      </c>
      <c r="G997" s="10">
        <v>45131</v>
      </c>
      <c r="H997">
        <v>47760</v>
      </c>
      <c r="I997">
        <v>7760</v>
      </c>
      <c r="J997" t="s">
        <v>163</v>
      </c>
      <c r="K997">
        <v>6</v>
      </c>
      <c r="L997" t="s">
        <v>35</v>
      </c>
      <c r="M997" t="s">
        <v>27</v>
      </c>
    </row>
    <row r="998" spans="1:13">
      <c r="A998" t="s">
        <v>2297</v>
      </c>
      <c r="B998" t="s">
        <v>146</v>
      </c>
      <c r="C998" t="s">
        <v>98</v>
      </c>
      <c r="D998" t="s">
        <v>2298</v>
      </c>
      <c r="E998">
        <v>2</v>
      </c>
      <c r="F998" t="s">
        <v>2299</v>
      </c>
      <c r="G998" s="10">
        <v>45127</v>
      </c>
      <c r="H998">
        <v>120960</v>
      </c>
      <c r="I998">
        <v>16794</v>
      </c>
      <c r="J998" t="s">
        <v>126</v>
      </c>
      <c r="K998">
        <v>6</v>
      </c>
      <c r="L998" t="s">
        <v>24</v>
      </c>
      <c r="M998" t="s">
        <v>26</v>
      </c>
    </row>
    <row r="999" spans="1:13">
      <c r="A999" t="s">
        <v>2300</v>
      </c>
      <c r="B999" t="s">
        <v>2301</v>
      </c>
      <c r="C999" t="s">
        <v>2302</v>
      </c>
      <c r="D999" t="s">
        <v>2303</v>
      </c>
      <c r="E999">
        <v>1</v>
      </c>
      <c r="F999" t="s">
        <v>2304</v>
      </c>
      <c r="G999" s="10">
        <v>45139</v>
      </c>
      <c r="H999">
        <v>32130</v>
      </c>
      <c r="I999">
        <v>12130</v>
      </c>
      <c r="J999" t="s">
        <v>441</v>
      </c>
      <c r="K999">
        <v>6</v>
      </c>
      <c r="L999" t="s">
        <v>24</v>
      </c>
      <c r="M999" t="s">
        <v>29</v>
      </c>
    </row>
    <row r="1000" spans="1:13">
      <c r="A1000" t="s">
        <v>361</v>
      </c>
      <c r="B1000" t="s">
        <v>72</v>
      </c>
      <c r="C1000" t="s">
        <v>67</v>
      </c>
      <c r="D1000" t="s">
        <v>2305</v>
      </c>
      <c r="E1000">
        <v>1</v>
      </c>
      <c r="F1000" t="s">
        <v>2306</v>
      </c>
      <c r="G1000" s="10">
        <v>45159</v>
      </c>
      <c r="H1000">
        <v>26775</v>
      </c>
      <c r="I1000">
        <v>6775</v>
      </c>
      <c r="J1000" t="s">
        <v>250</v>
      </c>
      <c r="K1000">
        <v>6</v>
      </c>
      <c r="L1000" t="s">
        <v>24</v>
      </c>
      <c r="M1000" t="s">
        <v>29</v>
      </c>
    </row>
    <row r="1001" spans="1:13">
      <c r="A1001" t="s">
        <v>361</v>
      </c>
      <c r="B1001" t="s">
        <v>72</v>
      </c>
      <c r="C1001" t="s">
        <v>67</v>
      </c>
      <c r="D1001" t="s">
        <v>2307</v>
      </c>
      <c r="E1001">
        <v>1</v>
      </c>
      <c r="F1001" t="s">
        <v>2308</v>
      </c>
      <c r="G1001" s="10">
        <v>45159</v>
      </c>
      <c r="H1001">
        <v>26775</v>
      </c>
      <c r="I1001">
        <v>6775</v>
      </c>
      <c r="J1001" t="s">
        <v>250</v>
      </c>
      <c r="K1001">
        <v>6</v>
      </c>
      <c r="L1001" t="s">
        <v>24</v>
      </c>
      <c r="M1001" t="s">
        <v>29</v>
      </c>
    </row>
    <row r="1002" spans="1:13">
      <c r="A1002" t="s">
        <v>361</v>
      </c>
      <c r="B1002" t="s">
        <v>72</v>
      </c>
      <c r="C1002" t="s">
        <v>67</v>
      </c>
      <c r="D1002" t="s">
        <v>2309</v>
      </c>
      <c r="E1002">
        <v>1</v>
      </c>
      <c r="F1002" t="s">
        <v>2310</v>
      </c>
      <c r="G1002" s="10">
        <v>45159</v>
      </c>
      <c r="H1002">
        <v>26775</v>
      </c>
      <c r="I1002">
        <v>6775</v>
      </c>
      <c r="J1002" t="s">
        <v>250</v>
      </c>
      <c r="K1002">
        <v>6</v>
      </c>
      <c r="L1002" t="s">
        <v>24</v>
      </c>
      <c r="M1002" t="s">
        <v>29</v>
      </c>
    </row>
    <row r="1003" spans="1:13">
      <c r="A1003" t="s">
        <v>361</v>
      </c>
      <c r="B1003" t="s">
        <v>72</v>
      </c>
      <c r="C1003" t="s">
        <v>67</v>
      </c>
      <c r="D1003" t="s">
        <v>2311</v>
      </c>
      <c r="E1003">
        <v>1</v>
      </c>
      <c r="F1003" t="s">
        <v>2312</v>
      </c>
      <c r="G1003" s="10">
        <v>45159</v>
      </c>
      <c r="H1003">
        <v>26775</v>
      </c>
      <c r="I1003">
        <v>6775</v>
      </c>
      <c r="J1003" t="s">
        <v>250</v>
      </c>
      <c r="K1003">
        <v>6</v>
      </c>
      <c r="L1003" t="s">
        <v>24</v>
      </c>
      <c r="M1003" t="s">
        <v>29</v>
      </c>
    </row>
    <row r="1004" spans="1:13">
      <c r="A1004" t="s">
        <v>81</v>
      </c>
      <c r="B1004" t="s">
        <v>82</v>
      </c>
      <c r="C1004" t="s">
        <v>28</v>
      </c>
      <c r="D1004" t="s">
        <v>2313</v>
      </c>
      <c r="E1004">
        <v>2</v>
      </c>
      <c r="F1004" t="s">
        <v>2314</v>
      </c>
      <c r="G1004" s="10">
        <v>45138</v>
      </c>
      <c r="H1004">
        <v>67200</v>
      </c>
      <c r="I1004">
        <v>21367</v>
      </c>
      <c r="J1004" t="s">
        <v>834</v>
      </c>
      <c r="K1004">
        <v>5</v>
      </c>
      <c r="L1004" t="s">
        <v>37</v>
      </c>
      <c r="M1004" t="s">
        <v>25</v>
      </c>
    </row>
    <row r="1005" spans="1:13">
      <c r="A1005" t="s">
        <v>133</v>
      </c>
      <c r="B1005" t="s">
        <v>82</v>
      </c>
      <c r="C1005" t="s">
        <v>28</v>
      </c>
      <c r="D1005" t="s">
        <v>2315</v>
      </c>
      <c r="E1005">
        <v>2</v>
      </c>
      <c r="F1005" t="s">
        <v>2316</v>
      </c>
      <c r="G1005" s="10">
        <v>45127</v>
      </c>
      <c r="H1005">
        <v>102241.44</v>
      </c>
      <c r="I1005">
        <v>14741.44</v>
      </c>
      <c r="J1005" t="s">
        <v>126</v>
      </c>
      <c r="K1005">
        <v>5</v>
      </c>
      <c r="L1005" t="s">
        <v>24</v>
      </c>
      <c r="M1005" t="s">
        <v>26</v>
      </c>
    </row>
    <row r="1006" spans="1:13">
      <c r="A1006" t="s">
        <v>140</v>
      </c>
      <c r="B1006" t="s">
        <v>141</v>
      </c>
      <c r="C1006" t="s">
        <v>67</v>
      </c>
      <c r="D1006" t="s">
        <v>2317</v>
      </c>
      <c r="E1006">
        <v>1</v>
      </c>
      <c r="F1006" t="s">
        <v>2318</v>
      </c>
      <c r="G1006" s="10">
        <v>45159</v>
      </c>
      <c r="H1006">
        <v>26775</v>
      </c>
      <c r="I1006">
        <v>6775</v>
      </c>
      <c r="J1006" t="s">
        <v>250</v>
      </c>
      <c r="K1006">
        <v>6</v>
      </c>
      <c r="L1006" t="s">
        <v>24</v>
      </c>
      <c r="M1006" t="s">
        <v>29</v>
      </c>
    </row>
    <row r="1007" spans="1:13">
      <c r="A1007" t="s">
        <v>275</v>
      </c>
      <c r="B1007" t="s">
        <v>160</v>
      </c>
      <c r="C1007" t="s">
        <v>67</v>
      </c>
      <c r="D1007" t="s">
        <v>2319</v>
      </c>
      <c r="E1007">
        <v>2</v>
      </c>
      <c r="F1007" t="s">
        <v>2320</v>
      </c>
      <c r="G1007" s="10">
        <v>45139</v>
      </c>
      <c r="H1007">
        <v>43200</v>
      </c>
      <c r="I1007">
        <v>7200</v>
      </c>
      <c r="J1007" t="s">
        <v>163</v>
      </c>
      <c r="K1007">
        <v>6</v>
      </c>
      <c r="L1007" t="s">
        <v>35</v>
      </c>
      <c r="M1007" t="s">
        <v>27</v>
      </c>
    </row>
    <row r="1008" spans="1:13">
      <c r="A1008" t="s">
        <v>2321</v>
      </c>
      <c r="B1008" t="s">
        <v>916</v>
      </c>
      <c r="C1008" t="s">
        <v>51</v>
      </c>
      <c r="D1008" t="s">
        <v>2322</v>
      </c>
      <c r="E1008">
        <v>2</v>
      </c>
      <c r="F1008" t="s">
        <v>2323</v>
      </c>
      <c r="G1008" s="10">
        <v>45264</v>
      </c>
      <c r="H1008">
        <v>104166.67</v>
      </c>
      <c r="I1008">
        <v>20833.669999999998</v>
      </c>
      <c r="J1008" t="s">
        <v>2324</v>
      </c>
      <c r="K1008">
        <v>5</v>
      </c>
      <c r="L1008" t="s">
        <v>50</v>
      </c>
      <c r="M1008" s="5" t="s">
        <v>51</v>
      </c>
    </row>
    <row r="1009" spans="1:13">
      <c r="A1009" t="s">
        <v>969</v>
      </c>
      <c r="B1009" t="s">
        <v>93</v>
      </c>
      <c r="C1009" t="s">
        <v>94</v>
      </c>
      <c r="D1009" t="s">
        <v>2325</v>
      </c>
      <c r="E1009">
        <v>2</v>
      </c>
      <c r="F1009" t="s">
        <v>2326</v>
      </c>
      <c r="G1009" s="10">
        <v>45138</v>
      </c>
      <c r="H1009">
        <v>170100</v>
      </c>
      <c r="I1009">
        <v>61766.67</v>
      </c>
      <c r="J1009" t="s">
        <v>97</v>
      </c>
      <c r="K1009">
        <v>6</v>
      </c>
      <c r="L1009" t="s">
        <v>41</v>
      </c>
      <c r="M1009" t="s">
        <v>42</v>
      </c>
    </row>
    <row r="1010" spans="1:13">
      <c r="A1010" t="s">
        <v>2321</v>
      </c>
      <c r="B1010" t="s">
        <v>916</v>
      </c>
      <c r="C1010" t="s">
        <v>51</v>
      </c>
      <c r="D1010" t="s">
        <v>2327</v>
      </c>
      <c r="E1010">
        <v>2</v>
      </c>
      <c r="F1010" t="s">
        <v>2328</v>
      </c>
      <c r="G1010" s="10">
        <v>45341</v>
      </c>
      <c r="H1010">
        <v>97500</v>
      </c>
      <c r="I1010">
        <v>22500</v>
      </c>
      <c r="J1010" t="s">
        <v>2324</v>
      </c>
      <c r="K1010">
        <v>5</v>
      </c>
      <c r="L1010" t="s">
        <v>50</v>
      </c>
      <c r="M1010" s="5" t="s">
        <v>51</v>
      </c>
    </row>
    <row r="1011" spans="1:13">
      <c r="A1011" t="s">
        <v>379</v>
      </c>
      <c r="B1011" t="s">
        <v>179</v>
      </c>
      <c r="C1011" t="s">
        <v>45</v>
      </c>
      <c r="D1011" t="s">
        <v>2329</v>
      </c>
      <c r="E1011">
        <v>2</v>
      </c>
      <c r="F1011" t="s">
        <v>2330</v>
      </c>
      <c r="G1011" s="10">
        <v>45135</v>
      </c>
      <c r="H1011">
        <v>268800</v>
      </c>
      <c r="I1011">
        <v>110467</v>
      </c>
      <c r="J1011" t="s">
        <v>189</v>
      </c>
      <c r="K1011">
        <v>6</v>
      </c>
      <c r="L1011" t="s">
        <v>44</v>
      </c>
      <c r="M1011" t="s">
        <v>45</v>
      </c>
    </row>
    <row r="1012" spans="1:13">
      <c r="A1012" t="s">
        <v>65</v>
      </c>
      <c r="B1012" t="s">
        <v>66</v>
      </c>
      <c r="C1012" t="s">
        <v>67</v>
      </c>
      <c r="D1012" t="s">
        <v>2331</v>
      </c>
      <c r="E1012">
        <v>6</v>
      </c>
      <c r="F1012" t="s">
        <v>2332</v>
      </c>
      <c r="G1012" s="10">
        <v>45128</v>
      </c>
      <c r="H1012">
        <v>34375</v>
      </c>
      <c r="I1012">
        <v>6875</v>
      </c>
      <c r="J1012" t="s">
        <v>70</v>
      </c>
      <c r="K1012">
        <v>5</v>
      </c>
      <c r="L1012" t="s">
        <v>35</v>
      </c>
      <c r="M1012" t="s">
        <v>36</v>
      </c>
    </row>
    <row r="1013" spans="1:13">
      <c r="A1013" t="s">
        <v>194</v>
      </c>
      <c r="B1013" t="s">
        <v>160</v>
      </c>
      <c r="C1013" t="s">
        <v>67</v>
      </c>
      <c r="D1013" t="s">
        <v>2333</v>
      </c>
      <c r="E1013">
        <v>2</v>
      </c>
      <c r="F1013" t="s">
        <v>2334</v>
      </c>
      <c r="G1013" s="10">
        <v>45170</v>
      </c>
      <c r="H1013">
        <v>32500</v>
      </c>
      <c r="I1013">
        <v>7500</v>
      </c>
      <c r="J1013" t="s">
        <v>163</v>
      </c>
      <c r="K1013">
        <v>6</v>
      </c>
      <c r="L1013" t="s">
        <v>35</v>
      </c>
      <c r="M1013" t="s">
        <v>27</v>
      </c>
    </row>
    <row r="1014" spans="1:13">
      <c r="A1014" t="s">
        <v>522</v>
      </c>
      <c r="B1014" t="s">
        <v>72</v>
      </c>
      <c r="C1014" t="s">
        <v>67</v>
      </c>
      <c r="D1014" t="s">
        <v>2335</v>
      </c>
      <c r="E1014">
        <v>1</v>
      </c>
      <c r="F1014" t="s">
        <v>2336</v>
      </c>
      <c r="G1014" s="10">
        <v>45145</v>
      </c>
      <c r="H1014">
        <v>72292.5</v>
      </c>
      <c r="I1014">
        <v>9792.5</v>
      </c>
      <c r="J1014" t="s">
        <v>250</v>
      </c>
      <c r="K1014">
        <v>6</v>
      </c>
      <c r="L1014" t="s">
        <v>24</v>
      </c>
      <c r="M1014" t="s">
        <v>29</v>
      </c>
    </row>
    <row r="1015" spans="1:13">
      <c r="A1015" t="s">
        <v>602</v>
      </c>
      <c r="B1015" t="s">
        <v>224</v>
      </c>
      <c r="C1015" t="s">
        <v>94</v>
      </c>
      <c r="D1015" t="s">
        <v>2337</v>
      </c>
      <c r="E1015">
        <v>2</v>
      </c>
      <c r="F1015" t="s">
        <v>2338</v>
      </c>
      <c r="G1015" s="10">
        <v>45132</v>
      </c>
      <c r="H1015">
        <v>26000</v>
      </c>
      <c r="I1015">
        <v>1000</v>
      </c>
      <c r="J1015" t="s">
        <v>227</v>
      </c>
      <c r="K1015">
        <v>6</v>
      </c>
      <c r="L1015" t="s">
        <v>41</v>
      </c>
      <c r="M1015" t="s">
        <v>42</v>
      </c>
    </row>
    <row r="1016" spans="1:13">
      <c r="A1016" t="s">
        <v>200</v>
      </c>
      <c r="B1016" t="s">
        <v>179</v>
      </c>
      <c r="C1016" t="s">
        <v>45</v>
      </c>
      <c r="D1016" t="s">
        <v>2339</v>
      </c>
      <c r="E1016">
        <v>2</v>
      </c>
      <c r="F1016" t="s">
        <v>2340</v>
      </c>
      <c r="G1016" s="10">
        <v>45138</v>
      </c>
      <c r="H1016">
        <v>160000</v>
      </c>
      <c r="I1016">
        <v>110000</v>
      </c>
      <c r="J1016" t="s">
        <v>2341</v>
      </c>
      <c r="K1016">
        <v>6</v>
      </c>
      <c r="L1016" t="s">
        <v>44</v>
      </c>
      <c r="M1016" t="s">
        <v>48</v>
      </c>
    </row>
    <row r="1017" spans="1:13">
      <c r="A1017" t="s">
        <v>1817</v>
      </c>
      <c r="B1017" t="s">
        <v>224</v>
      </c>
      <c r="C1017" t="s">
        <v>94</v>
      </c>
      <c r="D1017" t="s">
        <v>2342</v>
      </c>
      <c r="E1017">
        <v>2</v>
      </c>
      <c r="F1017" t="s">
        <v>2343</v>
      </c>
      <c r="G1017" s="10">
        <v>45135</v>
      </c>
      <c r="H1017">
        <v>70000</v>
      </c>
      <c r="I1017">
        <v>14000</v>
      </c>
      <c r="J1017" t="s">
        <v>227</v>
      </c>
      <c r="K1017">
        <v>5</v>
      </c>
      <c r="L1017" t="s">
        <v>41</v>
      </c>
      <c r="M1017" t="s">
        <v>42</v>
      </c>
    </row>
    <row r="1018" spans="1:13">
      <c r="A1018" t="s">
        <v>223</v>
      </c>
      <c r="B1018" t="s">
        <v>224</v>
      </c>
      <c r="C1018" t="s">
        <v>94</v>
      </c>
      <c r="D1018" t="s">
        <v>2344</v>
      </c>
      <c r="E1018">
        <v>2</v>
      </c>
      <c r="F1018" t="s">
        <v>2345</v>
      </c>
      <c r="G1018" s="10">
        <v>45135</v>
      </c>
      <c r="H1018">
        <v>30000</v>
      </c>
      <c r="I1018">
        <v>5000</v>
      </c>
      <c r="J1018" t="s">
        <v>227</v>
      </c>
      <c r="K1018">
        <v>5</v>
      </c>
      <c r="L1018" t="s">
        <v>41</v>
      </c>
      <c r="M1018" t="s">
        <v>42</v>
      </c>
    </row>
    <row r="1019" spans="1:13">
      <c r="A1019" t="s">
        <v>1817</v>
      </c>
      <c r="B1019" t="s">
        <v>224</v>
      </c>
      <c r="C1019" t="s">
        <v>94</v>
      </c>
      <c r="D1019" t="s">
        <v>2346</v>
      </c>
      <c r="E1019">
        <v>2</v>
      </c>
      <c r="F1019" t="s">
        <v>2347</v>
      </c>
      <c r="G1019" s="10">
        <v>45135</v>
      </c>
      <c r="H1019">
        <v>100000</v>
      </c>
      <c r="I1019">
        <v>4167</v>
      </c>
      <c r="J1019" t="s">
        <v>227</v>
      </c>
      <c r="K1019">
        <v>5</v>
      </c>
      <c r="L1019" t="s">
        <v>41</v>
      </c>
      <c r="M1019" t="s">
        <v>42</v>
      </c>
    </row>
    <row r="1020" spans="1:13">
      <c r="A1020" t="s">
        <v>159</v>
      </c>
      <c r="B1020" t="s">
        <v>160</v>
      </c>
      <c r="C1020" t="s">
        <v>67</v>
      </c>
      <c r="D1020" t="s">
        <v>2348</v>
      </c>
      <c r="E1020">
        <v>2</v>
      </c>
      <c r="F1020" t="s">
        <v>2349</v>
      </c>
      <c r="G1020" s="10">
        <v>45170</v>
      </c>
      <c r="H1020">
        <v>36000</v>
      </c>
      <c r="I1020">
        <v>6000</v>
      </c>
      <c r="J1020" t="s">
        <v>163</v>
      </c>
      <c r="K1020">
        <v>6</v>
      </c>
      <c r="L1020" t="s">
        <v>35</v>
      </c>
      <c r="M1020" t="s">
        <v>27</v>
      </c>
    </row>
    <row r="1021" spans="1:13">
      <c r="A1021" t="s">
        <v>71</v>
      </c>
      <c r="B1021" t="s">
        <v>72</v>
      </c>
      <c r="C1021" t="s">
        <v>67</v>
      </c>
      <c r="D1021" t="s">
        <v>2350</v>
      </c>
      <c r="E1021">
        <v>1</v>
      </c>
      <c r="F1021" t="s">
        <v>2351</v>
      </c>
      <c r="G1021" s="10">
        <v>45159</v>
      </c>
      <c r="H1021">
        <v>26775</v>
      </c>
      <c r="I1021">
        <v>6775</v>
      </c>
      <c r="J1021" t="s">
        <v>250</v>
      </c>
      <c r="K1021">
        <v>6</v>
      </c>
      <c r="L1021" t="s">
        <v>24</v>
      </c>
      <c r="M1021" t="s">
        <v>29</v>
      </c>
    </row>
    <row r="1022" spans="1:13">
      <c r="A1022" t="s">
        <v>71</v>
      </c>
      <c r="B1022" t="s">
        <v>72</v>
      </c>
      <c r="C1022" t="s">
        <v>67</v>
      </c>
      <c r="D1022" t="s">
        <v>2352</v>
      </c>
      <c r="E1022">
        <v>1</v>
      </c>
      <c r="F1022" t="s">
        <v>2353</v>
      </c>
      <c r="G1022" s="10">
        <v>45159</v>
      </c>
      <c r="H1022">
        <v>26775</v>
      </c>
      <c r="I1022">
        <v>6775</v>
      </c>
      <c r="J1022" t="s">
        <v>250</v>
      </c>
      <c r="K1022">
        <v>6</v>
      </c>
      <c r="L1022" t="s">
        <v>24</v>
      </c>
      <c r="M1022" t="s">
        <v>29</v>
      </c>
    </row>
    <row r="1023" spans="1:13">
      <c r="A1023" t="s">
        <v>522</v>
      </c>
      <c r="B1023" t="s">
        <v>72</v>
      </c>
      <c r="C1023" t="s">
        <v>67</v>
      </c>
      <c r="D1023" t="s">
        <v>2354</v>
      </c>
      <c r="E1023">
        <v>1</v>
      </c>
      <c r="F1023" t="s">
        <v>2355</v>
      </c>
      <c r="G1023" s="10">
        <v>45170</v>
      </c>
      <c r="H1023">
        <v>32130</v>
      </c>
      <c r="I1023">
        <v>12130</v>
      </c>
      <c r="J1023" t="s">
        <v>250</v>
      </c>
      <c r="K1023">
        <v>6</v>
      </c>
      <c r="L1023" t="s">
        <v>24</v>
      </c>
      <c r="M1023" t="s">
        <v>29</v>
      </c>
    </row>
    <row r="1024" spans="1:13">
      <c r="A1024" t="s">
        <v>71</v>
      </c>
      <c r="B1024" t="s">
        <v>72</v>
      </c>
      <c r="C1024" t="s">
        <v>67</v>
      </c>
      <c r="D1024" t="s">
        <v>2356</v>
      </c>
      <c r="E1024">
        <v>1</v>
      </c>
      <c r="F1024" t="s">
        <v>2357</v>
      </c>
      <c r="G1024" s="10">
        <v>45159</v>
      </c>
      <c r="H1024">
        <v>26775</v>
      </c>
      <c r="I1024">
        <v>6775</v>
      </c>
      <c r="J1024" t="s">
        <v>250</v>
      </c>
      <c r="K1024">
        <v>6</v>
      </c>
      <c r="L1024" t="s">
        <v>24</v>
      </c>
      <c r="M1024" t="s">
        <v>29</v>
      </c>
    </row>
    <row r="1025" spans="1:13">
      <c r="A1025" t="s">
        <v>71</v>
      </c>
      <c r="B1025" t="s">
        <v>72</v>
      </c>
      <c r="C1025" t="s">
        <v>67</v>
      </c>
      <c r="D1025" t="s">
        <v>2358</v>
      </c>
      <c r="E1025">
        <v>1</v>
      </c>
      <c r="F1025" t="s">
        <v>2359</v>
      </c>
      <c r="G1025" s="10">
        <v>45159</v>
      </c>
      <c r="H1025">
        <v>26775</v>
      </c>
      <c r="I1025">
        <v>6775</v>
      </c>
      <c r="J1025" t="s">
        <v>250</v>
      </c>
      <c r="K1025">
        <v>6</v>
      </c>
      <c r="L1025" t="s">
        <v>24</v>
      </c>
      <c r="M1025" t="s">
        <v>29</v>
      </c>
    </row>
    <row r="1026" spans="1:13">
      <c r="A1026" t="s">
        <v>2360</v>
      </c>
      <c r="B1026" t="s">
        <v>43</v>
      </c>
      <c r="C1026" t="s">
        <v>94</v>
      </c>
      <c r="D1026" t="s">
        <v>2361</v>
      </c>
      <c r="E1026">
        <v>1</v>
      </c>
      <c r="F1026" t="s">
        <v>2362</v>
      </c>
      <c r="G1026" s="10">
        <v>45159</v>
      </c>
      <c r="H1026">
        <v>26775</v>
      </c>
      <c r="I1026">
        <v>6775</v>
      </c>
      <c r="J1026" t="s">
        <v>441</v>
      </c>
      <c r="K1026">
        <v>6</v>
      </c>
      <c r="L1026" t="s">
        <v>24</v>
      </c>
      <c r="M1026" t="s">
        <v>29</v>
      </c>
    </row>
    <row r="1027" spans="1:13">
      <c r="A1027" t="s">
        <v>136</v>
      </c>
      <c r="B1027" t="s">
        <v>117</v>
      </c>
      <c r="C1027" t="s">
        <v>137</v>
      </c>
      <c r="D1027" t="s">
        <v>2363</v>
      </c>
      <c r="E1027">
        <v>1</v>
      </c>
      <c r="F1027" t="s">
        <v>2364</v>
      </c>
      <c r="G1027" s="10">
        <v>45139</v>
      </c>
      <c r="H1027">
        <v>113300.49</v>
      </c>
      <c r="I1027">
        <v>13300.49</v>
      </c>
      <c r="J1027" t="s">
        <v>121</v>
      </c>
      <c r="K1027">
        <v>6</v>
      </c>
      <c r="L1027" t="s">
        <v>24</v>
      </c>
      <c r="M1027" t="s">
        <v>30</v>
      </c>
    </row>
    <row r="1028" spans="1:13">
      <c r="A1028" t="s">
        <v>522</v>
      </c>
      <c r="B1028" t="s">
        <v>72</v>
      </c>
      <c r="C1028" t="s">
        <v>67</v>
      </c>
      <c r="D1028" t="s">
        <v>2365</v>
      </c>
      <c r="E1028">
        <v>1</v>
      </c>
      <c r="F1028" t="s">
        <v>2366</v>
      </c>
      <c r="G1028" s="10">
        <v>45139</v>
      </c>
      <c r="H1028">
        <v>32130</v>
      </c>
      <c r="I1028">
        <v>12130</v>
      </c>
      <c r="J1028" t="s">
        <v>250</v>
      </c>
      <c r="K1028">
        <v>6</v>
      </c>
      <c r="L1028" t="s">
        <v>24</v>
      </c>
      <c r="M1028" t="s">
        <v>29</v>
      </c>
    </row>
    <row r="1029" spans="1:13">
      <c r="A1029" t="s">
        <v>2367</v>
      </c>
      <c r="B1029" t="s">
        <v>118</v>
      </c>
      <c r="C1029" t="s">
        <v>98</v>
      </c>
      <c r="D1029" t="s">
        <v>2368</v>
      </c>
      <c r="E1029">
        <v>1</v>
      </c>
      <c r="F1029" t="s">
        <v>2369</v>
      </c>
      <c r="G1029" s="10">
        <v>45133</v>
      </c>
      <c r="H1029">
        <v>315270</v>
      </c>
      <c r="I1029">
        <v>131937</v>
      </c>
      <c r="J1029" t="s">
        <v>121</v>
      </c>
      <c r="K1029">
        <v>6</v>
      </c>
      <c r="L1029" t="s">
        <v>24</v>
      </c>
      <c r="M1029" t="s">
        <v>30</v>
      </c>
    </row>
    <row r="1030" spans="1:13">
      <c r="A1030" t="s">
        <v>76</v>
      </c>
      <c r="B1030" t="s">
        <v>72</v>
      </c>
      <c r="C1030" t="s">
        <v>67</v>
      </c>
      <c r="D1030" t="s">
        <v>2370</v>
      </c>
      <c r="E1030">
        <v>1</v>
      </c>
      <c r="F1030" t="s">
        <v>2371</v>
      </c>
      <c r="G1030" s="10">
        <v>45159</v>
      </c>
      <c r="H1030">
        <v>26775</v>
      </c>
      <c r="I1030">
        <v>6775</v>
      </c>
      <c r="J1030" t="s">
        <v>250</v>
      </c>
      <c r="K1030">
        <v>5</v>
      </c>
      <c r="L1030" t="s">
        <v>24</v>
      </c>
      <c r="M1030" t="s">
        <v>29</v>
      </c>
    </row>
    <row r="1031" spans="1:13">
      <c r="A1031" t="s">
        <v>76</v>
      </c>
      <c r="B1031" t="s">
        <v>72</v>
      </c>
      <c r="C1031" t="s">
        <v>67</v>
      </c>
      <c r="D1031" t="s">
        <v>2372</v>
      </c>
      <c r="E1031">
        <v>1</v>
      </c>
      <c r="F1031" t="s">
        <v>2373</v>
      </c>
      <c r="G1031" s="10">
        <v>45159</v>
      </c>
      <c r="H1031">
        <v>26775</v>
      </c>
      <c r="I1031">
        <v>6775</v>
      </c>
      <c r="J1031" t="s">
        <v>250</v>
      </c>
      <c r="K1031">
        <v>6</v>
      </c>
      <c r="L1031" t="s">
        <v>24</v>
      </c>
      <c r="M1031" t="s">
        <v>29</v>
      </c>
    </row>
    <row r="1032" spans="1:13">
      <c r="A1032" t="s">
        <v>65</v>
      </c>
      <c r="B1032" t="s">
        <v>66</v>
      </c>
      <c r="C1032" t="s">
        <v>67</v>
      </c>
      <c r="D1032" t="s">
        <v>2374</v>
      </c>
      <c r="E1032">
        <v>6</v>
      </c>
      <c r="F1032" t="s">
        <v>2375</v>
      </c>
      <c r="G1032" s="10">
        <v>45145</v>
      </c>
      <c r="H1032">
        <v>36600</v>
      </c>
      <c r="I1032">
        <v>6100</v>
      </c>
      <c r="J1032" t="s">
        <v>70</v>
      </c>
      <c r="K1032">
        <v>5</v>
      </c>
      <c r="L1032" t="s">
        <v>35</v>
      </c>
      <c r="M1032" t="s">
        <v>36</v>
      </c>
    </row>
    <row r="1033" spans="1:13">
      <c r="A1033" t="s">
        <v>76</v>
      </c>
      <c r="B1033" t="s">
        <v>72</v>
      </c>
      <c r="C1033" t="s">
        <v>67</v>
      </c>
      <c r="D1033" t="s">
        <v>2376</v>
      </c>
      <c r="E1033">
        <v>1</v>
      </c>
      <c r="F1033" t="s">
        <v>2377</v>
      </c>
      <c r="G1033" s="10">
        <v>45159</v>
      </c>
      <c r="H1033">
        <v>26775</v>
      </c>
      <c r="I1033">
        <v>6775</v>
      </c>
      <c r="J1033" t="s">
        <v>250</v>
      </c>
      <c r="K1033">
        <v>6</v>
      </c>
      <c r="L1033" t="s">
        <v>24</v>
      </c>
      <c r="M1033" t="s">
        <v>29</v>
      </c>
    </row>
    <row r="1034" spans="1:13">
      <c r="A1034" t="s">
        <v>512</v>
      </c>
      <c r="B1034" t="s">
        <v>513</v>
      </c>
      <c r="C1034" t="s">
        <v>1345</v>
      </c>
      <c r="D1034" t="s">
        <v>2378</v>
      </c>
      <c r="E1034">
        <v>2</v>
      </c>
      <c r="F1034" t="s">
        <v>2379</v>
      </c>
      <c r="G1034" s="10">
        <v>45131</v>
      </c>
      <c r="H1034">
        <v>108150</v>
      </c>
      <c r="I1034">
        <v>24817</v>
      </c>
      <c r="J1034" t="s">
        <v>1414</v>
      </c>
      <c r="K1034">
        <v>5</v>
      </c>
      <c r="L1034" t="s">
        <v>44</v>
      </c>
      <c r="M1034" t="s">
        <v>49</v>
      </c>
    </row>
    <row r="1035" spans="1:13">
      <c r="A1035" t="s">
        <v>2380</v>
      </c>
      <c r="B1035" t="s">
        <v>43</v>
      </c>
      <c r="C1035" t="s">
        <v>94</v>
      </c>
      <c r="D1035" t="s">
        <v>2381</v>
      </c>
      <c r="E1035">
        <v>1</v>
      </c>
      <c r="F1035" t="s">
        <v>2382</v>
      </c>
      <c r="G1035" s="10">
        <v>45159</v>
      </c>
      <c r="H1035">
        <v>26775</v>
      </c>
      <c r="I1035">
        <v>6775</v>
      </c>
      <c r="J1035" t="s">
        <v>441</v>
      </c>
      <c r="K1035">
        <v>6</v>
      </c>
      <c r="L1035" t="s">
        <v>24</v>
      </c>
      <c r="M1035" t="s">
        <v>29</v>
      </c>
    </row>
    <row r="1036" spans="1:13">
      <c r="A1036" t="s">
        <v>65</v>
      </c>
      <c r="B1036" t="s">
        <v>66</v>
      </c>
      <c r="C1036" t="s">
        <v>67</v>
      </c>
      <c r="D1036" t="s">
        <v>2383</v>
      </c>
      <c r="E1036">
        <v>6</v>
      </c>
      <c r="F1036" t="s">
        <v>2384</v>
      </c>
      <c r="G1036" s="10">
        <v>45133</v>
      </c>
      <c r="H1036">
        <v>34375</v>
      </c>
      <c r="I1036">
        <v>6875</v>
      </c>
      <c r="J1036" t="s">
        <v>70</v>
      </c>
      <c r="K1036">
        <v>5</v>
      </c>
      <c r="L1036" t="s">
        <v>35</v>
      </c>
      <c r="M1036" t="s">
        <v>36</v>
      </c>
    </row>
    <row r="1037" spans="1:13">
      <c r="A1037" t="s">
        <v>65</v>
      </c>
      <c r="B1037" t="s">
        <v>66</v>
      </c>
      <c r="C1037" t="s">
        <v>67</v>
      </c>
      <c r="D1037" t="s">
        <v>2385</v>
      </c>
      <c r="E1037">
        <v>6</v>
      </c>
      <c r="F1037" t="s">
        <v>2386</v>
      </c>
      <c r="G1037" s="10">
        <v>45133</v>
      </c>
      <c r="H1037">
        <v>34375</v>
      </c>
      <c r="I1037">
        <v>6875</v>
      </c>
      <c r="J1037" t="s">
        <v>70</v>
      </c>
      <c r="K1037">
        <v>6</v>
      </c>
      <c r="L1037" t="s">
        <v>35</v>
      </c>
      <c r="M1037" t="s">
        <v>36</v>
      </c>
    </row>
    <row r="1038" spans="1:13">
      <c r="A1038" t="s">
        <v>2360</v>
      </c>
      <c r="B1038" t="s">
        <v>43</v>
      </c>
      <c r="C1038" t="s">
        <v>94</v>
      </c>
      <c r="D1038" t="s">
        <v>2387</v>
      </c>
      <c r="E1038">
        <v>1</v>
      </c>
      <c r="F1038" t="s">
        <v>2388</v>
      </c>
      <c r="G1038" s="10">
        <v>45159</v>
      </c>
      <c r="H1038">
        <v>26775</v>
      </c>
      <c r="I1038">
        <v>6775</v>
      </c>
      <c r="J1038" t="s">
        <v>441</v>
      </c>
      <c r="K1038">
        <v>5</v>
      </c>
      <c r="L1038" t="s">
        <v>24</v>
      </c>
      <c r="M1038" t="s">
        <v>29</v>
      </c>
    </row>
    <row r="1039" spans="1:13">
      <c r="A1039" t="s">
        <v>2389</v>
      </c>
      <c r="B1039" t="s">
        <v>2267</v>
      </c>
      <c r="C1039" t="s">
        <v>94</v>
      </c>
      <c r="D1039" t="s">
        <v>2390</v>
      </c>
      <c r="E1039">
        <v>1</v>
      </c>
      <c r="F1039" t="s">
        <v>2391</v>
      </c>
      <c r="G1039" s="10">
        <v>45159</v>
      </c>
      <c r="H1039">
        <v>26775</v>
      </c>
      <c r="I1039">
        <v>6775</v>
      </c>
      <c r="J1039" t="s">
        <v>441</v>
      </c>
      <c r="K1039">
        <v>5</v>
      </c>
      <c r="L1039" t="s">
        <v>24</v>
      </c>
      <c r="M1039" t="s">
        <v>29</v>
      </c>
    </row>
    <row r="1040" spans="1:13">
      <c r="A1040" t="s">
        <v>522</v>
      </c>
      <c r="B1040" t="s">
        <v>72</v>
      </c>
      <c r="C1040" t="s">
        <v>67</v>
      </c>
      <c r="D1040" t="s">
        <v>2392</v>
      </c>
      <c r="E1040">
        <v>1</v>
      </c>
      <c r="F1040" t="s">
        <v>2393</v>
      </c>
      <c r="G1040" s="10">
        <v>45159</v>
      </c>
      <c r="H1040">
        <v>26775</v>
      </c>
      <c r="I1040">
        <v>6775</v>
      </c>
      <c r="J1040" t="s">
        <v>250</v>
      </c>
      <c r="K1040">
        <v>6</v>
      </c>
      <c r="L1040" t="s">
        <v>24</v>
      </c>
      <c r="M1040" t="s">
        <v>29</v>
      </c>
    </row>
    <row r="1041" spans="1:13">
      <c r="A1041" t="s">
        <v>522</v>
      </c>
      <c r="B1041" t="s">
        <v>72</v>
      </c>
      <c r="C1041" t="s">
        <v>67</v>
      </c>
      <c r="D1041" t="s">
        <v>2394</v>
      </c>
      <c r="E1041">
        <v>1</v>
      </c>
      <c r="F1041" t="s">
        <v>2395</v>
      </c>
      <c r="G1041" s="10">
        <v>45159</v>
      </c>
      <c r="H1041">
        <v>26775</v>
      </c>
      <c r="I1041">
        <v>6775</v>
      </c>
      <c r="J1041" t="s">
        <v>250</v>
      </c>
      <c r="K1041">
        <v>5</v>
      </c>
      <c r="L1041" t="s">
        <v>24</v>
      </c>
      <c r="M1041" t="s">
        <v>29</v>
      </c>
    </row>
    <row r="1042" spans="1:13">
      <c r="A1042" t="s">
        <v>175</v>
      </c>
      <c r="B1042" t="s">
        <v>66</v>
      </c>
      <c r="C1042" t="s">
        <v>67</v>
      </c>
      <c r="D1042" t="s">
        <v>2396</v>
      </c>
      <c r="E1042">
        <v>6</v>
      </c>
      <c r="F1042" t="s">
        <v>2397</v>
      </c>
      <c r="G1042" s="10">
        <v>45133</v>
      </c>
      <c r="H1042">
        <v>34375</v>
      </c>
      <c r="I1042">
        <v>6875</v>
      </c>
      <c r="J1042" t="s">
        <v>70</v>
      </c>
      <c r="K1042">
        <v>5</v>
      </c>
      <c r="L1042" t="s">
        <v>35</v>
      </c>
      <c r="M1042" t="s">
        <v>36</v>
      </c>
    </row>
    <row r="1043" spans="1:13">
      <c r="A1043" t="s">
        <v>376</v>
      </c>
      <c r="B1043" t="s">
        <v>66</v>
      </c>
      <c r="C1043" t="s">
        <v>67</v>
      </c>
      <c r="D1043" t="s">
        <v>2398</v>
      </c>
      <c r="E1043">
        <v>6</v>
      </c>
      <c r="F1043" t="s">
        <v>2399</v>
      </c>
      <c r="G1043" s="10">
        <v>45133</v>
      </c>
      <c r="H1043">
        <v>34375</v>
      </c>
      <c r="I1043">
        <v>6875</v>
      </c>
      <c r="J1043" t="s">
        <v>70</v>
      </c>
      <c r="K1043">
        <v>6</v>
      </c>
      <c r="L1043" t="s">
        <v>35</v>
      </c>
      <c r="M1043" t="s">
        <v>36</v>
      </c>
    </row>
    <row r="1044" spans="1:13">
      <c r="A1044" t="s">
        <v>1868</v>
      </c>
      <c r="B1044" t="s">
        <v>66</v>
      </c>
      <c r="C1044" t="s">
        <v>67</v>
      </c>
      <c r="D1044" t="s">
        <v>2400</v>
      </c>
      <c r="E1044">
        <v>6</v>
      </c>
      <c r="F1044" t="s">
        <v>2401</v>
      </c>
      <c r="G1044" s="10">
        <v>45133</v>
      </c>
      <c r="H1044">
        <v>34375</v>
      </c>
      <c r="I1044">
        <v>6875</v>
      </c>
      <c r="J1044" t="s">
        <v>70</v>
      </c>
      <c r="K1044">
        <v>5</v>
      </c>
      <c r="L1044" t="s">
        <v>35</v>
      </c>
      <c r="M1044" t="s">
        <v>36</v>
      </c>
    </row>
    <row r="1045" spans="1:13">
      <c r="A1045" t="s">
        <v>2141</v>
      </c>
      <c r="B1045" t="s">
        <v>66</v>
      </c>
      <c r="C1045" t="s">
        <v>67</v>
      </c>
      <c r="D1045" t="s">
        <v>2402</v>
      </c>
      <c r="E1045">
        <v>6</v>
      </c>
      <c r="F1045" t="s">
        <v>2403</v>
      </c>
      <c r="G1045" s="10">
        <v>45133</v>
      </c>
      <c r="H1045">
        <v>34375</v>
      </c>
      <c r="I1045">
        <v>6875</v>
      </c>
      <c r="J1045" t="s">
        <v>70</v>
      </c>
      <c r="K1045">
        <v>5</v>
      </c>
      <c r="L1045" t="s">
        <v>35</v>
      </c>
      <c r="M1045" t="s">
        <v>36</v>
      </c>
    </row>
    <row r="1046" spans="1:13">
      <c r="A1046" t="s">
        <v>522</v>
      </c>
      <c r="B1046" t="s">
        <v>72</v>
      </c>
      <c r="C1046" t="s">
        <v>67</v>
      </c>
      <c r="D1046" t="s">
        <v>2404</v>
      </c>
      <c r="E1046">
        <v>1</v>
      </c>
      <c r="F1046" t="s">
        <v>2405</v>
      </c>
      <c r="G1046" s="10">
        <v>45159</v>
      </c>
      <c r="H1046">
        <v>26775</v>
      </c>
      <c r="I1046">
        <v>6775</v>
      </c>
      <c r="J1046" t="s">
        <v>250</v>
      </c>
      <c r="K1046">
        <v>6</v>
      </c>
      <c r="L1046" t="s">
        <v>24</v>
      </c>
      <c r="M1046" t="s">
        <v>29</v>
      </c>
    </row>
    <row r="1047" spans="1:13">
      <c r="A1047" t="s">
        <v>431</v>
      </c>
      <c r="B1047" t="s">
        <v>160</v>
      </c>
      <c r="C1047" t="s">
        <v>67</v>
      </c>
      <c r="D1047" t="s">
        <v>2406</v>
      </c>
      <c r="E1047">
        <v>1</v>
      </c>
      <c r="F1047" t="s">
        <v>2407</v>
      </c>
      <c r="G1047" s="10">
        <v>45159</v>
      </c>
      <c r="H1047">
        <v>26775</v>
      </c>
      <c r="I1047">
        <v>6775</v>
      </c>
      <c r="J1047" t="s">
        <v>250</v>
      </c>
      <c r="K1047">
        <v>6</v>
      </c>
      <c r="L1047" t="s">
        <v>24</v>
      </c>
      <c r="M1047" t="s">
        <v>29</v>
      </c>
    </row>
    <row r="1048" spans="1:13">
      <c r="A1048" t="s">
        <v>376</v>
      </c>
      <c r="B1048" t="s">
        <v>66</v>
      </c>
      <c r="C1048" t="s">
        <v>67</v>
      </c>
      <c r="D1048" t="s">
        <v>2408</v>
      </c>
      <c r="E1048">
        <v>6</v>
      </c>
      <c r="F1048" t="s">
        <v>2409</v>
      </c>
      <c r="G1048" s="10">
        <v>45133</v>
      </c>
      <c r="H1048">
        <v>34375</v>
      </c>
      <c r="I1048">
        <v>6875</v>
      </c>
      <c r="J1048" t="s">
        <v>70</v>
      </c>
      <c r="K1048">
        <v>5</v>
      </c>
      <c r="L1048" t="s">
        <v>35</v>
      </c>
      <c r="M1048" t="s">
        <v>36</v>
      </c>
    </row>
    <row r="1049" spans="1:13">
      <c r="A1049" t="s">
        <v>628</v>
      </c>
      <c r="B1049" t="s">
        <v>66</v>
      </c>
      <c r="C1049" t="s">
        <v>67</v>
      </c>
      <c r="D1049" t="s">
        <v>2410</v>
      </c>
      <c r="E1049">
        <v>6</v>
      </c>
      <c r="F1049" t="s">
        <v>2411</v>
      </c>
      <c r="G1049" s="10">
        <v>45133</v>
      </c>
      <c r="H1049">
        <v>34375</v>
      </c>
      <c r="I1049">
        <v>6875</v>
      </c>
      <c r="J1049" t="s">
        <v>70</v>
      </c>
      <c r="K1049">
        <v>6</v>
      </c>
      <c r="L1049" t="s">
        <v>35</v>
      </c>
      <c r="M1049" t="s">
        <v>36</v>
      </c>
    </row>
    <row r="1050" spans="1:13">
      <c r="A1050" t="s">
        <v>266</v>
      </c>
      <c r="B1050" t="s">
        <v>160</v>
      </c>
      <c r="C1050" t="s">
        <v>67</v>
      </c>
      <c r="D1050" t="s">
        <v>2412</v>
      </c>
      <c r="E1050">
        <v>1</v>
      </c>
      <c r="F1050" t="s">
        <v>2413</v>
      </c>
      <c r="G1050" s="10">
        <v>45139</v>
      </c>
      <c r="H1050">
        <v>32130</v>
      </c>
      <c r="I1050">
        <v>12130</v>
      </c>
      <c r="J1050" t="s">
        <v>250</v>
      </c>
      <c r="K1050">
        <v>6</v>
      </c>
      <c r="L1050" t="s">
        <v>24</v>
      </c>
      <c r="M1050" t="s">
        <v>29</v>
      </c>
    </row>
    <row r="1051" spans="1:13">
      <c r="A1051" t="s">
        <v>376</v>
      </c>
      <c r="B1051" t="s">
        <v>66</v>
      </c>
      <c r="C1051" t="s">
        <v>67</v>
      </c>
      <c r="D1051" t="s">
        <v>2414</v>
      </c>
      <c r="E1051">
        <v>6</v>
      </c>
      <c r="F1051" t="s">
        <v>2415</v>
      </c>
      <c r="G1051" s="10">
        <v>45133</v>
      </c>
      <c r="H1051">
        <v>34375</v>
      </c>
      <c r="I1051">
        <v>6875</v>
      </c>
      <c r="J1051" t="s">
        <v>70</v>
      </c>
      <c r="K1051">
        <v>5</v>
      </c>
      <c r="L1051" t="s">
        <v>35</v>
      </c>
      <c r="M1051" t="s">
        <v>36</v>
      </c>
    </row>
    <row r="1052" spans="1:13">
      <c r="A1052" t="s">
        <v>261</v>
      </c>
      <c r="B1052" t="s">
        <v>160</v>
      </c>
      <c r="C1052" t="s">
        <v>67</v>
      </c>
      <c r="D1052" t="s">
        <v>2416</v>
      </c>
      <c r="E1052">
        <v>1</v>
      </c>
      <c r="F1052" t="s">
        <v>2417</v>
      </c>
      <c r="G1052" s="10">
        <v>45139</v>
      </c>
      <c r="H1052">
        <v>32130</v>
      </c>
      <c r="I1052">
        <v>12130</v>
      </c>
      <c r="J1052" t="s">
        <v>250</v>
      </c>
      <c r="K1052">
        <v>6</v>
      </c>
      <c r="L1052" t="s">
        <v>24</v>
      </c>
      <c r="M1052" t="s">
        <v>29</v>
      </c>
    </row>
    <row r="1053" spans="1:13">
      <c r="A1053" t="s">
        <v>628</v>
      </c>
      <c r="B1053" t="s">
        <v>66</v>
      </c>
      <c r="C1053" t="s">
        <v>67</v>
      </c>
      <c r="D1053" t="s">
        <v>2418</v>
      </c>
      <c r="E1053">
        <v>6</v>
      </c>
      <c r="F1053" t="s">
        <v>2419</v>
      </c>
      <c r="G1053" s="10">
        <v>45133</v>
      </c>
      <c r="H1053">
        <v>34375</v>
      </c>
      <c r="I1053">
        <v>6875</v>
      </c>
      <c r="J1053" t="s">
        <v>70</v>
      </c>
      <c r="K1053">
        <v>5</v>
      </c>
      <c r="L1053" t="s">
        <v>35</v>
      </c>
      <c r="M1053" t="s">
        <v>36</v>
      </c>
    </row>
    <row r="1054" spans="1:13">
      <c r="A1054" t="s">
        <v>522</v>
      </c>
      <c r="B1054" t="s">
        <v>72</v>
      </c>
      <c r="C1054" t="s">
        <v>67</v>
      </c>
      <c r="D1054" t="s">
        <v>2420</v>
      </c>
      <c r="E1054">
        <v>1</v>
      </c>
      <c r="F1054" t="s">
        <v>2421</v>
      </c>
      <c r="G1054" s="10">
        <v>45159</v>
      </c>
      <c r="H1054">
        <v>26775</v>
      </c>
      <c r="I1054">
        <v>6775</v>
      </c>
      <c r="J1054" t="s">
        <v>250</v>
      </c>
      <c r="K1054">
        <v>6</v>
      </c>
      <c r="L1054" t="s">
        <v>24</v>
      </c>
      <c r="M1054" t="s">
        <v>29</v>
      </c>
    </row>
    <row r="1055" spans="1:13">
      <c r="A1055" t="s">
        <v>266</v>
      </c>
      <c r="B1055" t="s">
        <v>160</v>
      </c>
      <c r="C1055" t="s">
        <v>67</v>
      </c>
      <c r="D1055" t="s">
        <v>2422</v>
      </c>
      <c r="E1055">
        <v>1</v>
      </c>
      <c r="F1055" t="s">
        <v>2423</v>
      </c>
      <c r="G1055" s="10">
        <v>45139</v>
      </c>
      <c r="H1055">
        <v>0</v>
      </c>
      <c r="I1055">
        <v>-20000</v>
      </c>
      <c r="J1055" t="s">
        <v>250</v>
      </c>
      <c r="K1055">
        <v>6</v>
      </c>
      <c r="L1055" t="s">
        <v>24</v>
      </c>
      <c r="M1055" t="s">
        <v>29</v>
      </c>
    </row>
    <row r="1056" spans="1:13">
      <c r="A1056" t="s">
        <v>522</v>
      </c>
      <c r="B1056" t="s">
        <v>72</v>
      </c>
      <c r="C1056" t="s">
        <v>67</v>
      </c>
      <c r="D1056" t="s">
        <v>2424</v>
      </c>
      <c r="E1056">
        <v>1</v>
      </c>
      <c r="F1056" t="s">
        <v>2425</v>
      </c>
      <c r="G1056" s="10">
        <v>45159</v>
      </c>
      <c r="H1056">
        <v>26775</v>
      </c>
      <c r="I1056">
        <v>6775</v>
      </c>
      <c r="J1056" t="s">
        <v>250</v>
      </c>
      <c r="K1056">
        <v>6</v>
      </c>
      <c r="L1056" t="s">
        <v>24</v>
      </c>
      <c r="M1056" t="s">
        <v>29</v>
      </c>
    </row>
    <row r="1057" spans="1:13">
      <c r="A1057" t="s">
        <v>431</v>
      </c>
      <c r="B1057" t="s">
        <v>160</v>
      </c>
      <c r="C1057" t="s">
        <v>67</v>
      </c>
      <c r="D1057" t="s">
        <v>2426</v>
      </c>
      <c r="E1057">
        <v>1</v>
      </c>
      <c r="F1057" t="s">
        <v>2427</v>
      </c>
      <c r="G1057" s="10">
        <v>45159</v>
      </c>
      <c r="H1057">
        <v>26775</v>
      </c>
      <c r="I1057">
        <v>6775</v>
      </c>
      <c r="J1057" t="s">
        <v>250</v>
      </c>
      <c r="K1057">
        <v>5</v>
      </c>
      <c r="L1057" t="s">
        <v>24</v>
      </c>
      <c r="M1057" t="s">
        <v>29</v>
      </c>
    </row>
    <row r="1058" spans="1:13">
      <c r="A1058" t="s">
        <v>522</v>
      </c>
      <c r="B1058" t="s">
        <v>72</v>
      </c>
      <c r="C1058" t="s">
        <v>67</v>
      </c>
      <c r="D1058" t="s">
        <v>2428</v>
      </c>
      <c r="E1058">
        <v>1</v>
      </c>
      <c r="F1058" t="s">
        <v>2429</v>
      </c>
      <c r="G1058" s="10">
        <v>45159</v>
      </c>
      <c r="H1058">
        <v>26775</v>
      </c>
      <c r="I1058">
        <v>6775</v>
      </c>
      <c r="J1058" t="s">
        <v>250</v>
      </c>
      <c r="K1058">
        <v>6</v>
      </c>
      <c r="L1058" t="s">
        <v>24</v>
      </c>
      <c r="M1058" t="s">
        <v>29</v>
      </c>
    </row>
    <row r="1059" spans="1:13">
      <c r="A1059" t="s">
        <v>522</v>
      </c>
      <c r="B1059" t="s">
        <v>72</v>
      </c>
      <c r="C1059" t="s">
        <v>67</v>
      </c>
      <c r="D1059" t="s">
        <v>2430</v>
      </c>
      <c r="E1059">
        <v>1</v>
      </c>
      <c r="F1059" t="s">
        <v>2431</v>
      </c>
      <c r="G1059" s="10">
        <v>45159</v>
      </c>
      <c r="H1059">
        <v>26775</v>
      </c>
      <c r="I1059">
        <v>6775</v>
      </c>
      <c r="J1059" t="s">
        <v>250</v>
      </c>
      <c r="K1059">
        <v>6</v>
      </c>
      <c r="L1059" t="s">
        <v>24</v>
      </c>
      <c r="M1059" t="s">
        <v>29</v>
      </c>
    </row>
    <row r="1060" spans="1:13">
      <c r="A1060" t="s">
        <v>522</v>
      </c>
      <c r="B1060" t="s">
        <v>72</v>
      </c>
      <c r="C1060" t="s">
        <v>67</v>
      </c>
      <c r="D1060" t="s">
        <v>2432</v>
      </c>
      <c r="E1060">
        <v>1</v>
      </c>
      <c r="F1060" t="s">
        <v>2433</v>
      </c>
      <c r="G1060" s="10">
        <v>45159</v>
      </c>
      <c r="H1060">
        <v>26775</v>
      </c>
      <c r="I1060">
        <v>6775</v>
      </c>
      <c r="J1060" t="s">
        <v>250</v>
      </c>
      <c r="K1060">
        <v>6</v>
      </c>
      <c r="L1060" t="s">
        <v>24</v>
      </c>
      <c r="M1060" t="s">
        <v>29</v>
      </c>
    </row>
    <row r="1061" spans="1:13">
      <c r="A1061" t="s">
        <v>522</v>
      </c>
      <c r="B1061" t="s">
        <v>72</v>
      </c>
      <c r="C1061" t="s">
        <v>67</v>
      </c>
      <c r="D1061" t="s">
        <v>2434</v>
      </c>
      <c r="E1061">
        <v>1</v>
      </c>
      <c r="F1061" t="s">
        <v>2435</v>
      </c>
      <c r="G1061" s="10">
        <v>45159</v>
      </c>
      <c r="H1061">
        <v>26775</v>
      </c>
      <c r="I1061">
        <v>6775</v>
      </c>
      <c r="J1061" t="s">
        <v>250</v>
      </c>
      <c r="K1061">
        <v>6</v>
      </c>
      <c r="L1061" t="s">
        <v>24</v>
      </c>
      <c r="M1061" t="s">
        <v>29</v>
      </c>
    </row>
    <row r="1062" spans="1:13">
      <c r="A1062" t="s">
        <v>522</v>
      </c>
      <c r="B1062" t="s">
        <v>72</v>
      </c>
      <c r="C1062" t="s">
        <v>67</v>
      </c>
      <c r="D1062" t="s">
        <v>2436</v>
      </c>
      <c r="E1062">
        <v>1</v>
      </c>
      <c r="F1062" t="s">
        <v>2437</v>
      </c>
      <c r="G1062" s="10">
        <v>45159</v>
      </c>
      <c r="H1062">
        <v>26775</v>
      </c>
      <c r="I1062">
        <v>6775</v>
      </c>
      <c r="J1062" t="s">
        <v>250</v>
      </c>
      <c r="K1062">
        <v>6</v>
      </c>
      <c r="L1062" t="s">
        <v>24</v>
      </c>
      <c r="M1062" t="s">
        <v>29</v>
      </c>
    </row>
    <row r="1063" spans="1:13">
      <c r="A1063" t="s">
        <v>522</v>
      </c>
      <c r="B1063" t="s">
        <v>72</v>
      </c>
      <c r="C1063" t="s">
        <v>67</v>
      </c>
      <c r="D1063" t="s">
        <v>2438</v>
      </c>
      <c r="E1063">
        <v>1</v>
      </c>
      <c r="F1063" t="s">
        <v>2439</v>
      </c>
      <c r="G1063" s="10">
        <v>45159</v>
      </c>
      <c r="H1063">
        <v>26775</v>
      </c>
      <c r="I1063">
        <v>6775</v>
      </c>
      <c r="J1063" t="s">
        <v>250</v>
      </c>
      <c r="K1063">
        <v>6</v>
      </c>
      <c r="L1063" t="s">
        <v>24</v>
      </c>
      <c r="M1063" t="s">
        <v>29</v>
      </c>
    </row>
    <row r="1064" spans="1:13">
      <c r="A1064" t="s">
        <v>190</v>
      </c>
      <c r="B1064" t="s">
        <v>160</v>
      </c>
      <c r="C1064" t="s">
        <v>67</v>
      </c>
      <c r="D1064" t="s">
        <v>2440</v>
      </c>
      <c r="E1064">
        <v>2</v>
      </c>
      <c r="F1064" t="s">
        <v>2441</v>
      </c>
      <c r="G1064" s="10">
        <v>45139</v>
      </c>
      <c r="H1064">
        <v>48000</v>
      </c>
      <c r="I1064">
        <v>8000</v>
      </c>
      <c r="J1064" t="s">
        <v>163</v>
      </c>
      <c r="K1064">
        <v>5</v>
      </c>
      <c r="L1064" t="s">
        <v>35</v>
      </c>
      <c r="M1064" t="s">
        <v>27</v>
      </c>
    </row>
    <row r="1065" spans="1:13">
      <c r="A1065" t="s">
        <v>159</v>
      </c>
      <c r="B1065" t="s">
        <v>160</v>
      </c>
      <c r="C1065" t="s">
        <v>67</v>
      </c>
      <c r="D1065" t="s">
        <v>2442</v>
      </c>
      <c r="E1065">
        <v>2</v>
      </c>
      <c r="F1065" t="s">
        <v>2443</v>
      </c>
      <c r="G1065" s="10">
        <v>45145</v>
      </c>
      <c r="H1065">
        <v>32500</v>
      </c>
      <c r="I1065">
        <v>7500</v>
      </c>
      <c r="J1065" t="s">
        <v>163</v>
      </c>
      <c r="K1065">
        <v>6</v>
      </c>
      <c r="L1065" t="s">
        <v>35</v>
      </c>
      <c r="M1065" t="s">
        <v>27</v>
      </c>
    </row>
    <row r="1066" spans="1:13">
      <c r="A1066" t="s">
        <v>170</v>
      </c>
      <c r="B1066" t="s">
        <v>66</v>
      </c>
      <c r="C1066" t="s">
        <v>67</v>
      </c>
      <c r="D1066" t="s">
        <v>2444</v>
      </c>
      <c r="E1066">
        <v>6</v>
      </c>
      <c r="F1066" t="s">
        <v>2445</v>
      </c>
      <c r="G1066" s="10">
        <v>45133</v>
      </c>
      <c r="H1066">
        <v>34375</v>
      </c>
      <c r="I1066">
        <v>6875</v>
      </c>
      <c r="J1066" t="s">
        <v>70</v>
      </c>
      <c r="K1066">
        <v>5</v>
      </c>
      <c r="L1066" t="s">
        <v>35</v>
      </c>
      <c r="M1066" t="s">
        <v>36</v>
      </c>
    </row>
    <row r="1067" spans="1:13">
      <c r="A1067" t="s">
        <v>170</v>
      </c>
      <c r="B1067" t="s">
        <v>66</v>
      </c>
      <c r="C1067" t="s">
        <v>67</v>
      </c>
      <c r="D1067" t="s">
        <v>2446</v>
      </c>
      <c r="E1067">
        <v>6</v>
      </c>
      <c r="F1067" t="s">
        <v>2447</v>
      </c>
      <c r="G1067" s="10">
        <v>45133</v>
      </c>
      <c r="H1067">
        <v>34375</v>
      </c>
      <c r="I1067">
        <v>6875</v>
      </c>
      <c r="J1067" t="s">
        <v>70</v>
      </c>
      <c r="K1067">
        <v>5</v>
      </c>
      <c r="L1067" t="s">
        <v>35</v>
      </c>
      <c r="M1067" t="s">
        <v>36</v>
      </c>
    </row>
    <row r="1068" spans="1:13">
      <c r="A1068" t="s">
        <v>522</v>
      </c>
      <c r="B1068" t="s">
        <v>72</v>
      </c>
      <c r="C1068" t="s">
        <v>67</v>
      </c>
      <c r="D1068" t="s">
        <v>2448</v>
      </c>
      <c r="E1068">
        <v>1</v>
      </c>
      <c r="F1068" t="s">
        <v>2449</v>
      </c>
      <c r="G1068" s="10">
        <v>45159</v>
      </c>
      <c r="H1068">
        <v>26775</v>
      </c>
      <c r="I1068">
        <v>6775</v>
      </c>
      <c r="J1068" t="s">
        <v>250</v>
      </c>
      <c r="K1068">
        <v>6</v>
      </c>
      <c r="L1068" t="s">
        <v>24</v>
      </c>
      <c r="M1068" t="s">
        <v>29</v>
      </c>
    </row>
    <row r="1069" spans="1:13">
      <c r="A1069" t="s">
        <v>170</v>
      </c>
      <c r="B1069" t="s">
        <v>66</v>
      </c>
      <c r="C1069" t="s">
        <v>67</v>
      </c>
      <c r="D1069" t="s">
        <v>2450</v>
      </c>
      <c r="E1069">
        <v>6</v>
      </c>
      <c r="F1069" t="s">
        <v>2451</v>
      </c>
      <c r="G1069" s="10">
        <v>45133</v>
      </c>
      <c r="H1069">
        <v>34375</v>
      </c>
      <c r="I1069">
        <v>6875</v>
      </c>
      <c r="J1069" t="s">
        <v>70</v>
      </c>
      <c r="K1069">
        <v>6</v>
      </c>
      <c r="L1069" t="s">
        <v>35</v>
      </c>
      <c r="M1069" t="s">
        <v>36</v>
      </c>
    </row>
    <row r="1070" spans="1:13">
      <c r="A1070" t="s">
        <v>170</v>
      </c>
      <c r="B1070" t="s">
        <v>66</v>
      </c>
      <c r="C1070" t="s">
        <v>67</v>
      </c>
      <c r="D1070" t="s">
        <v>2452</v>
      </c>
      <c r="E1070">
        <v>6</v>
      </c>
      <c r="F1070" t="s">
        <v>2453</v>
      </c>
      <c r="G1070" s="10">
        <v>45133</v>
      </c>
      <c r="H1070">
        <v>34375</v>
      </c>
      <c r="I1070">
        <v>6875</v>
      </c>
      <c r="J1070" t="s">
        <v>70</v>
      </c>
      <c r="K1070">
        <v>6</v>
      </c>
      <c r="L1070" t="s">
        <v>35</v>
      </c>
      <c r="M1070" t="s">
        <v>36</v>
      </c>
    </row>
    <row r="1071" spans="1:13">
      <c r="A1071" t="s">
        <v>2389</v>
      </c>
      <c r="B1071" t="s">
        <v>2267</v>
      </c>
      <c r="C1071" t="s">
        <v>94</v>
      </c>
      <c r="D1071" t="s">
        <v>2454</v>
      </c>
      <c r="E1071">
        <v>1</v>
      </c>
      <c r="F1071" t="s">
        <v>2455</v>
      </c>
      <c r="G1071" s="10">
        <v>45159</v>
      </c>
      <c r="H1071">
        <v>26775</v>
      </c>
      <c r="I1071">
        <v>6775</v>
      </c>
      <c r="J1071" t="s">
        <v>441</v>
      </c>
      <c r="K1071">
        <v>6</v>
      </c>
      <c r="L1071" t="s">
        <v>24</v>
      </c>
      <c r="M1071" t="s">
        <v>29</v>
      </c>
    </row>
    <row r="1072" spans="1:13">
      <c r="A1072" t="s">
        <v>76</v>
      </c>
      <c r="B1072" t="s">
        <v>72</v>
      </c>
      <c r="C1072" t="s">
        <v>67</v>
      </c>
      <c r="D1072" t="s">
        <v>2456</v>
      </c>
      <c r="E1072">
        <v>1</v>
      </c>
      <c r="F1072" t="s">
        <v>2457</v>
      </c>
      <c r="G1072" s="10">
        <v>45159</v>
      </c>
      <c r="H1072">
        <v>26775</v>
      </c>
      <c r="I1072">
        <v>6775</v>
      </c>
      <c r="J1072" t="s">
        <v>250</v>
      </c>
      <c r="K1072">
        <v>6</v>
      </c>
      <c r="L1072" t="s">
        <v>24</v>
      </c>
      <c r="M1072" t="s">
        <v>29</v>
      </c>
    </row>
    <row r="1073" spans="1:13">
      <c r="A1073" t="s">
        <v>2300</v>
      </c>
      <c r="B1073" t="s">
        <v>2301</v>
      </c>
      <c r="C1073" t="s">
        <v>2302</v>
      </c>
      <c r="D1073" t="s">
        <v>2458</v>
      </c>
      <c r="E1073">
        <v>1</v>
      </c>
      <c r="F1073" t="s">
        <v>2459</v>
      </c>
      <c r="G1073" s="10">
        <v>45159</v>
      </c>
      <c r="H1073">
        <v>26775</v>
      </c>
      <c r="I1073">
        <v>6775</v>
      </c>
      <c r="J1073" t="s">
        <v>441</v>
      </c>
      <c r="K1073">
        <v>6</v>
      </c>
      <c r="L1073" t="s">
        <v>24</v>
      </c>
      <c r="M1073" t="s">
        <v>29</v>
      </c>
    </row>
    <row r="1074" spans="1:13">
      <c r="A1074" t="s">
        <v>71</v>
      </c>
      <c r="B1074" t="s">
        <v>72</v>
      </c>
      <c r="C1074" t="s">
        <v>67</v>
      </c>
      <c r="D1074" t="s">
        <v>2460</v>
      </c>
      <c r="E1074">
        <v>1</v>
      </c>
      <c r="F1074" t="s">
        <v>2461</v>
      </c>
      <c r="G1074" s="10">
        <v>45159</v>
      </c>
      <c r="H1074">
        <v>26775</v>
      </c>
      <c r="I1074">
        <v>6775</v>
      </c>
      <c r="J1074" t="s">
        <v>250</v>
      </c>
      <c r="K1074">
        <v>6</v>
      </c>
      <c r="L1074" t="s">
        <v>24</v>
      </c>
      <c r="M1074" t="s">
        <v>29</v>
      </c>
    </row>
    <row r="1075" spans="1:13">
      <c r="A1075" t="s">
        <v>159</v>
      </c>
      <c r="B1075" t="s">
        <v>160</v>
      </c>
      <c r="C1075" t="s">
        <v>67</v>
      </c>
      <c r="D1075" t="s">
        <v>2462</v>
      </c>
      <c r="E1075">
        <v>2</v>
      </c>
      <c r="F1075" t="s">
        <v>2463</v>
      </c>
      <c r="G1075" s="10">
        <v>45138</v>
      </c>
      <c r="H1075">
        <v>17400</v>
      </c>
      <c r="I1075">
        <v>2400</v>
      </c>
      <c r="J1075" t="s">
        <v>193</v>
      </c>
      <c r="K1075">
        <v>5</v>
      </c>
      <c r="L1075" t="s">
        <v>35</v>
      </c>
      <c r="M1075" t="s">
        <v>27</v>
      </c>
    </row>
    <row r="1076" spans="1:13">
      <c r="A1076" t="s">
        <v>159</v>
      </c>
      <c r="B1076" t="s">
        <v>160</v>
      </c>
      <c r="C1076" t="s">
        <v>67</v>
      </c>
      <c r="D1076" t="s">
        <v>2464</v>
      </c>
      <c r="E1076">
        <v>1</v>
      </c>
      <c r="F1076" t="s">
        <v>2465</v>
      </c>
      <c r="G1076" s="10">
        <v>45194</v>
      </c>
      <c r="H1076">
        <v>26775</v>
      </c>
      <c r="I1076">
        <v>6775</v>
      </c>
      <c r="J1076" t="s">
        <v>2255</v>
      </c>
      <c r="K1076">
        <v>5</v>
      </c>
      <c r="L1076" t="s">
        <v>24</v>
      </c>
      <c r="M1076" t="s">
        <v>29</v>
      </c>
    </row>
    <row r="1077" spans="1:13">
      <c r="A1077" t="s">
        <v>71</v>
      </c>
      <c r="B1077" t="s">
        <v>72</v>
      </c>
      <c r="C1077" t="s">
        <v>67</v>
      </c>
      <c r="D1077" t="s">
        <v>2466</v>
      </c>
      <c r="E1077">
        <v>1</v>
      </c>
      <c r="F1077" t="s">
        <v>2467</v>
      </c>
      <c r="G1077" s="10">
        <v>45159</v>
      </c>
      <c r="H1077">
        <v>26775</v>
      </c>
      <c r="I1077">
        <v>6775</v>
      </c>
      <c r="J1077" t="s">
        <v>250</v>
      </c>
      <c r="K1077">
        <v>6</v>
      </c>
      <c r="L1077" t="s">
        <v>24</v>
      </c>
      <c r="M1077" t="s">
        <v>29</v>
      </c>
    </row>
    <row r="1078" spans="1:13">
      <c r="A1078" t="s">
        <v>319</v>
      </c>
      <c r="B1078" t="s">
        <v>179</v>
      </c>
      <c r="C1078" t="s">
        <v>45</v>
      </c>
      <c r="D1078" t="s">
        <v>2468</v>
      </c>
      <c r="E1078">
        <v>2</v>
      </c>
      <c r="F1078" t="s">
        <v>2469</v>
      </c>
      <c r="G1078" s="10">
        <v>45135</v>
      </c>
      <c r="H1078">
        <v>436800</v>
      </c>
      <c r="I1078">
        <v>145134</v>
      </c>
      <c r="J1078" t="s">
        <v>189</v>
      </c>
      <c r="K1078">
        <v>6</v>
      </c>
      <c r="L1078" t="s">
        <v>44</v>
      </c>
      <c r="M1078" t="s">
        <v>45</v>
      </c>
    </row>
    <row r="1079" spans="1:13">
      <c r="A1079" t="s">
        <v>361</v>
      </c>
      <c r="B1079" t="s">
        <v>72</v>
      </c>
      <c r="C1079" t="s">
        <v>67</v>
      </c>
      <c r="D1079" t="s">
        <v>2470</v>
      </c>
      <c r="E1079">
        <v>1</v>
      </c>
      <c r="F1079" t="s">
        <v>2471</v>
      </c>
      <c r="G1079" s="10">
        <v>45159</v>
      </c>
      <c r="H1079">
        <v>26775</v>
      </c>
      <c r="I1079">
        <v>6775</v>
      </c>
      <c r="J1079" t="s">
        <v>250</v>
      </c>
      <c r="K1079">
        <v>6</v>
      </c>
      <c r="L1079" t="s">
        <v>24</v>
      </c>
      <c r="M1079" t="s">
        <v>29</v>
      </c>
    </row>
    <row r="1080" spans="1:13">
      <c r="A1080" t="s">
        <v>376</v>
      </c>
      <c r="B1080" t="s">
        <v>66</v>
      </c>
      <c r="C1080" t="s">
        <v>67</v>
      </c>
      <c r="D1080" t="s">
        <v>2472</v>
      </c>
      <c r="E1080">
        <v>6</v>
      </c>
      <c r="F1080" t="s">
        <v>2473</v>
      </c>
      <c r="G1080" s="10">
        <v>45133</v>
      </c>
      <c r="H1080">
        <v>34375</v>
      </c>
      <c r="I1080">
        <v>6875</v>
      </c>
      <c r="J1080" t="s">
        <v>70</v>
      </c>
      <c r="K1080">
        <v>5</v>
      </c>
      <c r="L1080" t="s">
        <v>35</v>
      </c>
      <c r="M1080" t="s">
        <v>36</v>
      </c>
    </row>
    <row r="1081" spans="1:13">
      <c r="A1081" t="s">
        <v>1868</v>
      </c>
      <c r="B1081" t="s">
        <v>66</v>
      </c>
      <c r="C1081" t="s">
        <v>67</v>
      </c>
      <c r="D1081" t="s">
        <v>2474</v>
      </c>
      <c r="E1081">
        <v>2</v>
      </c>
      <c r="F1081" t="s">
        <v>2475</v>
      </c>
      <c r="G1081" s="10">
        <v>45159</v>
      </c>
      <c r="H1081">
        <v>26775</v>
      </c>
      <c r="I1081">
        <v>6775</v>
      </c>
      <c r="J1081" t="s">
        <v>250</v>
      </c>
      <c r="K1081">
        <v>6</v>
      </c>
      <c r="L1081" t="s">
        <v>24</v>
      </c>
      <c r="M1081" t="s">
        <v>29</v>
      </c>
    </row>
    <row r="1082" spans="1:13">
      <c r="A1082" t="s">
        <v>2012</v>
      </c>
      <c r="B1082" t="s">
        <v>43</v>
      </c>
      <c r="C1082" t="s">
        <v>94</v>
      </c>
      <c r="D1082" t="s">
        <v>2476</v>
      </c>
      <c r="E1082">
        <v>2</v>
      </c>
      <c r="F1082" t="s">
        <v>2477</v>
      </c>
      <c r="G1082" s="10">
        <v>45138</v>
      </c>
      <c r="H1082">
        <v>140280</v>
      </c>
      <c r="I1082">
        <v>40280</v>
      </c>
      <c r="J1082" t="s">
        <v>458</v>
      </c>
      <c r="K1082">
        <v>6</v>
      </c>
      <c r="L1082" t="s">
        <v>37</v>
      </c>
      <c r="M1082" t="s">
        <v>33</v>
      </c>
    </row>
    <row r="1083" spans="1:13">
      <c r="A1083" t="s">
        <v>1631</v>
      </c>
      <c r="B1083" t="s">
        <v>179</v>
      </c>
      <c r="C1083" t="s">
        <v>45</v>
      </c>
      <c r="D1083" t="s">
        <v>2478</v>
      </c>
      <c r="E1083">
        <v>2</v>
      </c>
      <c r="F1083" t="s">
        <v>2479</v>
      </c>
      <c r="G1083" s="10">
        <v>45140</v>
      </c>
      <c r="H1083">
        <v>369600</v>
      </c>
      <c r="I1083">
        <v>115433.33</v>
      </c>
      <c r="J1083" t="s">
        <v>189</v>
      </c>
      <c r="K1083">
        <v>5</v>
      </c>
      <c r="L1083" t="s">
        <v>44</v>
      </c>
      <c r="M1083" t="s">
        <v>45</v>
      </c>
    </row>
    <row r="1084" spans="1:13">
      <c r="A1084" t="s">
        <v>568</v>
      </c>
      <c r="B1084" t="s">
        <v>179</v>
      </c>
      <c r="C1084" t="s">
        <v>45</v>
      </c>
      <c r="D1084" t="s">
        <v>2480</v>
      </c>
      <c r="E1084">
        <v>2</v>
      </c>
      <c r="F1084" t="s">
        <v>2481</v>
      </c>
      <c r="G1084" s="10">
        <v>45134</v>
      </c>
      <c r="H1084">
        <v>161280</v>
      </c>
      <c r="I1084">
        <v>69614</v>
      </c>
      <c r="J1084" t="s">
        <v>189</v>
      </c>
      <c r="K1084">
        <v>5</v>
      </c>
      <c r="L1084" t="s">
        <v>44</v>
      </c>
      <c r="M1084" t="s">
        <v>45</v>
      </c>
    </row>
    <row r="1085" spans="1:13">
      <c r="A1085" t="s">
        <v>1631</v>
      </c>
      <c r="B1085" t="s">
        <v>179</v>
      </c>
      <c r="C1085" t="s">
        <v>45</v>
      </c>
      <c r="D1085" t="s">
        <v>2482</v>
      </c>
      <c r="E1085">
        <v>4</v>
      </c>
      <c r="F1085" t="s">
        <v>2483</v>
      </c>
      <c r="G1085" s="10">
        <v>45138</v>
      </c>
      <c r="H1085">
        <v>336000</v>
      </c>
      <c r="I1085">
        <v>61000</v>
      </c>
      <c r="J1085" t="s">
        <v>189</v>
      </c>
      <c r="K1085">
        <v>5</v>
      </c>
      <c r="L1085" t="s">
        <v>44</v>
      </c>
      <c r="M1085" t="s">
        <v>45</v>
      </c>
    </row>
    <row r="1086" spans="1:13">
      <c r="A1086" t="s">
        <v>261</v>
      </c>
      <c r="B1086" t="s">
        <v>160</v>
      </c>
      <c r="C1086" t="s">
        <v>67</v>
      </c>
      <c r="D1086" t="s">
        <v>2484</v>
      </c>
      <c r="E1086">
        <v>2</v>
      </c>
      <c r="F1086" t="s">
        <v>2485</v>
      </c>
      <c r="G1086" s="10">
        <v>45135</v>
      </c>
      <c r="H1086">
        <v>24265</v>
      </c>
      <c r="I1086">
        <v>3165</v>
      </c>
      <c r="J1086" t="s">
        <v>193</v>
      </c>
      <c r="K1086">
        <v>5</v>
      </c>
      <c r="L1086" t="s">
        <v>35</v>
      </c>
      <c r="M1086" t="s">
        <v>27</v>
      </c>
    </row>
    <row r="1087" spans="1:13">
      <c r="A1087" t="s">
        <v>190</v>
      </c>
      <c r="B1087" t="s">
        <v>160</v>
      </c>
      <c r="C1087" t="s">
        <v>67</v>
      </c>
      <c r="D1087" t="s">
        <v>2486</v>
      </c>
      <c r="E1087">
        <v>2</v>
      </c>
      <c r="F1087" t="s">
        <v>2487</v>
      </c>
      <c r="G1087" s="10">
        <v>45135</v>
      </c>
      <c r="H1087">
        <v>17400</v>
      </c>
      <c r="I1087">
        <v>2400</v>
      </c>
      <c r="J1087" t="s">
        <v>193</v>
      </c>
      <c r="K1087">
        <v>6</v>
      </c>
      <c r="L1087" t="s">
        <v>35</v>
      </c>
      <c r="M1087" t="s">
        <v>27</v>
      </c>
    </row>
    <row r="1088" spans="1:13">
      <c r="A1088" t="s">
        <v>2488</v>
      </c>
      <c r="B1088" t="s">
        <v>916</v>
      </c>
      <c r="C1088" t="s">
        <v>51</v>
      </c>
      <c r="D1088" t="s">
        <v>2489</v>
      </c>
      <c r="E1088">
        <v>2</v>
      </c>
      <c r="F1088" t="s">
        <v>2490</v>
      </c>
      <c r="G1088" s="10">
        <v>45355</v>
      </c>
      <c r="H1088">
        <v>54166.67</v>
      </c>
      <c r="I1088">
        <v>19583.669999999998</v>
      </c>
      <c r="J1088" t="s">
        <v>2324</v>
      </c>
      <c r="K1088">
        <v>5</v>
      </c>
      <c r="L1088" t="s">
        <v>50</v>
      </c>
      <c r="M1088" s="5" t="s">
        <v>51</v>
      </c>
    </row>
    <row r="1089" spans="1:13">
      <c r="A1089" t="s">
        <v>1658</v>
      </c>
      <c r="B1089" t="s">
        <v>160</v>
      </c>
      <c r="C1089" t="s">
        <v>67</v>
      </c>
      <c r="D1089" t="s">
        <v>2491</v>
      </c>
      <c r="E1089">
        <v>2</v>
      </c>
      <c r="F1089" t="s">
        <v>2492</v>
      </c>
      <c r="G1089" s="10">
        <v>45135</v>
      </c>
      <c r="H1089">
        <v>24265</v>
      </c>
      <c r="I1089">
        <v>3165</v>
      </c>
      <c r="J1089" t="s">
        <v>193</v>
      </c>
      <c r="K1089">
        <v>5</v>
      </c>
      <c r="L1089" t="s">
        <v>35</v>
      </c>
      <c r="M1089" t="s">
        <v>27</v>
      </c>
    </row>
    <row r="1090" spans="1:13">
      <c r="A1090" t="s">
        <v>1344</v>
      </c>
      <c r="B1090" t="s">
        <v>513</v>
      </c>
      <c r="C1090" t="s">
        <v>1345</v>
      </c>
      <c r="D1090" t="s">
        <v>2493</v>
      </c>
      <c r="E1090">
        <v>2</v>
      </c>
      <c r="F1090" t="s">
        <v>2494</v>
      </c>
      <c r="G1090" s="10">
        <v>45138</v>
      </c>
      <c r="H1090">
        <v>268000</v>
      </c>
      <c r="I1090">
        <v>18000</v>
      </c>
      <c r="J1090" t="s">
        <v>884</v>
      </c>
      <c r="K1090">
        <v>5</v>
      </c>
      <c r="L1090" t="s">
        <v>44</v>
      </c>
      <c r="M1090" t="s">
        <v>45</v>
      </c>
    </row>
    <row r="1091" spans="1:13">
      <c r="A1091" t="s">
        <v>527</v>
      </c>
      <c r="B1091" t="s">
        <v>93</v>
      </c>
      <c r="C1091" t="s">
        <v>94</v>
      </c>
      <c r="D1091" t="s">
        <v>2495</v>
      </c>
      <c r="E1091">
        <v>2</v>
      </c>
      <c r="F1091" t="s">
        <v>2496</v>
      </c>
      <c r="G1091" s="10">
        <v>45135</v>
      </c>
      <c r="H1091">
        <v>142800</v>
      </c>
      <c r="I1091">
        <v>34466.67</v>
      </c>
      <c r="J1091" t="s">
        <v>97</v>
      </c>
      <c r="K1091">
        <v>6</v>
      </c>
      <c r="L1091" t="s">
        <v>41</v>
      </c>
      <c r="M1091" t="s">
        <v>42</v>
      </c>
    </row>
    <row r="1092" spans="1:13">
      <c r="A1092" t="s">
        <v>361</v>
      </c>
      <c r="B1092" t="s">
        <v>72</v>
      </c>
      <c r="C1092" t="s">
        <v>67</v>
      </c>
      <c r="D1092" t="s">
        <v>2497</v>
      </c>
      <c r="E1092">
        <v>1</v>
      </c>
      <c r="F1092" t="s">
        <v>2498</v>
      </c>
      <c r="G1092" s="10">
        <v>45194</v>
      </c>
      <c r="H1092">
        <v>26775</v>
      </c>
      <c r="I1092">
        <v>6775</v>
      </c>
      <c r="J1092" t="s">
        <v>250</v>
      </c>
      <c r="K1092">
        <v>6</v>
      </c>
      <c r="L1092" t="s">
        <v>24</v>
      </c>
      <c r="M1092" t="s">
        <v>29</v>
      </c>
    </row>
    <row r="1093" spans="1:13">
      <c r="A1093" t="s">
        <v>140</v>
      </c>
      <c r="B1093" t="s">
        <v>141</v>
      </c>
      <c r="C1093" t="s">
        <v>67</v>
      </c>
      <c r="D1093" t="s">
        <v>2499</v>
      </c>
      <c r="E1093">
        <v>1</v>
      </c>
      <c r="F1093" t="s">
        <v>2500</v>
      </c>
      <c r="G1093" s="10">
        <v>45138</v>
      </c>
      <c r="H1093">
        <v>52500</v>
      </c>
      <c r="I1093">
        <v>16667</v>
      </c>
      <c r="J1093" t="s">
        <v>144</v>
      </c>
      <c r="K1093">
        <v>6</v>
      </c>
      <c r="L1093" t="s">
        <v>38</v>
      </c>
      <c r="M1093" t="s">
        <v>25</v>
      </c>
    </row>
    <row r="1094" spans="1:13">
      <c r="A1094" t="s">
        <v>628</v>
      </c>
      <c r="B1094" t="s">
        <v>66</v>
      </c>
      <c r="C1094" t="s">
        <v>67</v>
      </c>
      <c r="D1094" t="s">
        <v>2501</v>
      </c>
      <c r="E1094">
        <v>6</v>
      </c>
      <c r="F1094" t="s">
        <v>2502</v>
      </c>
      <c r="G1094" s="10">
        <v>45133</v>
      </c>
      <c r="H1094">
        <v>34375</v>
      </c>
      <c r="I1094">
        <v>6875</v>
      </c>
      <c r="J1094" t="s">
        <v>70</v>
      </c>
      <c r="K1094">
        <v>5</v>
      </c>
      <c r="L1094" t="s">
        <v>35</v>
      </c>
      <c r="M1094" t="s">
        <v>36</v>
      </c>
    </row>
    <row r="1095" spans="1:13">
      <c r="A1095" t="s">
        <v>1658</v>
      </c>
      <c r="B1095" t="s">
        <v>160</v>
      </c>
      <c r="C1095" t="s">
        <v>67</v>
      </c>
      <c r="D1095" t="s">
        <v>2503</v>
      </c>
      <c r="E1095">
        <v>2</v>
      </c>
      <c r="F1095" t="s">
        <v>2504</v>
      </c>
      <c r="G1095" s="10">
        <v>45142</v>
      </c>
      <c r="H1095">
        <v>41300</v>
      </c>
      <c r="I1095">
        <v>6300</v>
      </c>
      <c r="J1095" t="s">
        <v>193</v>
      </c>
      <c r="K1095">
        <v>5</v>
      </c>
      <c r="L1095" t="s">
        <v>35</v>
      </c>
      <c r="M1095" t="s">
        <v>27</v>
      </c>
    </row>
    <row r="1096" spans="1:13">
      <c r="A1096" t="s">
        <v>251</v>
      </c>
      <c r="B1096" t="s">
        <v>160</v>
      </c>
      <c r="C1096" t="s">
        <v>67</v>
      </c>
      <c r="D1096" t="s">
        <v>2505</v>
      </c>
      <c r="E1096">
        <v>2</v>
      </c>
      <c r="F1096" t="s">
        <v>2506</v>
      </c>
      <c r="G1096" s="10">
        <v>45138</v>
      </c>
      <c r="H1096">
        <v>21275</v>
      </c>
      <c r="I1096">
        <v>2775</v>
      </c>
      <c r="J1096" t="s">
        <v>193</v>
      </c>
      <c r="K1096">
        <v>6</v>
      </c>
      <c r="L1096" t="s">
        <v>35</v>
      </c>
      <c r="M1096" t="s">
        <v>27</v>
      </c>
    </row>
    <row r="1097" spans="1:13">
      <c r="A1097" t="s">
        <v>190</v>
      </c>
      <c r="B1097" t="s">
        <v>160</v>
      </c>
      <c r="C1097" t="s">
        <v>67</v>
      </c>
      <c r="D1097" t="s">
        <v>2507</v>
      </c>
      <c r="E1097">
        <v>2</v>
      </c>
      <c r="F1097" t="s">
        <v>2508</v>
      </c>
      <c r="G1097" s="10">
        <v>45138</v>
      </c>
      <c r="H1097">
        <v>21275</v>
      </c>
      <c r="I1097">
        <v>2775</v>
      </c>
      <c r="J1097" t="s">
        <v>193</v>
      </c>
      <c r="K1097">
        <v>6</v>
      </c>
      <c r="L1097" t="s">
        <v>35</v>
      </c>
      <c r="M1097" t="s">
        <v>27</v>
      </c>
    </row>
    <row r="1098" spans="1:13">
      <c r="A1098" t="s">
        <v>2266</v>
      </c>
      <c r="B1098" t="s">
        <v>2267</v>
      </c>
      <c r="C1098" t="s">
        <v>94</v>
      </c>
      <c r="D1098" t="s">
        <v>2509</v>
      </c>
      <c r="E1098">
        <v>2</v>
      </c>
      <c r="F1098" t="s">
        <v>2510</v>
      </c>
      <c r="G1098" s="10">
        <v>45138</v>
      </c>
      <c r="H1098">
        <v>181440</v>
      </c>
      <c r="I1098">
        <v>23107</v>
      </c>
      <c r="J1098" t="s">
        <v>976</v>
      </c>
      <c r="K1098">
        <v>6</v>
      </c>
      <c r="L1098" t="s">
        <v>39</v>
      </c>
      <c r="M1098" t="s">
        <v>977</v>
      </c>
    </row>
    <row r="1099" spans="1:13">
      <c r="A1099" t="s">
        <v>1868</v>
      </c>
      <c r="B1099" t="s">
        <v>66</v>
      </c>
      <c r="C1099" t="s">
        <v>67</v>
      </c>
      <c r="D1099" t="s">
        <v>1303</v>
      </c>
      <c r="E1099">
        <v>2</v>
      </c>
      <c r="F1099" t="s">
        <v>2511</v>
      </c>
      <c r="G1099" s="10">
        <v>45139</v>
      </c>
      <c r="H1099">
        <v>32500</v>
      </c>
      <c r="I1099">
        <v>7500</v>
      </c>
      <c r="J1099" t="s">
        <v>163</v>
      </c>
      <c r="K1099">
        <v>5</v>
      </c>
      <c r="L1099" t="s">
        <v>35</v>
      </c>
      <c r="M1099" t="s">
        <v>27</v>
      </c>
    </row>
    <row r="1100" spans="1:13">
      <c r="A1100" t="s">
        <v>522</v>
      </c>
      <c r="B1100" t="s">
        <v>72</v>
      </c>
      <c r="C1100" t="s">
        <v>67</v>
      </c>
      <c r="D1100" t="s">
        <v>2512</v>
      </c>
      <c r="E1100">
        <v>1</v>
      </c>
      <c r="F1100" t="s">
        <v>2513</v>
      </c>
      <c r="G1100" s="10">
        <v>45139</v>
      </c>
      <c r="H1100">
        <v>32130</v>
      </c>
      <c r="I1100">
        <v>12130</v>
      </c>
      <c r="J1100" t="s">
        <v>250</v>
      </c>
      <c r="K1100">
        <v>6</v>
      </c>
      <c r="L1100" t="s">
        <v>24</v>
      </c>
      <c r="M1100" t="s">
        <v>29</v>
      </c>
    </row>
    <row r="1101" spans="1:13">
      <c r="A1101" t="s">
        <v>266</v>
      </c>
      <c r="B1101" t="s">
        <v>160</v>
      </c>
      <c r="C1101" t="s">
        <v>67</v>
      </c>
      <c r="D1101" t="s">
        <v>2514</v>
      </c>
      <c r="E1101">
        <v>2</v>
      </c>
      <c r="F1101" t="s">
        <v>2515</v>
      </c>
      <c r="G1101" s="10">
        <v>45139</v>
      </c>
      <c r="H1101">
        <v>32500</v>
      </c>
      <c r="I1101">
        <v>7500</v>
      </c>
      <c r="J1101" t="s">
        <v>163</v>
      </c>
      <c r="K1101">
        <v>6</v>
      </c>
      <c r="L1101" t="s">
        <v>35</v>
      </c>
      <c r="M1101" t="s">
        <v>27</v>
      </c>
    </row>
    <row r="1102" spans="1:13">
      <c r="A1102" t="s">
        <v>266</v>
      </c>
      <c r="B1102" t="s">
        <v>160</v>
      </c>
      <c r="C1102" t="s">
        <v>67</v>
      </c>
      <c r="D1102" t="s">
        <v>2516</v>
      </c>
      <c r="E1102">
        <v>1</v>
      </c>
      <c r="F1102" t="s">
        <v>2517</v>
      </c>
      <c r="G1102" s="10">
        <v>45159</v>
      </c>
      <c r="H1102">
        <v>26775</v>
      </c>
      <c r="I1102">
        <v>6775</v>
      </c>
      <c r="J1102" t="s">
        <v>250</v>
      </c>
      <c r="K1102">
        <v>6</v>
      </c>
      <c r="L1102" t="s">
        <v>24</v>
      </c>
      <c r="M1102" t="s">
        <v>29</v>
      </c>
    </row>
    <row r="1103" spans="1:13">
      <c r="A1103" t="s">
        <v>2110</v>
      </c>
      <c r="B1103" t="s">
        <v>43</v>
      </c>
      <c r="C1103" t="s">
        <v>94</v>
      </c>
      <c r="D1103" t="s">
        <v>2518</v>
      </c>
      <c r="E1103">
        <v>2</v>
      </c>
      <c r="F1103" t="s">
        <v>2519</v>
      </c>
      <c r="G1103" s="10">
        <v>45138</v>
      </c>
      <c r="H1103">
        <v>150087</v>
      </c>
      <c r="I1103">
        <v>50087</v>
      </c>
      <c r="J1103" t="s">
        <v>458</v>
      </c>
      <c r="K1103">
        <v>5</v>
      </c>
      <c r="L1103" t="s">
        <v>37</v>
      </c>
      <c r="M1103" t="s">
        <v>33</v>
      </c>
    </row>
    <row r="1104" spans="1:13">
      <c r="A1104" t="s">
        <v>275</v>
      </c>
      <c r="B1104" t="s">
        <v>160</v>
      </c>
      <c r="C1104" t="s">
        <v>67</v>
      </c>
      <c r="D1104" t="s">
        <v>2520</v>
      </c>
      <c r="E1104">
        <v>2</v>
      </c>
      <c r="F1104" t="s">
        <v>2521</v>
      </c>
      <c r="G1104" s="10">
        <v>45139</v>
      </c>
      <c r="H1104">
        <v>44400</v>
      </c>
      <c r="I1104">
        <v>7400</v>
      </c>
      <c r="J1104" t="s">
        <v>163</v>
      </c>
      <c r="K1104">
        <v>5</v>
      </c>
      <c r="L1104" t="s">
        <v>35</v>
      </c>
      <c r="M1104" t="s">
        <v>27</v>
      </c>
    </row>
    <row r="1105" spans="1:13">
      <c r="A1105" t="s">
        <v>915</v>
      </c>
      <c r="B1105" t="s">
        <v>916</v>
      </c>
      <c r="C1105" t="s">
        <v>741</v>
      </c>
      <c r="D1105" t="s">
        <v>2522</v>
      </c>
      <c r="E1105">
        <v>4</v>
      </c>
      <c r="F1105" t="s">
        <v>2523</v>
      </c>
      <c r="G1105" s="10">
        <v>45098</v>
      </c>
      <c r="H1105">
        <v>42900</v>
      </c>
      <c r="I1105">
        <v>9900</v>
      </c>
      <c r="J1105" t="s">
        <v>1573</v>
      </c>
      <c r="K1105">
        <v>6</v>
      </c>
      <c r="L1105" t="s">
        <v>44</v>
      </c>
      <c r="M1105" s="3" t="s">
        <v>46</v>
      </c>
    </row>
    <row r="1106" spans="1:13">
      <c r="A1106" t="s">
        <v>642</v>
      </c>
      <c r="B1106" t="s">
        <v>179</v>
      </c>
      <c r="C1106" t="s">
        <v>45</v>
      </c>
      <c r="D1106" t="s">
        <v>2524</v>
      </c>
      <c r="E1106">
        <v>2</v>
      </c>
      <c r="F1106" t="s">
        <v>2525</v>
      </c>
      <c r="G1106" s="10">
        <v>45145</v>
      </c>
      <c r="H1106">
        <v>189000</v>
      </c>
      <c r="I1106">
        <v>43167</v>
      </c>
      <c r="J1106" t="s">
        <v>2077</v>
      </c>
      <c r="K1106">
        <v>5</v>
      </c>
      <c r="L1106" t="s">
        <v>44</v>
      </c>
      <c r="M1106" t="s">
        <v>45</v>
      </c>
    </row>
    <row r="1107" spans="1:13">
      <c r="A1107" t="s">
        <v>136</v>
      </c>
      <c r="B1107" t="s">
        <v>117</v>
      </c>
      <c r="C1107" t="s">
        <v>137</v>
      </c>
      <c r="D1107" t="s">
        <v>2526</v>
      </c>
      <c r="E1107">
        <v>1</v>
      </c>
      <c r="F1107" t="s">
        <v>2527</v>
      </c>
      <c r="G1107" s="10">
        <v>45141</v>
      </c>
      <c r="H1107">
        <v>256157</v>
      </c>
      <c r="I1107">
        <v>31157</v>
      </c>
      <c r="J1107" t="s">
        <v>121</v>
      </c>
      <c r="K1107">
        <v>6</v>
      </c>
      <c r="L1107" t="s">
        <v>24</v>
      </c>
      <c r="M1107" t="s">
        <v>30</v>
      </c>
    </row>
    <row r="1108" spans="1:13">
      <c r="A1108" t="s">
        <v>71</v>
      </c>
      <c r="B1108" t="s">
        <v>72</v>
      </c>
      <c r="C1108" t="s">
        <v>67</v>
      </c>
      <c r="D1108" t="s">
        <v>2528</v>
      </c>
      <c r="E1108">
        <v>1</v>
      </c>
      <c r="F1108" t="s">
        <v>2529</v>
      </c>
      <c r="G1108" s="10">
        <v>45159</v>
      </c>
      <c r="H1108">
        <v>26775</v>
      </c>
      <c r="I1108">
        <v>6775</v>
      </c>
      <c r="J1108" t="s">
        <v>250</v>
      </c>
      <c r="K1108">
        <v>6</v>
      </c>
      <c r="L1108" t="s">
        <v>24</v>
      </c>
      <c r="M1108" t="s">
        <v>29</v>
      </c>
    </row>
    <row r="1109" spans="1:13">
      <c r="A1109" t="s">
        <v>71</v>
      </c>
      <c r="B1109" t="s">
        <v>72</v>
      </c>
      <c r="C1109" t="s">
        <v>67</v>
      </c>
      <c r="D1109" t="s">
        <v>2530</v>
      </c>
      <c r="E1109">
        <v>1</v>
      </c>
      <c r="F1109" t="s">
        <v>2531</v>
      </c>
      <c r="G1109" s="10">
        <v>45159</v>
      </c>
      <c r="H1109">
        <v>26775</v>
      </c>
      <c r="I1109">
        <v>6775</v>
      </c>
      <c r="J1109" t="s">
        <v>250</v>
      </c>
      <c r="K1109">
        <v>6</v>
      </c>
      <c r="L1109" t="s">
        <v>24</v>
      </c>
      <c r="M1109" t="s">
        <v>29</v>
      </c>
    </row>
    <row r="1110" spans="1:13">
      <c r="A1110" t="s">
        <v>71</v>
      </c>
      <c r="B1110" t="s">
        <v>72</v>
      </c>
      <c r="C1110" t="s">
        <v>67</v>
      </c>
      <c r="D1110" t="s">
        <v>2532</v>
      </c>
      <c r="E1110">
        <v>1</v>
      </c>
      <c r="F1110" t="s">
        <v>2533</v>
      </c>
      <c r="G1110" s="10">
        <v>45159</v>
      </c>
      <c r="H1110">
        <v>26775</v>
      </c>
      <c r="I1110">
        <v>6775</v>
      </c>
      <c r="J1110" t="s">
        <v>250</v>
      </c>
      <c r="K1110">
        <v>6</v>
      </c>
      <c r="L1110" t="s">
        <v>24</v>
      </c>
      <c r="M1110" t="s">
        <v>29</v>
      </c>
    </row>
    <row r="1111" spans="1:13">
      <c r="A1111" t="s">
        <v>190</v>
      </c>
      <c r="B1111" t="s">
        <v>160</v>
      </c>
      <c r="C1111" t="s">
        <v>67</v>
      </c>
      <c r="D1111" t="s">
        <v>2534</v>
      </c>
      <c r="E1111">
        <v>2</v>
      </c>
      <c r="F1111" t="s">
        <v>2535</v>
      </c>
      <c r="G1111" s="10">
        <v>45141</v>
      </c>
      <c r="H1111">
        <v>21275</v>
      </c>
      <c r="I1111">
        <v>2775</v>
      </c>
      <c r="J1111" t="s">
        <v>163</v>
      </c>
      <c r="K1111">
        <v>5</v>
      </c>
      <c r="L1111" t="s">
        <v>35</v>
      </c>
      <c r="M1111" t="s">
        <v>27</v>
      </c>
    </row>
    <row r="1112" spans="1:13">
      <c r="A1112" t="s">
        <v>190</v>
      </c>
      <c r="B1112" t="s">
        <v>160</v>
      </c>
      <c r="C1112" t="s">
        <v>67</v>
      </c>
      <c r="D1112" t="s">
        <v>2536</v>
      </c>
      <c r="E1112">
        <v>2</v>
      </c>
      <c r="F1112" t="s">
        <v>2537</v>
      </c>
      <c r="G1112" s="10">
        <v>45152</v>
      </c>
      <c r="H1112">
        <v>48000</v>
      </c>
      <c r="I1112">
        <v>8000</v>
      </c>
      <c r="J1112" t="s">
        <v>163</v>
      </c>
      <c r="K1112">
        <v>5</v>
      </c>
      <c r="L1112" t="s">
        <v>35</v>
      </c>
      <c r="M1112" t="s">
        <v>27</v>
      </c>
    </row>
    <row r="1113" spans="1:13">
      <c r="A1113" t="s">
        <v>2141</v>
      </c>
      <c r="B1113" t="s">
        <v>66</v>
      </c>
      <c r="C1113" t="s">
        <v>67</v>
      </c>
      <c r="D1113" t="s">
        <v>2538</v>
      </c>
      <c r="E1113">
        <v>2</v>
      </c>
      <c r="F1113" t="s">
        <v>2539</v>
      </c>
      <c r="G1113" s="10">
        <v>45138</v>
      </c>
      <c r="H1113">
        <v>40000</v>
      </c>
      <c r="I1113">
        <v>6667</v>
      </c>
      <c r="J1113" t="s">
        <v>70</v>
      </c>
      <c r="K1113">
        <v>5</v>
      </c>
      <c r="L1113" t="s">
        <v>35</v>
      </c>
      <c r="M1113" t="s">
        <v>36</v>
      </c>
    </row>
    <row r="1114" spans="1:13">
      <c r="A1114" t="s">
        <v>190</v>
      </c>
      <c r="B1114" t="s">
        <v>160</v>
      </c>
      <c r="C1114" t="s">
        <v>67</v>
      </c>
      <c r="D1114" t="s">
        <v>2540</v>
      </c>
      <c r="E1114">
        <v>2</v>
      </c>
      <c r="F1114" t="s">
        <v>2541</v>
      </c>
      <c r="G1114" s="10">
        <v>45146</v>
      </c>
      <c r="H1114">
        <v>48000</v>
      </c>
      <c r="I1114">
        <v>8000</v>
      </c>
      <c r="J1114" t="s">
        <v>163</v>
      </c>
      <c r="K1114">
        <v>6</v>
      </c>
      <c r="L1114" t="s">
        <v>35</v>
      </c>
      <c r="M1114" t="s">
        <v>27</v>
      </c>
    </row>
    <row r="1115" spans="1:13">
      <c r="A1115" t="s">
        <v>197</v>
      </c>
      <c r="B1115" t="s">
        <v>160</v>
      </c>
      <c r="C1115" t="s">
        <v>67</v>
      </c>
      <c r="D1115" t="s">
        <v>2542</v>
      </c>
      <c r="E1115">
        <v>2</v>
      </c>
      <c r="F1115" t="s">
        <v>2543</v>
      </c>
      <c r="G1115" s="10">
        <v>45141</v>
      </c>
      <c r="H1115">
        <v>21275</v>
      </c>
      <c r="I1115">
        <v>2775</v>
      </c>
      <c r="J1115" t="s">
        <v>193</v>
      </c>
      <c r="K1115">
        <v>5</v>
      </c>
      <c r="L1115" t="s">
        <v>35</v>
      </c>
      <c r="M1115" t="s">
        <v>27</v>
      </c>
    </row>
    <row r="1116" spans="1:13">
      <c r="A1116" t="s">
        <v>2544</v>
      </c>
      <c r="B1116" t="s">
        <v>52</v>
      </c>
      <c r="C1116" t="s">
        <v>741</v>
      </c>
      <c r="D1116" t="s">
        <v>2545</v>
      </c>
      <c r="E1116">
        <v>4</v>
      </c>
      <c r="F1116" t="s">
        <v>2546</v>
      </c>
      <c r="G1116" s="10">
        <v>45099</v>
      </c>
      <c r="H1116">
        <v>29700</v>
      </c>
      <c r="I1116">
        <v>9700</v>
      </c>
      <c r="J1116" t="s">
        <v>1573</v>
      </c>
      <c r="K1116">
        <v>6</v>
      </c>
      <c r="L1116" t="s">
        <v>44</v>
      </c>
      <c r="M1116" s="3" t="s">
        <v>46</v>
      </c>
    </row>
    <row r="1117" spans="1:13">
      <c r="A1117" t="s">
        <v>2547</v>
      </c>
      <c r="B1117" t="s">
        <v>455</v>
      </c>
      <c r="C1117" t="s">
        <v>455</v>
      </c>
      <c r="D1117" t="s">
        <v>2548</v>
      </c>
      <c r="E1117">
        <v>2</v>
      </c>
      <c r="F1117" t="s">
        <v>2549</v>
      </c>
      <c r="G1117" s="10">
        <v>45138</v>
      </c>
      <c r="H1117">
        <v>140280</v>
      </c>
      <c r="I1117">
        <v>31947</v>
      </c>
      <c r="J1117" t="s">
        <v>458</v>
      </c>
      <c r="K1117">
        <v>6</v>
      </c>
      <c r="L1117" t="s">
        <v>37</v>
      </c>
      <c r="M1117" t="s">
        <v>33</v>
      </c>
    </row>
    <row r="1118" spans="1:13">
      <c r="A1118" t="s">
        <v>1447</v>
      </c>
      <c r="B1118" t="s">
        <v>179</v>
      </c>
      <c r="C1118" t="s">
        <v>45</v>
      </c>
      <c r="D1118" t="s">
        <v>2550</v>
      </c>
      <c r="E1118">
        <v>4</v>
      </c>
      <c r="F1118" t="s">
        <v>2551</v>
      </c>
      <c r="G1118" s="10">
        <v>45138</v>
      </c>
      <c r="H1118">
        <v>100000</v>
      </c>
      <c r="I1118">
        <v>50000</v>
      </c>
      <c r="J1118" t="s">
        <v>189</v>
      </c>
      <c r="K1118">
        <v>6</v>
      </c>
      <c r="L1118" t="s">
        <v>44</v>
      </c>
      <c r="M1118" t="s">
        <v>45</v>
      </c>
    </row>
    <row r="1119" spans="1:13">
      <c r="A1119" t="s">
        <v>1535</v>
      </c>
      <c r="B1119" t="s">
        <v>93</v>
      </c>
      <c r="C1119" t="s">
        <v>94</v>
      </c>
      <c r="D1119" t="s">
        <v>2552</v>
      </c>
      <c r="E1119">
        <v>2</v>
      </c>
      <c r="F1119" t="s">
        <v>2553</v>
      </c>
      <c r="G1119" s="10">
        <v>45145</v>
      </c>
      <c r="H1119">
        <v>210000</v>
      </c>
      <c r="I1119">
        <v>18334</v>
      </c>
      <c r="J1119" t="s">
        <v>97</v>
      </c>
      <c r="K1119">
        <v>5</v>
      </c>
      <c r="L1119" t="s">
        <v>41</v>
      </c>
      <c r="M1119" t="s">
        <v>42</v>
      </c>
    </row>
    <row r="1120" spans="1:13">
      <c r="A1120" t="s">
        <v>266</v>
      </c>
      <c r="B1120" t="s">
        <v>160</v>
      </c>
      <c r="C1120" t="s">
        <v>67</v>
      </c>
      <c r="D1120" t="s">
        <v>2554</v>
      </c>
      <c r="E1120">
        <v>2</v>
      </c>
      <c r="F1120" t="s">
        <v>2555</v>
      </c>
      <c r="G1120" s="10">
        <v>45139</v>
      </c>
      <c r="H1120">
        <v>48000</v>
      </c>
      <c r="I1120">
        <v>8000</v>
      </c>
      <c r="J1120" t="s">
        <v>163</v>
      </c>
      <c r="K1120">
        <v>5</v>
      </c>
      <c r="L1120" t="s">
        <v>35</v>
      </c>
      <c r="M1120" t="s">
        <v>27</v>
      </c>
    </row>
    <row r="1121" spans="1:13">
      <c r="A1121" t="s">
        <v>136</v>
      </c>
      <c r="B1121" t="s">
        <v>117</v>
      </c>
      <c r="C1121" t="s">
        <v>137</v>
      </c>
      <c r="D1121" t="s">
        <v>2556</v>
      </c>
      <c r="E1121">
        <v>1</v>
      </c>
      <c r="F1121" t="s">
        <v>2557</v>
      </c>
      <c r="G1121" s="10">
        <v>45140</v>
      </c>
      <c r="H1121">
        <v>197044.33</v>
      </c>
      <c r="I1121">
        <v>13711.33</v>
      </c>
      <c r="J1121" t="s">
        <v>121</v>
      </c>
      <c r="K1121">
        <v>6</v>
      </c>
      <c r="L1121" t="s">
        <v>24</v>
      </c>
      <c r="M1121" t="s">
        <v>30</v>
      </c>
    </row>
    <row r="1122" spans="1:13">
      <c r="A1122" t="s">
        <v>379</v>
      </c>
      <c r="B1122" t="s">
        <v>179</v>
      </c>
      <c r="C1122" t="s">
        <v>45</v>
      </c>
      <c r="D1122" t="s">
        <v>2558</v>
      </c>
      <c r="E1122">
        <v>2</v>
      </c>
      <c r="F1122" t="s">
        <v>2559</v>
      </c>
      <c r="G1122" s="10">
        <v>45138</v>
      </c>
      <c r="H1122">
        <v>302400</v>
      </c>
      <c r="I1122">
        <v>102400</v>
      </c>
      <c r="J1122" t="s">
        <v>189</v>
      </c>
      <c r="K1122">
        <v>6</v>
      </c>
      <c r="L1122" t="s">
        <v>44</v>
      </c>
      <c r="M1122" t="s">
        <v>45</v>
      </c>
    </row>
    <row r="1123" spans="1:13">
      <c r="A1123" t="s">
        <v>92</v>
      </c>
      <c r="B1123" t="s">
        <v>93</v>
      </c>
      <c r="C1123" t="s">
        <v>94</v>
      </c>
      <c r="D1123" t="s">
        <v>2560</v>
      </c>
      <c r="E1123">
        <v>2</v>
      </c>
      <c r="F1123" t="s">
        <v>2561</v>
      </c>
      <c r="G1123" s="10">
        <v>45145</v>
      </c>
      <c r="H1123">
        <v>220500</v>
      </c>
      <c r="I1123">
        <v>20500</v>
      </c>
      <c r="J1123" t="s">
        <v>97</v>
      </c>
      <c r="K1123">
        <v>5</v>
      </c>
      <c r="L1123" t="s">
        <v>41</v>
      </c>
      <c r="M1123" t="s">
        <v>42</v>
      </c>
    </row>
    <row r="1124" spans="1:13">
      <c r="A1124" t="s">
        <v>2562</v>
      </c>
      <c r="B1124" t="s">
        <v>146</v>
      </c>
      <c r="C1124" t="s">
        <v>98</v>
      </c>
      <c r="D1124" t="s">
        <v>2563</v>
      </c>
      <c r="E1124">
        <v>4</v>
      </c>
      <c r="F1124" t="s">
        <v>2564</v>
      </c>
      <c r="G1124" s="10">
        <v>45152</v>
      </c>
      <c r="H1124">
        <v>832</v>
      </c>
      <c r="I1124">
        <v>766</v>
      </c>
      <c r="J1124" t="s">
        <v>2565</v>
      </c>
      <c r="K1124">
        <v>6</v>
      </c>
      <c r="L1124" t="s">
        <v>24</v>
      </c>
      <c r="M1124" t="s">
        <v>26</v>
      </c>
    </row>
    <row r="1125" spans="1:13">
      <c r="A1125" t="s">
        <v>2562</v>
      </c>
      <c r="B1125" t="s">
        <v>146</v>
      </c>
      <c r="C1125" t="s">
        <v>98</v>
      </c>
      <c r="D1125" t="s">
        <v>2566</v>
      </c>
      <c r="E1125">
        <v>4</v>
      </c>
      <c r="F1125" t="s">
        <v>2567</v>
      </c>
      <c r="G1125" s="10">
        <v>45152</v>
      </c>
      <c r="H1125">
        <v>1144</v>
      </c>
      <c r="I1125">
        <v>1053</v>
      </c>
      <c r="J1125" t="s">
        <v>2565</v>
      </c>
      <c r="K1125">
        <v>6</v>
      </c>
      <c r="L1125" t="s">
        <v>24</v>
      </c>
      <c r="M1125" t="s">
        <v>26</v>
      </c>
    </row>
    <row r="1126" spans="1:13">
      <c r="A1126" t="s">
        <v>2562</v>
      </c>
      <c r="B1126" t="s">
        <v>146</v>
      </c>
      <c r="C1126" t="s">
        <v>98</v>
      </c>
      <c r="D1126" t="s">
        <v>2568</v>
      </c>
      <c r="E1126">
        <v>4</v>
      </c>
      <c r="F1126" t="s">
        <v>2569</v>
      </c>
      <c r="G1126" s="10">
        <v>45152</v>
      </c>
      <c r="H1126">
        <v>832</v>
      </c>
      <c r="I1126">
        <v>766</v>
      </c>
      <c r="J1126" t="s">
        <v>2565</v>
      </c>
      <c r="K1126">
        <v>6</v>
      </c>
      <c r="L1126" t="s">
        <v>24</v>
      </c>
      <c r="M1126" t="s">
        <v>26</v>
      </c>
    </row>
    <row r="1127" spans="1:13">
      <c r="A1127" t="s">
        <v>2297</v>
      </c>
      <c r="B1127" t="s">
        <v>146</v>
      </c>
      <c r="C1127" t="s">
        <v>98</v>
      </c>
      <c r="D1127" t="s">
        <v>2570</v>
      </c>
      <c r="E1127">
        <v>4</v>
      </c>
      <c r="F1127" t="s">
        <v>2571</v>
      </c>
      <c r="G1127" s="10">
        <v>45152</v>
      </c>
      <c r="H1127">
        <v>1144</v>
      </c>
      <c r="I1127">
        <v>1053</v>
      </c>
      <c r="J1127" t="s">
        <v>2565</v>
      </c>
      <c r="K1127">
        <v>6</v>
      </c>
      <c r="L1127" t="s">
        <v>24</v>
      </c>
      <c r="M1127" t="s">
        <v>26</v>
      </c>
    </row>
    <row r="1128" spans="1:13">
      <c r="A1128" t="s">
        <v>2572</v>
      </c>
      <c r="B1128" t="s">
        <v>123</v>
      </c>
      <c r="C1128" t="s">
        <v>1093</v>
      </c>
      <c r="D1128" t="s">
        <v>2573</v>
      </c>
      <c r="E1128">
        <v>4</v>
      </c>
      <c r="F1128" t="s">
        <v>2574</v>
      </c>
      <c r="G1128" s="10">
        <v>45152</v>
      </c>
      <c r="H1128">
        <v>832</v>
      </c>
      <c r="I1128">
        <v>766</v>
      </c>
      <c r="J1128" t="s">
        <v>2565</v>
      </c>
      <c r="K1128">
        <v>6</v>
      </c>
      <c r="L1128" t="s">
        <v>24</v>
      </c>
      <c r="M1128" t="s">
        <v>26</v>
      </c>
    </row>
    <row r="1129" spans="1:13">
      <c r="A1129" t="s">
        <v>661</v>
      </c>
      <c r="B1129" t="s">
        <v>179</v>
      </c>
      <c r="C1129" t="s">
        <v>45</v>
      </c>
      <c r="D1129" t="s">
        <v>2575</v>
      </c>
      <c r="E1129">
        <v>2</v>
      </c>
      <c r="F1129" t="s">
        <v>2576</v>
      </c>
      <c r="G1129" s="10">
        <v>45138</v>
      </c>
      <c r="H1129">
        <v>171998.4</v>
      </c>
      <c r="I1129">
        <v>121998.39999999999</v>
      </c>
      <c r="J1129" t="s">
        <v>2077</v>
      </c>
      <c r="K1129">
        <v>5</v>
      </c>
      <c r="L1129" t="s">
        <v>44</v>
      </c>
      <c r="M1129" t="s">
        <v>45</v>
      </c>
    </row>
    <row r="1130" spans="1:13">
      <c r="A1130" t="s">
        <v>1631</v>
      </c>
      <c r="B1130" t="s">
        <v>179</v>
      </c>
      <c r="C1130" t="s">
        <v>45</v>
      </c>
      <c r="D1130" t="s">
        <v>1793</v>
      </c>
      <c r="E1130">
        <v>2</v>
      </c>
      <c r="F1130" t="s">
        <v>2577</v>
      </c>
      <c r="G1130" s="10">
        <v>45138</v>
      </c>
      <c r="H1130">
        <v>220000</v>
      </c>
      <c r="I1130">
        <v>95000</v>
      </c>
      <c r="J1130" t="s">
        <v>189</v>
      </c>
      <c r="K1130">
        <v>5</v>
      </c>
      <c r="L1130" t="s">
        <v>44</v>
      </c>
      <c r="M1130" t="s">
        <v>45</v>
      </c>
    </row>
    <row r="1131" spans="1:13">
      <c r="A1131" t="s">
        <v>2572</v>
      </c>
      <c r="B1131" t="s">
        <v>123</v>
      </c>
      <c r="C1131" t="s">
        <v>1093</v>
      </c>
      <c r="D1131" t="s">
        <v>2578</v>
      </c>
      <c r="E1131">
        <v>4</v>
      </c>
      <c r="F1131" t="s">
        <v>2579</v>
      </c>
      <c r="G1131" s="10">
        <v>45152</v>
      </c>
      <c r="H1131">
        <v>832</v>
      </c>
      <c r="I1131">
        <v>766</v>
      </c>
      <c r="J1131" t="s">
        <v>2565</v>
      </c>
      <c r="K1131">
        <v>6</v>
      </c>
      <c r="L1131" t="s">
        <v>24</v>
      </c>
      <c r="M1131" t="s">
        <v>26</v>
      </c>
    </row>
    <row r="1132" spans="1:13">
      <c r="A1132" t="s">
        <v>2572</v>
      </c>
      <c r="B1132" t="s">
        <v>123</v>
      </c>
      <c r="C1132" t="s">
        <v>1093</v>
      </c>
      <c r="D1132" t="s">
        <v>2580</v>
      </c>
      <c r="E1132">
        <v>4</v>
      </c>
      <c r="F1132" t="s">
        <v>2581</v>
      </c>
      <c r="G1132" s="10">
        <v>45152</v>
      </c>
      <c r="H1132">
        <v>832</v>
      </c>
      <c r="I1132">
        <v>766</v>
      </c>
      <c r="J1132" t="s">
        <v>2565</v>
      </c>
      <c r="K1132">
        <v>6</v>
      </c>
      <c r="L1132" t="s">
        <v>24</v>
      </c>
      <c r="M1132" t="s">
        <v>26</v>
      </c>
    </row>
    <row r="1133" spans="1:13">
      <c r="A1133" t="s">
        <v>2572</v>
      </c>
      <c r="B1133" t="s">
        <v>123</v>
      </c>
      <c r="C1133" t="s">
        <v>1093</v>
      </c>
      <c r="D1133" t="s">
        <v>1576</v>
      </c>
      <c r="E1133">
        <v>4</v>
      </c>
      <c r="F1133" t="s">
        <v>2582</v>
      </c>
      <c r="G1133" s="10">
        <v>45152</v>
      </c>
      <c r="H1133">
        <v>1144</v>
      </c>
      <c r="I1133">
        <v>1053</v>
      </c>
      <c r="J1133" t="s">
        <v>2565</v>
      </c>
      <c r="K1133">
        <v>6</v>
      </c>
      <c r="L1133" t="s">
        <v>24</v>
      </c>
      <c r="M1133" t="s">
        <v>26</v>
      </c>
    </row>
    <row r="1134" spans="1:13">
      <c r="A1134" t="s">
        <v>2572</v>
      </c>
      <c r="B1134" t="s">
        <v>123</v>
      </c>
      <c r="C1134" t="s">
        <v>1093</v>
      </c>
      <c r="D1134" t="s">
        <v>2583</v>
      </c>
      <c r="E1134">
        <v>4</v>
      </c>
      <c r="F1134" t="s">
        <v>2584</v>
      </c>
      <c r="G1134" s="10">
        <v>45152</v>
      </c>
      <c r="H1134">
        <v>1144</v>
      </c>
      <c r="I1134">
        <v>44</v>
      </c>
      <c r="J1134" t="s">
        <v>2565</v>
      </c>
      <c r="K1134">
        <v>6</v>
      </c>
      <c r="L1134" t="s">
        <v>24</v>
      </c>
      <c r="M1134" t="s">
        <v>26</v>
      </c>
    </row>
    <row r="1135" spans="1:13">
      <c r="A1135" t="s">
        <v>2562</v>
      </c>
      <c r="B1135" t="s">
        <v>146</v>
      </c>
      <c r="C1135" t="s">
        <v>98</v>
      </c>
      <c r="D1135" t="s">
        <v>2585</v>
      </c>
      <c r="E1135">
        <v>4</v>
      </c>
      <c r="F1135" t="s">
        <v>2586</v>
      </c>
      <c r="G1135" s="10">
        <v>45152</v>
      </c>
      <c r="H1135">
        <v>1144</v>
      </c>
      <c r="I1135">
        <v>1053</v>
      </c>
      <c r="J1135" t="s">
        <v>2565</v>
      </c>
      <c r="K1135">
        <v>6</v>
      </c>
      <c r="L1135" t="s">
        <v>24</v>
      </c>
      <c r="M1135" t="s">
        <v>26</v>
      </c>
    </row>
    <row r="1136" spans="1:13">
      <c r="A1136" t="s">
        <v>2562</v>
      </c>
      <c r="B1136" t="s">
        <v>146</v>
      </c>
      <c r="C1136" t="s">
        <v>98</v>
      </c>
      <c r="D1136" t="s">
        <v>2587</v>
      </c>
      <c r="E1136">
        <v>4</v>
      </c>
      <c r="F1136" t="s">
        <v>2588</v>
      </c>
      <c r="G1136" s="10">
        <v>45152</v>
      </c>
      <c r="H1136">
        <v>832</v>
      </c>
      <c r="I1136">
        <v>766</v>
      </c>
      <c r="J1136" t="s">
        <v>2565</v>
      </c>
      <c r="K1136">
        <v>6</v>
      </c>
      <c r="L1136" t="s">
        <v>24</v>
      </c>
      <c r="M1136" t="s">
        <v>26</v>
      </c>
    </row>
    <row r="1137" spans="1:13">
      <c r="A1137" t="s">
        <v>2562</v>
      </c>
      <c r="B1137" t="s">
        <v>146</v>
      </c>
      <c r="C1137" t="s">
        <v>98</v>
      </c>
      <c r="D1137" t="s">
        <v>2589</v>
      </c>
      <c r="E1137">
        <v>4</v>
      </c>
      <c r="F1137" t="s">
        <v>2590</v>
      </c>
      <c r="G1137" s="10">
        <v>45152</v>
      </c>
      <c r="H1137">
        <v>1144</v>
      </c>
      <c r="I1137">
        <v>1053</v>
      </c>
      <c r="J1137" t="s">
        <v>2565</v>
      </c>
      <c r="K1137">
        <v>6</v>
      </c>
      <c r="L1137" t="s">
        <v>24</v>
      </c>
      <c r="M1137" t="s">
        <v>26</v>
      </c>
    </row>
    <row r="1138" spans="1:13">
      <c r="A1138" t="s">
        <v>2562</v>
      </c>
      <c r="B1138" t="s">
        <v>146</v>
      </c>
      <c r="C1138" t="s">
        <v>98</v>
      </c>
      <c r="D1138" t="s">
        <v>2591</v>
      </c>
      <c r="E1138">
        <v>4</v>
      </c>
      <c r="F1138" t="s">
        <v>2592</v>
      </c>
      <c r="G1138" s="10">
        <v>45152</v>
      </c>
      <c r="H1138">
        <v>1144</v>
      </c>
      <c r="I1138">
        <v>1053</v>
      </c>
      <c r="J1138" t="s">
        <v>2565</v>
      </c>
      <c r="K1138">
        <v>6</v>
      </c>
      <c r="L1138" t="s">
        <v>24</v>
      </c>
      <c r="M1138" t="s">
        <v>26</v>
      </c>
    </row>
    <row r="1139" spans="1:13">
      <c r="A1139" t="s">
        <v>628</v>
      </c>
      <c r="B1139" t="s">
        <v>66</v>
      </c>
      <c r="C1139" t="s">
        <v>67</v>
      </c>
      <c r="D1139" t="s">
        <v>2593</v>
      </c>
      <c r="E1139">
        <v>2</v>
      </c>
      <c r="F1139" t="s">
        <v>2594</v>
      </c>
      <c r="G1139" s="10">
        <v>45140</v>
      </c>
      <c r="H1139">
        <v>48000</v>
      </c>
      <c r="I1139">
        <v>8000</v>
      </c>
      <c r="J1139" t="s">
        <v>163</v>
      </c>
      <c r="K1139">
        <v>6</v>
      </c>
      <c r="L1139" t="s">
        <v>35</v>
      </c>
      <c r="M1139" t="s">
        <v>27</v>
      </c>
    </row>
    <row r="1140" spans="1:13">
      <c r="A1140" t="s">
        <v>140</v>
      </c>
      <c r="B1140" t="s">
        <v>141</v>
      </c>
      <c r="C1140" t="s">
        <v>67</v>
      </c>
      <c r="D1140" t="s">
        <v>2595</v>
      </c>
      <c r="E1140">
        <v>2</v>
      </c>
      <c r="F1140" t="s">
        <v>2596</v>
      </c>
      <c r="G1140" s="10">
        <v>45139</v>
      </c>
      <c r="H1140">
        <v>32500</v>
      </c>
      <c r="I1140">
        <v>7500</v>
      </c>
      <c r="J1140" t="s">
        <v>163</v>
      </c>
      <c r="K1140">
        <v>6</v>
      </c>
      <c r="L1140" t="s">
        <v>35</v>
      </c>
      <c r="M1140" t="s">
        <v>27</v>
      </c>
    </row>
    <row r="1141" spans="1:13">
      <c r="A1141" t="s">
        <v>382</v>
      </c>
      <c r="B1141" t="s">
        <v>141</v>
      </c>
      <c r="C1141" t="s">
        <v>67</v>
      </c>
      <c r="D1141" t="s">
        <v>2597</v>
      </c>
      <c r="E1141">
        <v>2</v>
      </c>
      <c r="F1141" t="s">
        <v>2598</v>
      </c>
      <c r="G1141" s="10">
        <v>45140</v>
      </c>
      <c r="H1141">
        <v>32500</v>
      </c>
      <c r="I1141">
        <v>7500</v>
      </c>
      <c r="J1141" t="s">
        <v>163</v>
      </c>
      <c r="K1141">
        <v>5</v>
      </c>
      <c r="L1141" t="s">
        <v>35</v>
      </c>
      <c r="M1141" t="s">
        <v>27</v>
      </c>
    </row>
    <row r="1142" spans="1:13">
      <c r="A1142" t="s">
        <v>159</v>
      </c>
      <c r="B1142" t="s">
        <v>160</v>
      </c>
      <c r="C1142" t="s">
        <v>67</v>
      </c>
      <c r="D1142" t="s">
        <v>2599</v>
      </c>
      <c r="E1142">
        <v>2</v>
      </c>
      <c r="F1142" t="s">
        <v>2600</v>
      </c>
      <c r="G1142" s="10">
        <v>45145</v>
      </c>
      <c r="H1142">
        <v>32500</v>
      </c>
      <c r="I1142">
        <v>7500</v>
      </c>
      <c r="J1142" t="s">
        <v>163</v>
      </c>
      <c r="K1142">
        <v>6</v>
      </c>
      <c r="L1142" t="s">
        <v>35</v>
      </c>
      <c r="M1142" t="s">
        <v>27</v>
      </c>
    </row>
    <row r="1143" spans="1:13">
      <c r="A1143" t="s">
        <v>159</v>
      </c>
      <c r="B1143" t="s">
        <v>160</v>
      </c>
      <c r="C1143" t="s">
        <v>67</v>
      </c>
      <c r="D1143" t="s">
        <v>2601</v>
      </c>
      <c r="E1143">
        <v>2</v>
      </c>
      <c r="F1143" t="s">
        <v>2602</v>
      </c>
      <c r="G1143" s="10">
        <v>45170</v>
      </c>
      <c r="H1143">
        <v>48000</v>
      </c>
      <c r="I1143">
        <v>8000</v>
      </c>
      <c r="J1143" t="s">
        <v>163</v>
      </c>
      <c r="K1143">
        <v>6</v>
      </c>
      <c r="L1143" t="s">
        <v>35</v>
      </c>
      <c r="M1143" t="s">
        <v>27</v>
      </c>
    </row>
    <row r="1144" spans="1:13">
      <c r="A1144" t="s">
        <v>261</v>
      </c>
      <c r="B1144" t="s">
        <v>160</v>
      </c>
      <c r="C1144" t="s">
        <v>67</v>
      </c>
      <c r="D1144" t="s">
        <v>2603</v>
      </c>
      <c r="E1144">
        <v>2</v>
      </c>
      <c r="F1144" t="s">
        <v>2604</v>
      </c>
      <c r="G1144" s="10">
        <v>45139</v>
      </c>
      <c r="H1144">
        <v>46560</v>
      </c>
      <c r="I1144">
        <v>7760</v>
      </c>
      <c r="J1144" t="s">
        <v>163</v>
      </c>
      <c r="K1144">
        <v>6</v>
      </c>
      <c r="L1144" t="s">
        <v>35</v>
      </c>
      <c r="M1144" t="s">
        <v>27</v>
      </c>
    </row>
    <row r="1145" spans="1:13">
      <c r="A1145" t="s">
        <v>261</v>
      </c>
      <c r="B1145" t="s">
        <v>160</v>
      </c>
      <c r="C1145" t="s">
        <v>67</v>
      </c>
      <c r="D1145" t="s">
        <v>2605</v>
      </c>
      <c r="E1145">
        <v>2</v>
      </c>
      <c r="F1145" t="s">
        <v>2606</v>
      </c>
      <c r="G1145" s="10">
        <v>45145</v>
      </c>
      <c r="H1145">
        <v>47760</v>
      </c>
      <c r="I1145">
        <v>7960</v>
      </c>
      <c r="J1145" t="s">
        <v>163</v>
      </c>
      <c r="K1145">
        <v>6</v>
      </c>
      <c r="L1145" t="s">
        <v>35</v>
      </c>
      <c r="M1145" t="s">
        <v>27</v>
      </c>
    </row>
    <row r="1146" spans="1:13">
      <c r="A1146" t="s">
        <v>1547</v>
      </c>
      <c r="B1146" t="s">
        <v>160</v>
      </c>
      <c r="C1146" t="s">
        <v>67</v>
      </c>
      <c r="D1146" t="s">
        <v>2607</v>
      </c>
      <c r="E1146">
        <v>2</v>
      </c>
      <c r="F1146" t="s">
        <v>2608</v>
      </c>
      <c r="G1146" s="10">
        <v>45139</v>
      </c>
      <c r="H1146">
        <v>48000</v>
      </c>
      <c r="I1146">
        <v>8000</v>
      </c>
      <c r="J1146" t="s">
        <v>163</v>
      </c>
      <c r="K1146">
        <v>5</v>
      </c>
      <c r="L1146" t="s">
        <v>35</v>
      </c>
      <c r="M1146" t="s">
        <v>27</v>
      </c>
    </row>
    <row r="1147" spans="1:13">
      <c r="A1147" t="s">
        <v>376</v>
      </c>
      <c r="B1147" t="s">
        <v>66</v>
      </c>
      <c r="C1147" t="s">
        <v>67</v>
      </c>
      <c r="D1147" t="s">
        <v>2609</v>
      </c>
      <c r="E1147">
        <v>2</v>
      </c>
      <c r="F1147" t="s">
        <v>2610</v>
      </c>
      <c r="G1147" s="10">
        <v>45140</v>
      </c>
      <c r="H1147">
        <v>32500</v>
      </c>
      <c r="I1147">
        <v>7500</v>
      </c>
      <c r="J1147" t="s">
        <v>163</v>
      </c>
      <c r="K1147">
        <v>5</v>
      </c>
      <c r="L1147" t="s">
        <v>35</v>
      </c>
      <c r="M1147" t="s">
        <v>27</v>
      </c>
    </row>
    <row r="1148" spans="1:13">
      <c r="A1148" t="s">
        <v>297</v>
      </c>
      <c r="B1148" t="s">
        <v>179</v>
      </c>
      <c r="C1148" t="s">
        <v>45</v>
      </c>
      <c r="D1148" t="s">
        <v>2611</v>
      </c>
      <c r="E1148">
        <v>2</v>
      </c>
      <c r="F1148" t="s">
        <v>2612</v>
      </c>
      <c r="G1148" s="10">
        <v>45159</v>
      </c>
      <c r="H1148">
        <v>59583.3</v>
      </c>
      <c r="I1148">
        <v>13750.3</v>
      </c>
      <c r="J1148" t="s">
        <v>1414</v>
      </c>
      <c r="K1148">
        <v>5</v>
      </c>
      <c r="L1148" t="s">
        <v>44</v>
      </c>
      <c r="M1148" t="s">
        <v>49</v>
      </c>
    </row>
    <row r="1149" spans="1:13">
      <c r="A1149" t="s">
        <v>376</v>
      </c>
      <c r="B1149" t="s">
        <v>66</v>
      </c>
      <c r="C1149" t="s">
        <v>67</v>
      </c>
      <c r="D1149" t="s">
        <v>2613</v>
      </c>
      <c r="E1149">
        <v>2</v>
      </c>
      <c r="F1149" t="s">
        <v>2614</v>
      </c>
      <c r="G1149" s="10">
        <v>45159</v>
      </c>
      <c r="H1149">
        <v>26775</v>
      </c>
      <c r="I1149">
        <v>6775</v>
      </c>
      <c r="J1149" t="s">
        <v>250</v>
      </c>
      <c r="K1149">
        <v>6</v>
      </c>
      <c r="L1149" t="s">
        <v>24</v>
      </c>
      <c r="M1149" t="s">
        <v>29</v>
      </c>
    </row>
    <row r="1150" spans="1:13">
      <c r="A1150" t="s">
        <v>741</v>
      </c>
      <c r="B1150" t="s">
        <v>46</v>
      </c>
      <c r="C1150" t="s">
        <v>741</v>
      </c>
      <c r="D1150" t="s">
        <v>2615</v>
      </c>
      <c r="E1150">
        <v>4</v>
      </c>
      <c r="F1150" t="s">
        <v>2616</v>
      </c>
      <c r="G1150" s="10">
        <v>45099</v>
      </c>
      <c r="H1150">
        <v>28350</v>
      </c>
      <c r="I1150">
        <v>9350</v>
      </c>
      <c r="J1150" t="s">
        <v>1573</v>
      </c>
      <c r="K1150">
        <v>6</v>
      </c>
      <c r="L1150" t="s">
        <v>44</v>
      </c>
      <c r="M1150" s="3" t="s">
        <v>46</v>
      </c>
    </row>
    <row r="1151" spans="1:13">
      <c r="A1151" t="s">
        <v>2617</v>
      </c>
      <c r="B1151" t="s">
        <v>2267</v>
      </c>
      <c r="C1151" t="s">
        <v>94</v>
      </c>
      <c r="D1151" t="s">
        <v>2618</v>
      </c>
      <c r="E1151">
        <v>2</v>
      </c>
      <c r="F1151" t="s">
        <v>2619</v>
      </c>
      <c r="G1151" s="10">
        <v>45142</v>
      </c>
      <c r="H1151">
        <v>47760</v>
      </c>
      <c r="I1151">
        <v>7960</v>
      </c>
      <c r="J1151" t="s">
        <v>163</v>
      </c>
      <c r="K1151">
        <v>6</v>
      </c>
      <c r="L1151" t="s">
        <v>35</v>
      </c>
      <c r="M1151" t="s">
        <v>27</v>
      </c>
    </row>
    <row r="1152" spans="1:13">
      <c r="A1152" t="s">
        <v>170</v>
      </c>
      <c r="B1152" t="s">
        <v>66</v>
      </c>
      <c r="C1152" t="s">
        <v>67</v>
      </c>
      <c r="D1152" t="s">
        <v>2620</v>
      </c>
      <c r="E1152">
        <v>1</v>
      </c>
      <c r="F1152" t="s">
        <v>2621</v>
      </c>
      <c r="G1152" s="10">
        <v>45159</v>
      </c>
      <c r="H1152">
        <v>26775</v>
      </c>
      <c r="I1152">
        <v>6775</v>
      </c>
      <c r="J1152" t="s">
        <v>250</v>
      </c>
      <c r="K1152">
        <v>5</v>
      </c>
      <c r="L1152" t="s">
        <v>24</v>
      </c>
      <c r="M1152" t="s">
        <v>29</v>
      </c>
    </row>
    <row r="1153" spans="1:13">
      <c r="A1153" t="s">
        <v>1547</v>
      </c>
      <c r="B1153" t="s">
        <v>160</v>
      </c>
      <c r="C1153" t="s">
        <v>67</v>
      </c>
      <c r="D1153" t="s">
        <v>2622</v>
      </c>
      <c r="E1153">
        <v>2</v>
      </c>
      <c r="F1153" t="s">
        <v>2623</v>
      </c>
      <c r="G1153" s="10">
        <v>45140</v>
      </c>
      <c r="H1153">
        <v>33600</v>
      </c>
      <c r="I1153">
        <v>5600</v>
      </c>
      <c r="J1153" t="s">
        <v>163</v>
      </c>
      <c r="K1153">
        <v>6</v>
      </c>
      <c r="L1153" t="s">
        <v>35</v>
      </c>
      <c r="M1153" t="s">
        <v>27</v>
      </c>
    </row>
    <row r="1154" spans="1:13">
      <c r="A1154" t="s">
        <v>376</v>
      </c>
      <c r="B1154" t="s">
        <v>66</v>
      </c>
      <c r="C1154" t="s">
        <v>67</v>
      </c>
      <c r="D1154" t="s">
        <v>2624</v>
      </c>
      <c r="E1154">
        <v>2</v>
      </c>
      <c r="F1154" t="s">
        <v>2625</v>
      </c>
      <c r="G1154" s="10">
        <v>45159</v>
      </c>
      <c r="H1154">
        <v>26775</v>
      </c>
      <c r="I1154">
        <v>6775</v>
      </c>
      <c r="J1154" t="s">
        <v>250</v>
      </c>
      <c r="K1154">
        <v>6</v>
      </c>
      <c r="L1154" t="s">
        <v>24</v>
      </c>
      <c r="M1154" t="s">
        <v>29</v>
      </c>
    </row>
    <row r="1155" spans="1:13">
      <c r="A1155" t="s">
        <v>1547</v>
      </c>
      <c r="B1155" t="s">
        <v>160</v>
      </c>
      <c r="C1155" t="s">
        <v>67</v>
      </c>
      <c r="D1155" t="s">
        <v>2626</v>
      </c>
      <c r="E1155">
        <v>1</v>
      </c>
      <c r="F1155" t="s">
        <v>2627</v>
      </c>
      <c r="G1155" s="10">
        <v>45159</v>
      </c>
      <c r="H1155">
        <v>26775</v>
      </c>
      <c r="I1155">
        <v>6775</v>
      </c>
      <c r="J1155" t="s">
        <v>250</v>
      </c>
      <c r="K1155">
        <v>6</v>
      </c>
      <c r="L1155" t="s">
        <v>24</v>
      </c>
      <c r="M1155" t="s">
        <v>29</v>
      </c>
    </row>
    <row r="1156" spans="1:13">
      <c r="A1156" t="s">
        <v>854</v>
      </c>
      <c r="B1156" t="s">
        <v>93</v>
      </c>
      <c r="C1156" t="s">
        <v>94</v>
      </c>
      <c r="D1156" t="s">
        <v>2628</v>
      </c>
      <c r="E1156">
        <v>2</v>
      </c>
      <c r="F1156" t="s">
        <v>2629</v>
      </c>
      <c r="G1156" s="10">
        <v>45138</v>
      </c>
      <c r="H1156">
        <v>115500</v>
      </c>
      <c r="I1156">
        <v>32167</v>
      </c>
      <c r="J1156" t="s">
        <v>97</v>
      </c>
      <c r="K1156">
        <v>6</v>
      </c>
      <c r="L1156" t="s">
        <v>41</v>
      </c>
      <c r="M1156" t="s">
        <v>42</v>
      </c>
    </row>
    <row r="1157" spans="1:13">
      <c r="A1157" t="s">
        <v>194</v>
      </c>
      <c r="B1157" t="s">
        <v>160</v>
      </c>
      <c r="C1157" t="s">
        <v>67</v>
      </c>
      <c r="D1157" t="s">
        <v>2630</v>
      </c>
      <c r="E1157">
        <v>2</v>
      </c>
      <c r="F1157" t="s">
        <v>2631</v>
      </c>
      <c r="G1157" s="10">
        <v>45145</v>
      </c>
      <c r="H1157">
        <v>46560</v>
      </c>
      <c r="I1157">
        <v>7760</v>
      </c>
      <c r="J1157" t="s">
        <v>163</v>
      </c>
      <c r="K1157">
        <v>5</v>
      </c>
      <c r="L1157" t="s">
        <v>35</v>
      </c>
      <c r="M1157" t="s">
        <v>27</v>
      </c>
    </row>
    <row r="1158" spans="1:13">
      <c r="A1158" t="s">
        <v>266</v>
      </c>
      <c r="B1158" t="s">
        <v>160</v>
      </c>
      <c r="C1158" t="s">
        <v>67</v>
      </c>
      <c r="D1158" t="s">
        <v>2632</v>
      </c>
      <c r="E1158">
        <v>1</v>
      </c>
      <c r="F1158" t="s">
        <v>2633</v>
      </c>
      <c r="G1158" s="10">
        <v>45159</v>
      </c>
      <c r="H1158">
        <v>26775</v>
      </c>
      <c r="I1158">
        <v>6775</v>
      </c>
      <c r="J1158" t="s">
        <v>250</v>
      </c>
      <c r="K1158">
        <v>6</v>
      </c>
      <c r="L1158" t="s">
        <v>24</v>
      </c>
      <c r="M1158" t="s">
        <v>29</v>
      </c>
    </row>
    <row r="1159" spans="1:13">
      <c r="A1159" t="s">
        <v>261</v>
      </c>
      <c r="B1159" t="s">
        <v>160</v>
      </c>
      <c r="C1159" t="s">
        <v>67</v>
      </c>
      <c r="D1159" t="s">
        <v>2634</v>
      </c>
      <c r="E1159">
        <v>2</v>
      </c>
      <c r="F1159" t="s">
        <v>2635</v>
      </c>
      <c r="G1159" s="10">
        <v>45145</v>
      </c>
      <c r="H1159">
        <v>32500</v>
      </c>
      <c r="I1159">
        <v>7500</v>
      </c>
      <c r="J1159" t="s">
        <v>163</v>
      </c>
      <c r="K1159">
        <v>6</v>
      </c>
      <c r="L1159" t="s">
        <v>35</v>
      </c>
      <c r="M1159" t="s">
        <v>27</v>
      </c>
    </row>
    <row r="1160" spans="1:13">
      <c r="A1160" t="s">
        <v>194</v>
      </c>
      <c r="B1160" t="s">
        <v>160</v>
      </c>
      <c r="C1160" t="s">
        <v>67</v>
      </c>
      <c r="D1160" t="s">
        <v>2636</v>
      </c>
      <c r="E1160">
        <v>2</v>
      </c>
      <c r="F1160" t="s">
        <v>2637</v>
      </c>
      <c r="G1160" s="10">
        <v>45145</v>
      </c>
      <c r="H1160">
        <v>48000</v>
      </c>
      <c r="I1160">
        <v>8000</v>
      </c>
      <c r="J1160" t="s">
        <v>163</v>
      </c>
      <c r="K1160">
        <v>6</v>
      </c>
      <c r="L1160" t="s">
        <v>35</v>
      </c>
      <c r="M1160" t="s">
        <v>27</v>
      </c>
    </row>
    <row r="1161" spans="1:13">
      <c r="A1161" t="s">
        <v>81</v>
      </c>
      <c r="B1161" t="s">
        <v>82</v>
      </c>
      <c r="C1161" t="s">
        <v>28</v>
      </c>
      <c r="D1161" t="s">
        <v>2638</v>
      </c>
      <c r="E1161">
        <v>2</v>
      </c>
      <c r="F1161" t="s">
        <v>2639</v>
      </c>
      <c r="G1161" s="10">
        <v>45141</v>
      </c>
      <c r="H1161">
        <v>119700</v>
      </c>
      <c r="I1161">
        <v>57200</v>
      </c>
      <c r="J1161" t="s">
        <v>834</v>
      </c>
      <c r="K1161">
        <v>5</v>
      </c>
      <c r="L1161" t="s">
        <v>37</v>
      </c>
      <c r="M1161" t="s">
        <v>25</v>
      </c>
    </row>
    <row r="1162" spans="1:13">
      <c r="A1162" t="s">
        <v>266</v>
      </c>
      <c r="B1162" t="s">
        <v>160</v>
      </c>
      <c r="C1162" t="s">
        <v>67</v>
      </c>
      <c r="D1162" t="s">
        <v>2640</v>
      </c>
      <c r="E1162">
        <v>2</v>
      </c>
      <c r="F1162" t="s">
        <v>2641</v>
      </c>
      <c r="G1162" s="10">
        <v>45140</v>
      </c>
      <c r="H1162">
        <v>17700</v>
      </c>
      <c r="I1162">
        <v>2700</v>
      </c>
      <c r="J1162" t="s">
        <v>193</v>
      </c>
      <c r="K1162">
        <v>5</v>
      </c>
      <c r="L1162" t="s">
        <v>35</v>
      </c>
      <c r="M1162" t="s">
        <v>27</v>
      </c>
    </row>
    <row r="1163" spans="1:13">
      <c r="A1163" t="s">
        <v>194</v>
      </c>
      <c r="B1163" t="s">
        <v>160</v>
      </c>
      <c r="C1163" t="s">
        <v>67</v>
      </c>
      <c r="D1163" t="s">
        <v>2642</v>
      </c>
      <c r="E1163">
        <v>2</v>
      </c>
      <c r="F1163" t="s">
        <v>2643</v>
      </c>
      <c r="G1163" s="10">
        <v>45146</v>
      </c>
      <c r="H1163">
        <v>48000</v>
      </c>
      <c r="I1163">
        <v>8000</v>
      </c>
      <c r="J1163" t="s">
        <v>163</v>
      </c>
      <c r="K1163">
        <v>6</v>
      </c>
      <c r="L1163" t="s">
        <v>35</v>
      </c>
      <c r="M1163" t="s">
        <v>27</v>
      </c>
    </row>
    <row r="1164" spans="1:13">
      <c r="A1164" t="s">
        <v>256</v>
      </c>
      <c r="B1164" t="s">
        <v>160</v>
      </c>
      <c r="C1164" t="s">
        <v>67</v>
      </c>
      <c r="D1164" t="s">
        <v>2644</v>
      </c>
      <c r="E1164">
        <v>1</v>
      </c>
      <c r="F1164" t="s">
        <v>2645</v>
      </c>
      <c r="G1164" s="10">
        <v>45139</v>
      </c>
      <c r="H1164">
        <v>32130</v>
      </c>
      <c r="I1164">
        <v>12130</v>
      </c>
      <c r="J1164" t="s">
        <v>250</v>
      </c>
      <c r="K1164">
        <v>6</v>
      </c>
      <c r="L1164" t="s">
        <v>24</v>
      </c>
      <c r="M1164" t="s">
        <v>29</v>
      </c>
    </row>
    <row r="1165" spans="1:13">
      <c r="A1165" t="s">
        <v>208</v>
      </c>
      <c r="B1165" t="s">
        <v>93</v>
      </c>
      <c r="C1165" t="s">
        <v>94</v>
      </c>
      <c r="D1165" t="s">
        <v>2646</v>
      </c>
      <c r="E1165">
        <v>7</v>
      </c>
      <c r="F1165" t="s">
        <v>2647</v>
      </c>
      <c r="G1165" s="10">
        <v>45204</v>
      </c>
      <c r="H1165">
        <v>103183</v>
      </c>
      <c r="I1165">
        <v>4443</v>
      </c>
      <c r="J1165" t="s">
        <v>313</v>
      </c>
      <c r="K1165">
        <v>5</v>
      </c>
      <c r="L1165" t="s">
        <v>41</v>
      </c>
      <c r="M1165" t="s">
        <v>42</v>
      </c>
    </row>
    <row r="1166" spans="1:13">
      <c r="A1166" t="s">
        <v>361</v>
      </c>
      <c r="B1166" t="s">
        <v>72</v>
      </c>
      <c r="C1166" t="s">
        <v>67</v>
      </c>
      <c r="D1166" t="s">
        <v>2648</v>
      </c>
      <c r="E1166">
        <v>2</v>
      </c>
      <c r="F1166" t="s">
        <v>2649</v>
      </c>
      <c r="G1166" s="10">
        <v>45149</v>
      </c>
      <c r="H1166">
        <v>48000</v>
      </c>
      <c r="I1166">
        <v>8000</v>
      </c>
      <c r="J1166" t="s">
        <v>163</v>
      </c>
      <c r="K1166">
        <v>5</v>
      </c>
      <c r="L1166" t="s">
        <v>35</v>
      </c>
      <c r="M1166" t="s">
        <v>27</v>
      </c>
    </row>
    <row r="1167" spans="1:13">
      <c r="A1167" t="s">
        <v>969</v>
      </c>
      <c r="B1167" t="s">
        <v>93</v>
      </c>
      <c r="C1167" t="s">
        <v>94</v>
      </c>
      <c r="D1167" t="s">
        <v>2650</v>
      </c>
      <c r="E1167">
        <v>2</v>
      </c>
      <c r="F1167" t="s">
        <v>2651</v>
      </c>
      <c r="G1167" s="10">
        <v>45152</v>
      </c>
      <c r="H1167">
        <v>140700</v>
      </c>
      <c r="I1167">
        <v>40700</v>
      </c>
      <c r="J1167" t="s">
        <v>97</v>
      </c>
      <c r="K1167">
        <v>5</v>
      </c>
      <c r="L1167" t="s">
        <v>41</v>
      </c>
      <c r="M1167" t="s">
        <v>42</v>
      </c>
    </row>
    <row r="1168" spans="1:13">
      <c r="A1168" t="s">
        <v>361</v>
      </c>
      <c r="B1168" t="s">
        <v>72</v>
      </c>
      <c r="C1168" t="s">
        <v>67</v>
      </c>
      <c r="D1168" t="s">
        <v>2652</v>
      </c>
      <c r="E1168">
        <v>1</v>
      </c>
      <c r="F1168" t="s">
        <v>2653</v>
      </c>
      <c r="G1168" s="10">
        <v>45159</v>
      </c>
      <c r="H1168">
        <v>26775</v>
      </c>
      <c r="I1168">
        <v>6775</v>
      </c>
      <c r="J1168" t="s">
        <v>250</v>
      </c>
      <c r="K1168">
        <v>6</v>
      </c>
      <c r="L1168" t="s">
        <v>24</v>
      </c>
      <c r="M1168" t="s">
        <v>29</v>
      </c>
    </row>
    <row r="1169" spans="1:13">
      <c r="A1169" t="s">
        <v>2654</v>
      </c>
      <c r="B1169" t="s">
        <v>52</v>
      </c>
      <c r="C1169" t="s">
        <v>741</v>
      </c>
      <c r="D1169" t="s">
        <v>2655</v>
      </c>
      <c r="E1169">
        <v>4</v>
      </c>
      <c r="F1169" t="s">
        <v>2656</v>
      </c>
      <c r="G1169" s="10">
        <v>45099</v>
      </c>
      <c r="H1169">
        <v>28350</v>
      </c>
      <c r="I1169">
        <v>7350</v>
      </c>
      <c r="J1169" t="s">
        <v>1573</v>
      </c>
      <c r="K1169">
        <v>6</v>
      </c>
      <c r="L1169" t="s">
        <v>44</v>
      </c>
      <c r="M1169" s="3" t="s">
        <v>46</v>
      </c>
    </row>
    <row r="1170" spans="1:13">
      <c r="A1170" t="s">
        <v>190</v>
      </c>
      <c r="B1170" t="s">
        <v>160</v>
      </c>
      <c r="C1170" t="s">
        <v>67</v>
      </c>
      <c r="D1170" t="s">
        <v>2657</v>
      </c>
      <c r="E1170">
        <v>2</v>
      </c>
      <c r="F1170" t="s">
        <v>2658</v>
      </c>
      <c r="G1170" s="10">
        <v>45128</v>
      </c>
      <c r="H1170">
        <v>17400</v>
      </c>
      <c r="I1170">
        <v>2400</v>
      </c>
      <c r="J1170" t="s">
        <v>193</v>
      </c>
      <c r="K1170">
        <v>5</v>
      </c>
      <c r="L1170" t="s">
        <v>35</v>
      </c>
      <c r="M1170" t="s">
        <v>27</v>
      </c>
    </row>
    <row r="1171" spans="1:13">
      <c r="A1171" t="s">
        <v>1817</v>
      </c>
      <c r="B1171" t="s">
        <v>224</v>
      </c>
      <c r="C1171" t="s">
        <v>94</v>
      </c>
      <c r="D1171" t="s">
        <v>2659</v>
      </c>
      <c r="E1171">
        <v>2</v>
      </c>
      <c r="F1171" t="s">
        <v>2660</v>
      </c>
      <c r="G1171" s="10">
        <v>45147</v>
      </c>
      <c r="H1171">
        <v>26000</v>
      </c>
      <c r="I1171">
        <v>3000</v>
      </c>
      <c r="J1171" t="s">
        <v>227</v>
      </c>
      <c r="K1171">
        <v>6</v>
      </c>
      <c r="L1171" t="s">
        <v>41</v>
      </c>
      <c r="M1171" t="s">
        <v>42</v>
      </c>
    </row>
    <row r="1172" spans="1:13">
      <c r="A1172" t="s">
        <v>190</v>
      </c>
      <c r="B1172" t="s">
        <v>160</v>
      </c>
      <c r="C1172" t="s">
        <v>67</v>
      </c>
      <c r="D1172" t="s">
        <v>2661</v>
      </c>
      <c r="E1172">
        <v>2</v>
      </c>
      <c r="F1172" t="s">
        <v>2662</v>
      </c>
      <c r="G1172" s="10">
        <v>45135</v>
      </c>
      <c r="H1172">
        <v>38525</v>
      </c>
      <c r="I1172">
        <v>5025</v>
      </c>
      <c r="J1172" t="s">
        <v>193</v>
      </c>
      <c r="K1172">
        <v>6</v>
      </c>
      <c r="L1172" t="s">
        <v>35</v>
      </c>
      <c r="M1172" t="s">
        <v>27</v>
      </c>
    </row>
    <row r="1173" spans="1:13">
      <c r="A1173" t="s">
        <v>140</v>
      </c>
      <c r="B1173" t="s">
        <v>141</v>
      </c>
      <c r="C1173" t="s">
        <v>67</v>
      </c>
      <c r="D1173" t="s">
        <v>2663</v>
      </c>
      <c r="E1173">
        <v>1</v>
      </c>
      <c r="F1173" t="s">
        <v>2664</v>
      </c>
      <c r="G1173" s="10">
        <v>45159</v>
      </c>
      <c r="H1173">
        <v>26775</v>
      </c>
      <c r="I1173">
        <v>6775</v>
      </c>
      <c r="J1173" t="s">
        <v>250</v>
      </c>
      <c r="K1173">
        <v>6</v>
      </c>
      <c r="L1173" t="s">
        <v>24</v>
      </c>
      <c r="M1173" t="s">
        <v>29</v>
      </c>
    </row>
    <row r="1174" spans="1:13">
      <c r="A1174" t="s">
        <v>266</v>
      </c>
      <c r="B1174" t="s">
        <v>160</v>
      </c>
      <c r="C1174" t="s">
        <v>67</v>
      </c>
      <c r="D1174" t="s">
        <v>2665</v>
      </c>
      <c r="E1174">
        <v>1</v>
      </c>
      <c r="F1174" t="s">
        <v>2666</v>
      </c>
      <c r="G1174" s="10">
        <v>45170</v>
      </c>
      <c r="H1174">
        <v>0</v>
      </c>
      <c r="I1174">
        <v>-20000</v>
      </c>
      <c r="J1174" t="s">
        <v>250</v>
      </c>
      <c r="K1174">
        <v>6</v>
      </c>
      <c r="L1174" t="s">
        <v>24</v>
      </c>
      <c r="M1174" t="s">
        <v>29</v>
      </c>
    </row>
    <row r="1175" spans="1:13">
      <c r="A1175" t="s">
        <v>190</v>
      </c>
      <c r="B1175" t="s">
        <v>160</v>
      </c>
      <c r="C1175" t="s">
        <v>67</v>
      </c>
      <c r="D1175" t="s">
        <v>2667</v>
      </c>
      <c r="E1175">
        <v>2</v>
      </c>
      <c r="F1175" t="s">
        <v>2668</v>
      </c>
      <c r="G1175" s="10">
        <v>45133</v>
      </c>
      <c r="H1175">
        <v>17400</v>
      </c>
      <c r="I1175">
        <v>2400</v>
      </c>
      <c r="J1175" t="s">
        <v>193</v>
      </c>
      <c r="K1175">
        <v>6</v>
      </c>
      <c r="L1175" t="s">
        <v>35</v>
      </c>
      <c r="M1175" t="s">
        <v>27</v>
      </c>
    </row>
    <row r="1176" spans="1:13">
      <c r="A1176" t="s">
        <v>297</v>
      </c>
      <c r="B1176" t="s">
        <v>179</v>
      </c>
      <c r="C1176" t="s">
        <v>45</v>
      </c>
      <c r="D1176" t="s">
        <v>1885</v>
      </c>
      <c r="E1176">
        <v>2</v>
      </c>
      <c r="F1176" t="s">
        <v>2669</v>
      </c>
      <c r="G1176" s="10">
        <v>45140</v>
      </c>
      <c r="H1176">
        <v>199500</v>
      </c>
      <c r="I1176">
        <v>107834</v>
      </c>
      <c r="J1176" t="s">
        <v>1414</v>
      </c>
      <c r="K1176">
        <v>5</v>
      </c>
      <c r="L1176" t="s">
        <v>44</v>
      </c>
      <c r="M1176" t="s">
        <v>49</v>
      </c>
    </row>
    <row r="1177" spans="1:13">
      <c r="A1177" t="s">
        <v>251</v>
      </c>
      <c r="B1177" t="s">
        <v>160</v>
      </c>
      <c r="C1177" t="s">
        <v>67</v>
      </c>
      <c r="D1177" t="s">
        <v>2670</v>
      </c>
      <c r="E1177">
        <v>2</v>
      </c>
      <c r="F1177" t="s">
        <v>2671</v>
      </c>
      <c r="G1177" s="10">
        <v>45146</v>
      </c>
      <c r="H1177">
        <v>21850</v>
      </c>
      <c r="I1177">
        <v>2850</v>
      </c>
      <c r="J1177" t="s">
        <v>193</v>
      </c>
      <c r="K1177">
        <v>5</v>
      </c>
      <c r="L1177" t="s">
        <v>35</v>
      </c>
      <c r="M1177" t="s">
        <v>27</v>
      </c>
    </row>
    <row r="1178" spans="1:13">
      <c r="A1178" t="s">
        <v>1772</v>
      </c>
      <c r="B1178" t="s">
        <v>1030</v>
      </c>
      <c r="C1178" t="s">
        <v>94</v>
      </c>
      <c r="D1178" t="s">
        <v>2672</v>
      </c>
      <c r="E1178">
        <v>2</v>
      </c>
      <c r="F1178" t="s">
        <v>2673</v>
      </c>
      <c r="G1178" s="10">
        <v>45166</v>
      </c>
      <c r="H1178">
        <v>39589.26</v>
      </c>
      <c r="I1178">
        <v>7923.26</v>
      </c>
      <c r="J1178" t="s">
        <v>227</v>
      </c>
      <c r="K1178">
        <v>6</v>
      </c>
      <c r="L1178" t="s">
        <v>41</v>
      </c>
      <c r="M1178" t="s">
        <v>42</v>
      </c>
    </row>
    <row r="1179" spans="1:13">
      <c r="A1179" t="s">
        <v>2674</v>
      </c>
      <c r="B1179" t="s">
        <v>356</v>
      </c>
      <c r="C1179" t="s">
        <v>1950</v>
      </c>
      <c r="D1179" t="s">
        <v>2675</v>
      </c>
      <c r="E1179">
        <v>4</v>
      </c>
      <c r="F1179" t="s">
        <v>2676</v>
      </c>
      <c r="G1179" s="10">
        <v>45100</v>
      </c>
      <c r="H1179">
        <v>29700</v>
      </c>
      <c r="I1179">
        <v>6700</v>
      </c>
      <c r="J1179" t="s">
        <v>1573</v>
      </c>
      <c r="K1179">
        <v>6</v>
      </c>
      <c r="L1179" t="s">
        <v>44</v>
      </c>
      <c r="M1179" s="3" t="s">
        <v>46</v>
      </c>
    </row>
    <row r="1180" spans="1:13">
      <c r="A1180" t="s">
        <v>266</v>
      </c>
      <c r="B1180" t="s">
        <v>160</v>
      </c>
      <c r="C1180" t="s">
        <v>67</v>
      </c>
      <c r="D1180" t="s">
        <v>2677</v>
      </c>
      <c r="E1180">
        <v>2</v>
      </c>
      <c r="F1180" t="s">
        <v>2678</v>
      </c>
      <c r="G1180" s="10">
        <v>45142</v>
      </c>
      <c r="H1180">
        <v>22420</v>
      </c>
      <c r="I1180">
        <v>3420</v>
      </c>
      <c r="J1180" t="s">
        <v>193</v>
      </c>
      <c r="K1180">
        <v>5</v>
      </c>
      <c r="L1180" t="s">
        <v>35</v>
      </c>
      <c r="M1180" t="s">
        <v>27</v>
      </c>
    </row>
    <row r="1181" spans="1:13">
      <c r="A1181" t="s">
        <v>76</v>
      </c>
      <c r="B1181" t="s">
        <v>72</v>
      </c>
      <c r="C1181" t="s">
        <v>67</v>
      </c>
      <c r="D1181" t="s">
        <v>2679</v>
      </c>
      <c r="E1181">
        <v>1</v>
      </c>
      <c r="F1181" t="s">
        <v>2680</v>
      </c>
      <c r="G1181" s="10">
        <v>45141</v>
      </c>
      <c r="H1181">
        <v>72292.5</v>
      </c>
      <c r="I1181">
        <v>9792.5</v>
      </c>
      <c r="J1181" t="s">
        <v>250</v>
      </c>
      <c r="K1181">
        <v>6</v>
      </c>
      <c r="L1181" t="s">
        <v>24</v>
      </c>
      <c r="M1181" t="s">
        <v>29</v>
      </c>
    </row>
    <row r="1182" spans="1:13">
      <c r="A1182" t="s">
        <v>431</v>
      </c>
      <c r="B1182" t="s">
        <v>160</v>
      </c>
      <c r="C1182" t="s">
        <v>67</v>
      </c>
      <c r="D1182" t="s">
        <v>2681</v>
      </c>
      <c r="E1182">
        <v>2</v>
      </c>
      <c r="F1182" t="s">
        <v>2682</v>
      </c>
      <c r="G1182" s="10">
        <v>45145</v>
      </c>
      <c r="H1182">
        <v>45600</v>
      </c>
      <c r="I1182">
        <v>7600</v>
      </c>
      <c r="J1182" t="s">
        <v>163</v>
      </c>
      <c r="K1182">
        <v>6</v>
      </c>
      <c r="L1182" t="s">
        <v>35</v>
      </c>
      <c r="M1182" t="s">
        <v>27</v>
      </c>
    </row>
    <row r="1183" spans="1:13">
      <c r="A1183" t="s">
        <v>2141</v>
      </c>
      <c r="B1183" t="s">
        <v>66</v>
      </c>
      <c r="C1183" t="s">
        <v>67</v>
      </c>
      <c r="D1183" t="s">
        <v>2683</v>
      </c>
      <c r="E1183">
        <v>2</v>
      </c>
      <c r="F1183" t="s">
        <v>2684</v>
      </c>
      <c r="G1183" s="10">
        <v>45159</v>
      </c>
      <c r="H1183">
        <v>26775</v>
      </c>
      <c r="I1183">
        <v>6775</v>
      </c>
      <c r="J1183" t="s">
        <v>250</v>
      </c>
      <c r="K1183">
        <v>6</v>
      </c>
      <c r="L1183" t="s">
        <v>24</v>
      </c>
      <c r="M1183" t="s">
        <v>29</v>
      </c>
    </row>
    <row r="1184" spans="1:13">
      <c r="A1184" t="s">
        <v>2141</v>
      </c>
      <c r="B1184" t="s">
        <v>66</v>
      </c>
      <c r="C1184" t="s">
        <v>67</v>
      </c>
      <c r="D1184" t="s">
        <v>2685</v>
      </c>
      <c r="E1184">
        <v>1</v>
      </c>
      <c r="F1184" t="s">
        <v>2686</v>
      </c>
      <c r="G1184" s="10">
        <v>45159</v>
      </c>
      <c r="H1184">
        <v>26775</v>
      </c>
      <c r="I1184">
        <v>6775</v>
      </c>
      <c r="J1184" t="s">
        <v>250</v>
      </c>
      <c r="K1184">
        <v>6</v>
      </c>
      <c r="L1184" t="s">
        <v>24</v>
      </c>
      <c r="M1184" t="s">
        <v>29</v>
      </c>
    </row>
    <row r="1185" spans="1:13">
      <c r="A1185" t="s">
        <v>1193</v>
      </c>
      <c r="B1185" t="s">
        <v>141</v>
      </c>
      <c r="C1185" t="s">
        <v>67</v>
      </c>
      <c r="D1185" t="s">
        <v>2687</v>
      </c>
      <c r="E1185">
        <v>1</v>
      </c>
      <c r="F1185" t="s">
        <v>2688</v>
      </c>
      <c r="G1185" s="10">
        <v>45159</v>
      </c>
      <c r="H1185">
        <v>26775</v>
      </c>
      <c r="I1185">
        <v>6775</v>
      </c>
      <c r="J1185" t="s">
        <v>250</v>
      </c>
      <c r="K1185">
        <v>6</v>
      </c>
      <c r="L1185" t="s">
        <v>24</v>
      </c>
      <c r="M1185" t="s">
        <v>29</v>
      </c>
    </row>
    <row r="1186" spans="1:13">
      <c r="A1186" t="s">
        <v>186</v>
      </c>
      <c r="B1186" t="s">
        <v>179</v>
      </c>
      <c r="C1186" t="s">
        <v>45</v>
      </c>
      <c r="D1186" t="s">
        <v>2689</v>
      </c>
      <c r="E1186">
        <v>2</v>
      </c>
      <c r="F1186" t="s">
        <v>2690</v>
      </c>
      <c r="G1186" s="10">
        <v>45161</v>
      </c>
      <c r="H1186">
        <v>386400</v>
      </c>
      <c r="I1186">
        <v>90567</v>
      </c>
      <c r="J1186" t="s">
        <v>189</v>
      </c>
      <c r="K1186">
        <v>5</v>
      </c>
      <c r="L1186" t="s">
        <v>44</v>
      </c>
      <c r="M1186" t="s">
        <v>45</v>
      </c>
    </row>
    <row r="1187" spans="1:13">
      <c r="A1187" t="s">
        <v>194</v>
      </c>
      <c r="B1187" t="s">
        <v>160</v>
      </c>
      <c r="C1187" t="s">
        <v>67</v>
      </c>
      <c r="D1187" t="s">
        <v>2691</v>
      </c>
      <c r="E1187">
        <v>2</v>
      </c>
      <c r="F1187" t="s">
        <v>2692</v>
      </c>
      <c r="G1187" s="10">
        <v>45142</v>
      </c>
      <c r="H1187">
        <v>48000</v>
      </c>
      <c r="I1187">
        <v>8000</v>
      </c>
      <c r="J1187" t="s">
        <v>163</v>
      </c>
      <c r="K1187">
        <v>6</v>
      </c>
      <c r="L1187" t="s">
        <v>35</v>
      </c>
      <c r="M1187" t="s">
        <v>27</v>
      </c>
    </row>
    <row r="1188" spans="1:13">
      <c r="A1188" t="s">
        <v>194</v>
      </c>
      <c r="B1188" t="s">
        <v>160</v>
      </c>
      <c r="C1188" t="s">
        <v>67</v>
      </c>
      <c r="D1188" t="s">
        <v>2693</v>
      </c>
      <c r="E1188">
        <v>1</v>
      </c>
      <c r="F1188" t="s">
        <v>2694</v>
      </c>
      <c r="G1188" s="10">
        <v>45159</v>
      </c>
      <c r="H1188">
        <v>26775</v>
      </c>
      <c r="I1188">
        <v>6775</v>
      </c>
      <c r="J1188" t="s">
        <v>250</v>
      </c>
      <c r="K1188">
        <v>6</v>
      </c>
      <c r="L1188" t="s">
        <v>24</v>
      </c>
      <c r="M1188" t="s">
        <v>29</v>
      </c>
    </row>
    <row r="1189" spans="1:13">
      <c r="A1189" t="s">
        <v>376</v>
      </c>
      <c r="B1189" t="s">
        <v>66</v>
      </c>
      <c r="C1189" t="s">
        <v>67</v>
      </c>
      <c r="D1189" t="s">
        <v>2695</v>
      </c>
      <c r="E1189">
        <v>2</v>
      </c>
      <c r="F1189" t="s">
        <v>2696</v>
      </c>
      <c r="G1189" s="10">
        <v>45145</v>
      </c>
      <c r="H1189">
        <v>48000</v>
      </c>
      <c r="I1189">
        <v>8000</v>
      </c>
      <c r="J1189" t="s">
        <v>163</v>
      </c>
      <c r="K1189">
        <v>5</v>
      </c>
      <c r="L1189" t="s">
        <v>35</v>
      </c>
      <c r="M1189" t="s">
        <v>27</v>
      </c>
    </row>
    <row r="1190" spans="1:13">
      <c r="A1190" t="s">
        <v>376</v>
      </c>
      <c r="B1190" t="s">
        <v>66</v>
      </c>
      <c r="C1190" t="s">
        <v>67</v>
      </c>
      <c r="D1190" t="s">
        <v>2697</v>
      </c>
      <c r="E1190">
        <v>2</v>
      </c>
      <c r="F1190" t="s">
        <v>2698</v>
      </c>
      <c r="G1190" s="10">
        <v>45149</v>
      </c>
      <c r="H1190">
        <v>32500</v>
      </c>
      <c r="I1190">
        <v>7500</v>
      </c>
      <c r="J1190" t="s">
        <v>163</v>
      </c>
      <c r="K1190">
        <v>6</v>
      </c>
      <c r="L1190" t="s">
        <v>35</v>
      </c>
      <c r="M1190" t="s">
        <v>27</v>
      </c>
    </row>
    <row r="1191" spans="1:13">
      <c r="A1191" t="s">
        <v>1228</v>
      </c>
      <c r="B1191" t="s">
        <v>224</v>
      </c>
      <c r="C1191" t="s">
        <v>94</v>
      </c>
      <c r="D1191" t="s">
        <v>2699</v>
      </c>
      <c r="E1191">
        <v>2</v>
      </c>
      <c r="F1191" t="s">
        <v>2700</v>
      </c>
      <c r="G1191" s="10">
        <v>45166</v>
      </c>
      <c r="H1191">
        <v>86000</v>
      </c>
      <c r="I1191">
        <v>11000</v>
      </c>
      <c r="J1191" t="s">
        <v>227</v>
      </c>
      <c r="K1191">
        <v>5</v>
      </c>
      <c r="L1191" t="s">
        <v>41</v>
      </c>
      <c r="M1191" t="s">
        <v>42</v>
      </c>
    </row>
    <row r="1192" spans="1:13">
      <c r="A1192" t="s">
        <v>1039</v>
      </c>
      <c r="B1192" t="s">
        <v>28</v>
      </c>
      <c r="C1192" t="s">
        <v>238</v>
      </c>
      <c r="D1192" t="s">
        <v>2701</v>
      </c>
      <c r="E1192">
        <v>2</v>
      </c>
      <c r="F1192" t="s">
        <v>2702</v>
      </c>
      <c r="G1192" s="10">
        <v>45159</v>
      </c>
      <c r="H1192">
        <v>88200</v>
      </c>
      <c r="I1192">
        <v>25700</v>
      </c>
      <c r="J1192" t="s">
        <v>834</v>
      </c>
      <c r="K1192">
        <v>5</v>
      </c>
      <c r="L1192" t="s">
        <v>37</v>
      </c>
      <c r="M1192" t="s">
        <v>25</v>
      </c>
    </row>
    <row r="1193" spans="1:13">
      <c r="A1193" t="s">
        <v>2617</v>
      </c>
      <c r="B1193" t="s">
        <v>2267</v>
      </c>
      <c r="C1193" t="s">
        <v>94</v>
      </c>
      <c r="D1193" t="s">
        <v>2703</v>
      </c>
      <c r="E1193">
        <v>2</v>
      </c>
      <c r="F1193" t="s">
        <v>2704</v>
      </c>
      <c r="G1193" s="10">
        <v>45152</v>
      </c>
      <c r="H1193">
        <v>32500</v>
      </c>
      <c r="I1193">
        <v>7500</v>
      </c>
      <c r="J1193" t="s">
        <v>163</v>
      </c>
      <c r="K1193">
        <v>6</v>
      </c>
      <c r="L1193" t="s">
        <v>35</v>
      </c>
      <c r="M1193" t="s">
        <v>27</v>
      </c>
    </row>
    <row r="1194" spans="1:13">
      <c r="A1194" t="s">
        <v>790</v>
      </c>
      <c r="B1194" t="s">
        <v>455</v>
      </c>
      <c r="C1194" t="s">
        <v>455</v>
      </c>
      <c r="D1194" t="s">
        <v>2705</v>
      </c>
      <c r="E1194">
        <v>2</v>
      </c>
      <c r="F1194" t="s">
        <v>2706</v>
      </c>
      <c r="G1194" s="10">
        <v>45147</v>
      </c>
      <c r="H1194">
        <v>140280</v>
      </c>
      <c r="I1194">
        <v>15280</v>
      </c>
      <c r="J1194" t="s">
        <v>458</v>
      </c>
      <c r="K1194">
        <v>6</v>
      </c>
      <c r="L1194" t="s">
        <v>37</v>
      </c>
      <c r="M1194" t="s">
        <v>33</v>
      </c>
    </row>
    <row r="1195" spans="1:13">
      <c r="A1195" t="s">
        <v>194</v>
      </c>
      <c r="B1195" t="s">
        <v>160</v>
      </c>
      <c r="C1195" t="s">
        <v>67</v>
      </c>
      <c r="D1195" t="s">
        <v>2707</v>
      </c>
      <c r="E1195">
        <v>1</v>
      </c>
      <c r="F1195" t="s">
        <v>2708</v>
      </c>
      <c r="G1195" s="10">
        <v>45194</v>
      </c>
      <c r="H1195">
        <v>26775</v>
      </c>
      <c r="I1195">
        <v>6775</v>
      </c>
      <c r="J1195" t="s">
        <v>250</v>
      </c>
      <c r="K1195">
        <v>6</v>
      </c>
      <c r="L1195" t="s">
        <v>24</v>
      </c>
      <c r="M1195" t="s">
        <v>29</v>
      </c>
    </row>
    <row r="1196" spans="1:13">
      <c r="A1196" t="s">
        <v>266</v>
      </c>
      <c r="B1196" t="s">
        <v>160</v>
      </c>
      <c r="C1196" t="s">
        <v>67</v>
      </c>
      <c r="D1196" t="s">
        <v>2709</v>
      </c>
      <c r="E1196">
        <v>2</v>
      </c>
      <c r="F1196" t="s">
        <v>2710</v>
      </c>
      <c r="G1196" s="10">
        <v>45146</v>
      </c>
      <c r="H1196">
        <v>17400</v>
      </c>
      <c r="I1196">
        <v>2400</v>
      </c>
      <c r="J1196" t="s">
        <v>193</v>
      </c>
      <c r="K1196">
        <v>5</v>
      </c>
      <c r="L1196" t="s">
        <v>35</v>
      </c>
      <c r="M1196" t="s">
        <v>27</v>
      </c>
    </row>
    <row r="1197" spans="1:13">
      <c r="A1197" t="s">
        <v>275</v>
      </c>
      <c r="B1197" t="s">
        <v>160</v>
      </c>
      <c r="C1197" t="s">
        <v>67</v>
      </c>
      <c r="D1197" t="s">
        <v>2711</v>
      </c>
      <c r="E1197">
        <v>2</v>
      </c>
      <c r="F1197" t="s">
        <v>2712</v>
      </c>
      <c r="G1197" s="10">
        <v>45147</v>
      </c>
      <c r="H1197">
        <v>32500</v>
      </c>
      <c r="I1197">
        <v>7500</v>
      </c>
      <c r="J1197" t="s">
        <v>163</v>
      </c>
      <c r="K1197">
        <v>6</v>
      </c>
      <c r="L1197" t="s">
        <v>35</v>
      </c>
      <c r="M1197" t="s">
        <v>27</v>
      </c>
    </row>
    <row r="1198" spans="1:13">
      <c r="A1198" t="s">
        <v>275</v>
      </c>
      <c r="B1198" t="s">
        <v>160</v>
      </c>
      <c r="C1198" t="s">
        <v>67</v>
      </c>
      <c r="D1198" t="s">
        <v>2713</v>
      </c>
      <c r="E1198">
        <v>2</v>
      </c>
      <c r="F1198" t="s">
        <v>2714</v>
      </c>
      <c r="G1198" s="10">
        <v>45147</v>
      </c>
      <c r="H1198">
        <v>32500</v>
      </c>
      <c r="I1198">
        <v>7500</v>
      </c>
      <c r="J1198" t="s">
        <v>163</v>
      </c>
      <c r="K1198">
        <v>6</v>
      </c>
      <c r="L1198" t="s">
        <v>35</v>
      </c>
      <c r="M1198" t="s">
        <v>27</v>
      </c>
    </row>
    <row r="1199" spans="1:13">
      <c r="A1199" t="s">
        <v>275</v>
      </c>
      <c r="B1199" t="s">
        <v>160</v>
      </c>
      <c r="C1199" t="s">
        <v>67</v>
      </c>
      <c r="D1199" t="s">
        <v>2715</v>
      </c>
      <c r="E1199">
        <v>2</v>
      </c>
      <c r="F1199" t="s">
        <v>2716</v>
      </c>
      <c r="G1199" s="10">
        <v>45146</v>
      </c>
      <c r="H1199">
        <v>48000</v>
      </c>
      <c r="I1199">
        <v>8000</v>
      </c>
      <c r="J1199" t="s">
        <v>163</v>
      </c>
      <c r="K1199">
        <v>6</v>
      </c>
      <c r="L1199" t="s">
        <v>35</v>
      </c>
      <c r="M1199" t="s">
        <v>27</v>
      </c>
    </row>
    <row r="1200" spans="1:13">
      <c r="A1200" t="s">
        <v>431</v>
      </c>
      <c r="B1200" t="s">
        <v>160</v>
      </c>
      <c r="C1200" t="s">
        <v>67</v>
      </c>
      <c r="D1200" t="s">
        <v>2717</v>
      </c>
      <c r="E1200">
        <v>2</v>
      </c>
      <c r="F1200" t="s">
        <v>2718</v>
      </c>
      <c r="G1200" s="10">
        <v>45147</v>
      </c>
      <c r="H1200">
        <v>21275</v>
      </c>
      <c r="I1200">
        <v>2775</v>
      </c>
      <c r="J1200" t="s">
        <v>193</v>
      </c>
      <c r="K1200">
        <v>6</v>
      </c>
      <c r="L1200" t="s">
        <v>35</v>
      </c>
      <c r="M1200" t="s">
        <v>27</v>
      </c>
    </row>
    <row r="1201" spans="1:13">
      <c r="A1201" t="s">
        <v>870</v>
      </c>
      <c r="B1201" t="s">
        <v>215</v>
      </c>
      <c r="C1201" t="s">
        <v>94</v>
      </c>
      <c r="D1201" t="s">
        <v>2719</v>
      </c>
      <c r="E1201">
        <v>2</v>
      </c>
      <c r="F1201" t="s">
        <v>2720</v>
      </c>
      <c r="G1201" s="10">
        <v>45152</v>
      </c>
      <c r="H1201">
        <v>132300</v>
      </c>
      <c r="I1201">
        <v>69800</v>
      </c>
      <c r="J1201" t="s">
        <v>97</v>
      </c>
      <c r="K1201">
        <v>5</v>
      </c>
      <c r="L1201" t="s">
        <v>41</v>
      </c>
      <c r="M1201" t="s">
        <v>42</v>
      </c>
    </row>
    <row r="1202" spans="1:13">
      <c r="A1202" t="s">
        <v>197</v>
      </c>
      <c r="B1202" t="s">
        <v>160</v>
      </c>
      <c r="C1202" t="s">
        <v>67</v>
      </c>
      <c r="D1202" t="s">
        <v>2721</v>
      </c>
      <c r="E1202">
        <v>2</v>
      </c>
      <c r="F1202" t="s">
        <v>2722</v>
      </c>
      <c r="G1202" s="10">
        <v>45149</v>
      </c>
      <c r="H1202">
        <v>21275</v>
      </c>
      <c r="I1202">
        <v>2775</v>
      </c>
      <c r="J1202" t="s">
        <v>163</v>
      </c>
      <c r="K1202">
        <v>6</v>
      </c>
      <c r="L1202" t="s">
        <v>35</v>
      </c>
      <c r="M1202" t="s">
        <v>27</v>
      </c>
    </row>
    <row r="1203" spans="1:13">
      <c r="A1203" t="s">
        <v>197</v>
      </c>
      <c r="B1203" t="s">
        <v>160</v>
      </c>
      <c r="C1203" t="s">
        <v>67</v>
      </c>
      <c r="D1203" t="s">
        <v>2723</v>
      </c>
      <c r="E1203">
        <v>2</v>
      </c>
      <c r="F1203" t="s">
        <v>2724</v>
      </c>
      <c r="G1203" s="10">
        <v>45147</v>
      </c>
      <c r="H1203">
        <v>32500</v>
      </c>
      <c r="I1203">
        <v>7500</v>
      </c>
      <c r="J1203" t="s">
        <v>163</v>
      </c>
      <c r="K1203">
        <v>6</v>
      </c>
      <c r="L1203" t="s">
        <v>35</v>
      </c>
      <c r="M1203" t="s">
        <v>27</v>
      </c>
    </row>
    <row r="1204" spans="1:13">
      <c r="A1204" t="s">
        <v>645</v>
      </c>
      <c r="B1204" t="s">
        <v>28</v>
      </c>
      <c r="C1204" t="s">
        <v>238</v>
      </c>
      <c r="D1204" t="s">
        <v>2725</v>
      </c>
      <c r="E1204">
        <v>4</v>
      </c>
      <c r="F1204" t="s">
        <v>2726</v>
      </c>
      <c r="G1204" s="10">
        <v>45173</v>
      </c>
      <c r="H1204">
        <v>16800</v>
      </c>
      <c r="I1204">
        <v>16733.330000000002</v>
      </c>
      <c r="J1204" t="s">
        <v>2727</v>
      </c>
      <c r="K1204">
        <v>6</v>
      </c>
      <c r="L1204" t="s">
        <v>24</v>
      </c>
      <c r="M1204" t="s">
        <v>26</v>
      </c>
    </row>
    <row r="1205" spans="1:13">
      <c r="A1205" t="s">
        <v>28</v>
      </c>
      <c r="B1205" t="s">
        <v>37</v>
      </c>
      <c r="C1205" t="s">
        <v>28</v>
      </c>
      <c r="D1205" t="s">
        <v>2728</v>
      </c>
      <c r="E1205">
        <v>4</v>
      </c>
      <c r="F1205" t="s">
        <v>2729</v>
      </c>
      <c r="G1205" s="10">
        <v>45173</v>
      </c>
      <c r="H1205">
        <v>832</v>
      </c>
      <c r="I1205">
        <v>766</v>
      </c>
      <c r="J1205" t="s">
        <v>2565</v>
      </c>
      <c r="K1205">
        <v>6</v>
      </c>
      <c r="L1205" t="s">
        <v>24</v>
      </c>
      <c r="M1205" t="s">
        <v>26</v>
      </c>
    </row>
    <row r="1206" spans="1:13">
      <c r="A1206" t="s">
        <v>779</v>
      </c>
      <c r="B1206" t="s">
        <v>215</v>
      </c>
      <c r="C1206" t="s">
        <v>94</v>
      </c>
      <c r="D1206" t="s">
        <v>2730</v>
      </c>
      <c r="E1206">
        <v>2</v>
      </c>
      <c r="F1206" t="s">
        <v>2731</v>
      </c>
      <c r="G1206" s="10">
        <v>45166</v>
      </c>
      <c r="H1206">
        <v>39000</v>
      </c>
      <c r="I1206">
        <v>9834</v>
      </c>
      <c r="J1206" t="s">
        <v>227</v>
      </c>
      <c r="K1206">
        <v>5</v>
      </c>
      <c r="L1206" t="s">
        <v>41</v>
      </c>
      <c r="M1206" t="s">
        <v>42</v>
      </c>
    </row>
    <row r="1207" spans="1:13">
      <c r="A1207" t="s">
        <v>140</v>
      </c>
      <c r="B1207" t="s">
        <v>141</v>
      </c>
      <c r="C1207" t="s">
        <v>67</v>
      </c>
      <c r="D1207" t="s">
        <v>2732</v>
      </c>
      <c r="E1207">
        <v>1</v>
      </c>
      <c r="F1207" t="s">
        <v>2733</v>
      </c>
      <c r="G1207" s="10">
        <v>45159</v>
      </c>
      <c r="H1207">
        <v>26775</v>
      </c>
      <c r="I1207">
        <v>6775</v>
      </c>
      <c r="J1207" t="s">
        <v>250</v>
      </c>
      <c r="K1207">
        <v>6</v>
      </c>
      <c r="L1207" t="s">
        <v>24</v>
      </c>
      <c r="M1207" t="s">
        <v>29</v>
      </c>
    </row>
    <row r="1208" spans="1:13">
      <c r="A1208" t="s">
        <v>661</v>
      </c>
      <c r="B1208" t="s">
        <v>179</v>
      </c>
      <c r="C1208" t="s">
        <v>45</v>
      </c>
      <c r="D1208" t="s">
        <v>2734</v>
      </c>
      <c r="E1208">
        <v>2</v>
      </c>
      <c r="F1208" t="s">
        <v>2735</v>
      </c>
      <c r="G1208" s="10">
        <v>45149</v>
      </c>
      <c r="H1208">
        <v>336000</v>
      </c>
      <c r="I1208">
        <v>161000</v>
      </c>
      <c r="J1208" t="s">
        <v>189</v>
      </c>
      <c r="K1208">
        <v>5</v>
      </c>
      <c r="L1208" t="s">
        <v>44</v>
      </c>
      <c r="M1208" t="s">
        <v>45</v>
      </c>
    </row>
    <row r="1209" spans="1:13">
      <c r="A1209" t="s">
        <v>140</v>
      </c>
      <c r="B1209" t="s">
        <v>141</v>
      </c>
      <c r="C1209" t="s">
        <v>67</v>
      </c>
      <c r="D1209" t="s">
        <v>2736</v>
      </c>
      <c r="E1209">
        <v>1</v>
      </c>
      <c r="F1209" t="s">
        <v>2737</v>
      </c>
      <c r="G1209" s="10">
        <v>45159</v>
      </c>
      <c r="H1209">
        <v>26775</v>
      </c>
      <c r="I1209">
        <v>6775</v>
      </c>
      <c r="J1209" t="s">
        <v>250</v>
      </c>
      <c r="K1209">
        <v>6</v>
      </c>
      <c r="L1209" t="s">
        <v>24</v>
      </c>
      <c r="M1209" t="s">
        <v>29</v>
      </c>
    </row>
    <row r="1210" spans="1:13">
      <c r="A1210" t="s">
        <v>190</v>
      </c>
      <c r="B1210" t="s">
        <v>160</v>
      </c>
      <c r="C1210" t="s">
        <v>67</v>
      </c>
      <c r="D1210" t="s">
        <v>2738</v>
      </c>
      <c r="E1210">
        <v>2</v>
      </c>
      <c r="F1210" t="s">
        <v>2739</v>
      </c>
      <c r="G1210" s="10">
        <v>45152</v>
      </c>
      <c r="H1210">
        <v>47520</v>
      </c>
      <c r="I1210">
        <v>7920</v>
      </c>
      <c r="J1210" t="s">
        <v>163</v>
      </c>
      <c r="K1210">
        <v>6</v>
      </c>
      <c r="L1210" t="s">
        <v>35</v>
      </c>
      <c r="M1210" t="s">
        <v>27</v>
      </c>
    </row>
    <row r="1211" spans="1:13">
      <c r="A1211" t="s">
        <v>194</v>
      </c>
      <c r="B1211" t="s">
        <v>160</v>
      </c>
      <c r="C1211" t="s">
        <v>67</v>
      </c>
      <c r="D1211" t="s">
        <v>2740</v>
      </c>
      <c r="E1211">
        <v>1</v>
      </c>
      <c r="F1211" t="s">
        <v>2741</v>
      </c>
      <c r="G1211" s="10">
        <v>45159</v>
      </c>
      <c r="H1211">
        <v>26775</v>
      </c>
      <c r="I1211">
        <v>6775</v>
      </c>
      <c r="J1211" t="s">
        <v>250</v>
      </c>
      <c r="K1211">
        <v>6</v>
      </c>
      <c r="L1211" t="s">
        <v>24</v>
      </c>
      <c r="M1211" t="s">
        <v>29</v>
      </c>
    </row>
    <row r="1212" spans="1:13">
      <c r="A1212" t="s">
        <v>1658</v>
      </c>
      <c r="B1212" t="s">
        <v>160</v>
      </c>
      <c r="C1212" t="s">
        <v>67</v>
      </c>
      <c r="D1212" t="s">
        <v>2742</v>
      </c>
      <c r="E1212">
        <v>2</v>
      </c>
      <c r="F1212" t="s">
        <v>2743</v>
      </c>
      <c r="G1212" s="10">
        <v>45147</v>
      </c>
      <c r="H1212">
        <v>21850</v>
      </c>
      <c r="I1212">
        <v>2850</v>
      </c>
      <c r="J1212" t="s">
        <v>193</v>
      </c>
      <c r="K1212">
        <v>6</v>
      </c>
      <c r="L1212" t="s">
        <v>35</v>
      </c>
      <c r="M1212" t="s">
        <v>27</v>
      </c>
    </row>
    <row r="1213" spans="1:13">
      <c r="A1213" t="s">
        <v>1658</v>
      </c>
      <c r="B1213" t="s">
        <v>160</v>
      </c>
      <c r="C1213" t="s">
        <v>67</v>
      </c>
      <c r="D1213" t="s">
        <v>2744</v>
      </c>
      <c r="E1213">
        <v>2</v>
      </c>
      <c r="F1213" t="s">
        <v>2745</v>
      </c>
      <c r="G1213" s="10">
        <v>45148</v>
      </c>
      <c r="H1213">
        <v>21850</v>
      </c>
      <c r="I1213">
        <v>2850</v>
      </c>
      <c r="J1213" t="s">
        <v>193</v>
      </c>
      <c r="K1213">
        <v>5</v>
      </c>
      <c r="L1213" t="s">
        <v>35</v>
      </c>
      <c r="M1213" t="s">
        <v>27</v>
      </c>
    </row>
    <row r="1214" spans="1:13">
      <c r="A1214" t="s">
        <v>628</v>
      </c>
      <c r="B1214" t="s">
        <v>66</v>
      </c>
      <c r="C1214" t="s">
        <v>67</v>
      </c>
      <c r="D1214" t="s">
        <v>2746</v>
      </c>
      <c r="E1214">
        <v>2</v>
      </c>
      <c r="F1214" t="s">
        <v>2747</v>
      </c>
      <c r="G1214" s="10">
        <v>45148</v>
      </c>
      <c r="H1214">
        <v>45600</v>
      </c>
      <c r="I1214">
        <v>7600</v>
      </c>
      <c r="J1214" t="s">
        <v>163</v>
      </c>
      <c r="K1214">
        <v>6</v>
      </c>
      <c r="L1214" t="s">
        <v>35</v>
      </c>
      <c r="M1214" t="s">
        <v>27</v>
      </c>
    </row>
    <row r="1215" spans="1:13">
      <c r="A1215" t="s">
        <v>251</v>
      </c>
      <c r="B1215" t="s">
        <v>160</v>
      </c>
      <c r="C1215" t="s">
        <v>67</v>
      </c>
      <c r="D1215" t="s">
        <v>2748</v>
      </c>
      <c r="E1215">
        <v>1</v>
      </c>
      <c r="F1215" t="s">
        <v>2749</v>
      </c>
      <c r="G1215" s="10">
        <v>45194</v>
      </c>
      <c r="H1215">
        <v>26775</v>
      </c>
      <c r="I1215">
        <v>6775</v>
      </c>
      <c r="J1215" t="s">
        <v>250</v>
      </c>
      <c r="K1215">
        <v>6</v>
      </c>
      <c r="L1215" t="s">
        <v>24</v>
      </c>
      <c r="M1215" t="s">
        <v>29</v>
      </c>
    </row>
    <row r="1216" spans="1:13">
      <c r="A1216" t="s">
        <v>676</v>
      </c>
      <c r="B1216" t="s">
        <v>28</v>
      </c>
      <c r="C1216" t="s">
        <v>238</v>
      </c>
      <c r="D1216" t="s">
        <v>2750</v>
      </c>
      <c r="E1216">
        <v>4</v>
      </c>
      <c r="F1216" t="s">
        <v>2751</v>
      </c>
      <c r="G1216" s="10">
        <v>45173</v>
      </c>
      <c r="H1216">
        <v>832</v>
      </c>
      <c r="I1216">
        <v>766</v>
      </c>
      <c r="J1216" t="s">
        <v>2727</v>
      </c>
      <c r="K1216">
        <v>6</v>
      </c>
      <c r="L1216" t="s">
        <v>24</v>
      </c>
      <c r="M1216" t="s">
        <v>26</v>
      </c>
    </row>
    <row r="1217" spans="1:13">
      <c r="A1217" t="s">
        <v>140</v>
      </c>
      <c r="B1217" t="s">
        <v>141</v>
      </c>
      <c r="C1217" t="s">
        <v>67</v>
      </c>
      <c r="D1217" t="s">
        <v>2752</v>
      </c>
      <c r="E1217">
        <v>1</v>
      </c>
      <c r="F1217" t="s">
        <v>2753</v>
      </c>
      <c r="G1217" s="10">
        <v>45159</v>
      </c>
      <c r="H1217">
        <v>26775</v>
      </c>
      <c r="I1217">
        <v>6775</v>
      </c>
      <c r="J1217" t="s">
        <v>250</v>
      </c>
      <c r="K1217">
        <v>6</v>
      </c>
      <c r="L1217" t="s">
        <v>24</v>
      </c>
      <c r="M1217" t="s">
        <v>29</v>
      </c>
    </row>
    <row r="1218" spans="1:13">
      <c r="A1218" t="s">
        <v>256</v>
      </c>
      <c r="B1218" t="s">
        <v>160</v>
      </c>
      <c r="C1218" t="s">
        <v>67</v>
      </c>
      <c r="D1218" t="s">
        <v>2754</v>
      </c>
      <c r="E1218">
        <v>1</v>
      </c>
      <c r="F1218" t="s">
        <v>2755</v>
      </c>
      <c r="G1218" s="10">
        <v>45159</v>
      </c>
      <c r="H1218">
        <v>26775</v>
      </c>
      <c r="I1218">
        <v>6775</v>
      </c>
      <c r="J1218" t="s">
        <v>250</v>
      </c>
      <c r="K1218">
        <v>6</v>
      </c>
      <c r="L1218" t="s">
        <v>24</v>
      </c>
      <c r="M1218" t="s">
        <v>29</v>
      </c>
    </row>
    <row r="1219" spans="1:13">
      <c r="A1219" t="s">
        <v>379</v>
      </c>
      <c r="B1219" t="s">
        <v>179</v>
      </c>
      <c r="C1219" t="s">
        <v>45</v>
      </c>
      <c r="D1219" t="s">
        <v>2756</v>
      </c>
      <c r="E1219">
        <v>2</v>
      </c>
      <c r="F1219" t="s">
        <v>2757</v>
      </c>
      <c r="G1219" s="10">
        <v>45159</v>
      </c>
      <c r="H1219">
        <v>242500</v>
      </c>
      <c r="I1219">
        <v>59167</v>
      </c>
      <c r="J1219" t="s">
        <v>300</v>
      </c>
      <c r="K1219">
        <v>5</v>
      </c>
      <c r="L1219" t="s">
        <v>44</v>
      </c>
      <c r="M1219" t="s">
        <v>48</v>
      </c>
    </row>
    <row r="1220" spans="1:13">
      <c r="A1220" t="s">
        <v>984</v>
      </c>
      <c r="B1220" t="s">
        <v>28</v>
      </c>
      <c r="C1220" t="s">
        <v>238</v>
      </c>
      <c r="D1220" t="s">
        <v>2758</v>
      </c>
      <c r="E1220">
        <v>4</v>
      </c>
      <c r="F1220" t="s">
        <v>2759</v>
      </c>
      <c r="G1220" s="10">
        <v>45173</v>
      </c>
      <c r="H1220">
        <v>520</v>
      </c>
      <c r="I1220">
        <v>479</v>
      </c>
      <c r="J1220" t="s">
        <v>2760</v>
      </c>
      <c r="K1220">
        <v>6</v>
      </c>
      <c r="L1220" t="s">
        <v>24</v>
      </c>
      <c r="M1220" t="s">
        <v>26</v>
      </c>
    </row>
    <row r="1221" spans="1:13">
      <c r="A1221" t="s">
        <v>341</v>
      </c>
      <c r="B1221" t="s">
        <v>179</v>
      </c>
      <c r="C1221" t="s">
        <v>45</v>
      </c>
      <c r="D1221" t="s">
        <v>2761</v>
      </c>
      <c r="E1221">
        <v>2</v>
      </c>
      <c r="F1221" t="s">
        <v>2762</v>
      </c>
      <c r="G1221" s="10">
        <v>45159</v>
      </c>
      <c r="H1221">
        <v>386400</v>
      </c>
      <c r="I1221">
        <v>128067</v>
      </c>
      <c r="J1221" t="s">
        <v>189</v>
      </c>
      <c r="K1221">
        <v>5</v>
      </c>
      <c r="L1221" t="s">
        <v>44</v>
      </c>
      <c r="M1221" t="s">
        <v>45</v>
      </c>
    </row>
    <row r="1222" spans="1:13">
      <c r="A1222" t="s">
        <v>197</v>
      </c>
      <c r="B1222" t="s">
        <v>160</v>
      </c>
      <c r="C1222" t="s">
        <v>67</v>
      </c>
      <c r="D1222" t="s">
        <v>2763</v>
      </c>
      <c r="E1222">
        <v>2</v>
      </c>
      <c r="F1222" t="s">
        <v>2764</v>
      </c>
      <c r="G1222" s="10">
        <v>45149</v>
      </c>
      <c r="H1222">
        <v>21850</v>
      </c>
      <c r="I1222">
        <v>2850</v>
      </c>
      <c r="J1222" t="s">
        <v>193</v>
      </c>
      <c r="K1222">
        <v>5</v>
      </c>
      <c r="L1222" t="s">
        <v>35</v>
      </c>
      <c r="M1222" t="s">
        <v>27</v>
      </c>
    </row>
    <row r="1223" spans="1:13">
      <c r="A1223" t="s">
        <v>261</v>
      </c>
      <c r="B1223" t="s">
        <v>160</v>
      </c>
      <c r="C1223" t="s">
        <v>67</v>
      </c>
      <c r="D1223" t="s">
        <v>2765</v>
      </c>
      <c r="E1223">
        <v>2</v>
      </c>
      <c r="F1223" t="s">
        <v>2766</v>
      </c>
      <c r="G1223" s="10">
        <v>45149</v>
      </c>
      <c r="H1223">
        <v>45600</v>
      </c>
      <c r="I1223">
        <v>7600</v>
      </c>
      <c r="J1223" t="s">
        <v>163</v>
      </c>
      <c r="K1223">
        <v>6</v>
      </c>
      <c r="L1223" t="s">
        <v>35</v>
      </c>
      <c r="M1223" t="s">
        <v>27</v>
      </c>
    </row>
    <row r="1224" spans="1:13">
      <c r="A1224" t="s">
        <v>261</v>
      </c>
      <c r="B1224" t="s">
        <v>160</v>
      </c>
      <c r="C1224" t="s">
        <v>67</v>
      </c>
      <c r="D1224" t="s">
        <v>2767</v>
      </c>
      <c r="E1224">
        <v>2</v>
      </c>
      <c r="F1224" t="s">
        <v>2768</v>
      </c>
      <c r="G1224" s="10">
        <v>45149</v>
      </c>
      <c r="H1224">
        <v>32500</v>
      </c>
      <c r="I1224">
        <v>7500</v>
      </c>
      <c r="J1224" t="s">
        <v>163</v>
      </c>
      <c r="K1224">
        <v>6</v>
      </c>
      <c r="L1224" t="s">
        <v>35</v>
      </c>
      <c r="M1224" t="s">
        <v>27</v>
      </c>
    </row>
    <row r="1225" spans="1:13">
      <c r="A1225" t="s">
        <v>2544</v>
      </c>
      <c r="B1225" t="s">
        <v>52</v>
      </c>
      <c r="C1225" t="s">
        <v>741</v>
      </c>
      <c r="D1225" t="s">
        <v>2769</v>
      </c>
      <c r="E1225">
        <v>4</v>
      </c>
      <c r="F1225" t="s">
        <v>2770</v>
      </c>
      <c r="G1225" s="10">
        <v>45100</v>
      </c>
      <c r="H1225">
        <v>28350</v>
      </c>
      <c r="I1225">
        <v>7350</v>
      </c>
      <c r="J1225" t="s">
        <v>1573</v>
      </c>
      <c r="K1225">
        <v>6</v>
      </c>
      <c r="L1225" t="s">
        <v>44</v>
      </c>
      <c r="M1225" s="3" t="s">
        <v>46</v>
      </c>
    </row>
    <row r="1226" spans="1:13">
      <c r="A1226" t="s">
        <v>1193</v>
      </c>
      <c r="B1226" t="s">
        <v>141</v>
      </c>
      <c r="C1226" t="s">
        <v>67</v>
      </c>
      <c r="D1226" t="s">
        <v>2771</v>
      </c>
      <c r="E1226">
        <v>1</v>
      </c>
      <c r="F1226" t="s">
        <v>2772</v>
      </c>
      <c r="G1226" s="10">
        <v>45194</v>
      </c>
      <c r="H1226">
        <v>26775</v>
      </c>
      <c r="I1226">
        <v>6775</v>
      </c>
      <c r="J1226" t="s">
        <v>250</v>
      </c>
      <c r="K1226">
        <v>6</v>
      </c>
      <c r="L1226" t="s">
        <v>24</v>
      </c>
      <c r="M1226" t="s">
        <v>29</v>
      </c>
    </row>
    <row r="1227" spans="1:13">
      <c r="A1227" t="s">
        <v>571</v>
      </c>
      <c r="B1227" t="s">
        <v>179</v>
      </c>
      <c r="C1227" t="s">
        <v>45</v>
      </c>
      <c r="D1227" t="s">
        <v>2773</v>
      </c>
      <c r="E1227">
        <v>2</v>
      </c>
      <c r="F1227" t="s">
        <v>2774</v>
      </c>
      <c r="G1227" s="10">
        <v>45152</v>
      </c>
      <c r="H1227">
        <v>436800</v>
      </c>
      <c r="I1227">
        <v>103467</v>
      </c>
      <c r="J1227" t="s">
        <v>189</v>
      </c>
      <c r="K1227">
        <v>5</v>
      </c>
      <c r="L1227" t="s">
        <v>44</v>
      </c>
      <c r="M1227" t="s">
        <v>45</v>
      </c>
    </row>
    <row r="1228" spans="1:13">
      <c r="A1228" t="s">
        <v>628</v>
      </c>
      <c r="B1228" t="s">
        <v>66</v>
      </c>
      <c r="C1228" t="s">
        <v>67</v>
      </c>
      <c r="D1228" t="s">
        <v>2775</v>
      </c>
      <c r="E1228">
        <v>2</v>
      </c>
      <c r="F1228" t="s">
        <v>2776</v>
      </c>
      <c r="G1228" s="10">
        <v>45159</v>
      </c>
      <c r="H1228">
        <v>26775</v>
      </c>
      <c r="I1228">
        <v>6775</v>
      </c>
      <c r="J1228" t="s">
        <v>250</v>
      </c>
      <c r="K1228">
        <v>6</v>
      </c>
      <c r="L1228" t="s">
        <v>24</v>
      </c>
      <c r="M1228" t="s">
        <v>29</v>
      </c>
    </row>
    <row r="1229" spans="1:13">
      <c r="A1229" t="s">
        <v>256</v>
      </c>
      <c r="B1229" t="s">
        <v>160</v>
      </c>
      <c r="C1229" t="s">
        <v>67</v>
      </c>
      <c r="D1229" t="s">
        <v>2777</v>
      </c>
      <c r="E1229">
        <v>2</v>
      </c>
      <c r="F1229" t="s">
        <v>2778</v>
      </c>
      <c r="G1229" s="10">
        <v>45154</v>
      </c>
      <c r="H1229">
        <v>24265</v>
      </c>
      <c r="I1229">
        <v>3165</v>
      </c>
      <c r="J1229" t="s">
        <v>193</v>
      </c>
      <c r="K1229">
        <v>5</v>
      </c>
      <c r="L1229" t="s">
        <v>35</v>
      </c>
      <c r="M1229" t="s">
        <v>27</v>
      </c>
    </row>
    <row r="1230" spans="1:13">
      <c r="A1230" t="s">
        <v>628</v>
      </c>
      <c r="B1230" t="s">
        <v>66</v>
      </c>
      <c r="C1230" t="s">
        <v>67</v>
      </c>
      <c r="D1230" t="s">
        <v>2779</v>
      </c>
      <c r="E1230">
        <v>2</v>
      </c>
      <c r="F1230" t="s">
        <v>2780</v>
      </c>
      <c r="G1230" s="10">
        <v>45159</v>
      </c>
      <c r="H1230">
        <v>26775</v>
      </c>
      <c r="I1230">
        <v>6775</v>
      </c>
      <c r="J1230" t="s">
        <v>250</v>
      </c>
      <c r="K1230">
        <v>6</v>
      </c>
      <c r="L1230" t="s">
        <v>24</v>
      </c>
      <c r="M1230" t="s">
        <v>29</v>
      </c>
    </row>
    <row r="1231" spans="1:13">
      <c r="A1231" t="s">
        <v>628</v>
      </c>
      <c r="B1231" t="s">
        <v>66</v>
      </c>
      <c r="C1231" t="s">
        <v>67</v>
      </c>
      <c r="D1231" t="s">
        <v>2781</v>
      </c>
      <c r="E1231">
        <v>6</v>
      </c>
      <c r="F1231" t="s">
        <v>2782</v>
      </c>
      <c r="G1231" s="10">
        <v>45154</v>
      </c>
      <c r="H1231">
        <v>34375</v>
      </c>
      <c r="I1231">
        <v>6875</v>
      </c>
      <c r="J1231" t="s">
        <v>70</v>
      </c>
      <c r="K1231">
        <v>5</v>
      </c>
      <c r="L1231" t="s">
        <v>35</v>
      </c>
      <c r="M1231" t="s">
        <v>36</v>
      </c>
    </row>
    <row r="1232" spans="1:13">
      <c r="A1232" t="s">
        <v>65</v>
      </c>
      <c r="B1232" t="s">
        <v>66</v>
      </c>
      <c r="C1232" t="s">
        <v>67</v>
      </c>
      <c r="D1232" t="s">
        <v>2783</v>
      </c>
      <c r="E1232">
        <v>2</v>
      </c>
      <c r="F1232" t="s">
        <v>2784</v>
      </c>
      <c r="G1232" s="10">
        <v>45159</v>
      </c>
      <c r="H1232">
        <v>26775</v>
      </c>
      <c r="I1232">
        <v>6775</v>
      </c>
      <c r="J1232" t="s">
        <v>250</v>
      </c>
      <c r="K1232">
        <v>6</v>
      </c>
      <c r="L1232" t="s">
        <v>24</v>
      </c>
      <c r="M1232" t="s">
        <v>29</v>
      </c>
    </row>
    <row r="1233" spans="1:13">
      <c r="A1233" t="s">
        <v>266</v>
      </c>
      <c r="B1233" t="s">
        <v>160</v>
      </c>
      <c r="C1233" t="s">
        <v>67</v>
      </c>
      <c r="D1233" t="s">
        <v>2785</v>
      </c>
      <c r="E1233">
        <v>2</v>
      </c>
      <c r="F1233" t="s">
        <v>2786</v>
      </c>
      <c r="G1233" s="10">
        <v>45154</v>
      </c>
      <c r="H1233">
        <v>48000</v>
      </c>
      <c r="I1233">
        <v>8000</v>
      </c>
      <c r="J1233" t="s">
        <v>163</v>
      </c>
      <c r="K1233">
        <v>5</v>
      </c>
      <c r="L1233" t="s">
        <v>35</v>
      </c>
      <c r="M1233" t="s">
        <v>27</v>
      </c>
    </row>
    <row r="1234" spans="1:13">
      <c r="A1234" t="s">
        <v>194</v>
      </c>
      <c r="B1234" t="s">
        <v>160</v>
      </c>
      <c r="C1234" t="s">
        <v>67</v>
      </c>
      <c r="D1234" t="s">
        <v>2787</v>
      </c>
      <c r="E1234">
        <v>2</v>
      </c>
      <c r="F1234" t="s">
        <v>2788</v>
      </c>
      <c r="G1234" s="10">
        <v>45159</v>
      </c>
      <c r="H1234">
        <v>45600</v>
      </c>
      <c r="I1234">
        <v>7600</v>
      </c>
      <c r="J1234" t="s">
        <v>163</v>
      </c>
      <c r="K1234">
        <v>6</v>
      </c>
      <c r="L1234" t="s">
        <v>35</v>
      </c>
      <c r="M1234" t="s">
        <v>27</v>
      </c>
    </row>
    <row r="1235" spans="1:13">
      <c r="A1235" t="s">
        <v>266</v>
      </c>
      <c r="B1235" t="s">
        <v>160</v>
      </c>
      <c r="C1235" t="s">
        <v>67</v>
      </c>
      <c r="D1235" t="s">
        <v>2789</v>
      </c>
      <c r="E1235">
        <v>2</v>
      </c>
      <c r="F1235" t="s">
        <v>2790</v>
      </c>
      <c r="G1235" s="10">
        <v>45156</v>
      </c>
      <c r="H1235">
        <v>21850</v>
      </c>
      <c r="I1235">
        <v>2850</v>
      </c>
      <c r="J1235" t="s">
        <v>193</v>
      </c>
      <c r="K1235">
        <v>5</v>
      </c>
      <c r="L1235" t="s">
        <v>35</v>
      </c>
      <c r="M1235" t="s">
        <v>27</v>
      </c>
    </row>
    <row r="1236" spans="1:13">
      <c r="A1236" t="s">
        <v>275</v>
      </c>
      <c r="B1236" t="s">
        <v>160</v>
      </c>
      <c r="C1236" t="s">
        <v>67</v>
      </c>
      <c r="D1236" t="s">
        <v>2791</v>
      </c>
      <c r="E1236">
        <v>2</v>
      </c>
      <c r="F1236" t="s">
        <v>2792</v>
      </c>
      <c r="G1236" s="10">
        <v>45152</v>
      </c>
      <c r="H1236">
        <v>32500</v>
      </c>
      <c r="I1236">
        <v>7500</v>
      </c>
      <c r="J1236" t="s">
        <v>163</v>
      </c>
      <c r="K1236">
        <v>6</v>
      </c>
      <c r="L1236" t="s">
        <v>35</v>
      </c>
      <c r="M1236" t="s">
        <v>27</v>
      </c>
    </row>
    <row r="1237" spans="1:13">
      <c r="A1237" t="s">
        <v>251</v>
      </c>
      <c r="B1237" t="s">
        <v>160</v>
      </c>
      <c r="C1237" t="s">
        <v>67</v>
      </c>
      <c r="D1237" t="s">
        <v>2793</v>
      </c>
      <c r="E1237">
        <v>2</v>
      </c>
      <c r="F1237" t="s">
        <v>2794</v>
      </c>
      <c r="G1237" s="10">
        <v>45155</v>
      </c>
      <c r="H1237">
        <v>32500</v>
      </c>
      <c r="I1237">
        <v>7500</v>
      </c>
      <c r="J1237" t="s">
        <v>163</v>
      </c>
      <c r="K1237">
        <v>6</v>
      </c>
      <c r="L1237" t="s">
        <v>35</v>
      </c>
      <c r="M1237" t="s">
        <v>27</v>
      </c>
    </row>
    <row r="1238" spans="1:13">
      <c r="A1238" t="s">
        <v>266</v>
      </c>
      <c r="B1238" t="s">
        <v>160</v>
      </c>
      <c r="C1238" t="s">
        <v>67</v>
      </c>
      <c r="D1238" t="s">
        <v>2795</v>
      </c>
      <c r="E1238">
        <v>2</v>
      </c>
      <c r="F1238" t="s">
        <v>2796</v>
      </c>
      <c r="G1238" s="10">
        <v>45155</v>
      </c>
      <c r="H1238">
        <v>17400</v>
      </c>
      <c r="I1238">
        <v>2400</v>
      </c>
      <c r="J1238" t="s">
        <v>193</v>
      </c>
      <c r="K1238">
        <v>5</v>
      </c>
      <c r="L1238" t="s">
        <v>35</v>
      </c>
      <c r="M1238" t="s">
        <v>27</v>
      </c>
    </row>
    <row r="1239" spans="1:13">
      <c r="A1239" t="s">
        <v>275</v>
      </c>
      <c r="B1239" t="s">
        <v>160</v>
      </c>
      <c r="C1239" t="s">
        <v>67</v>
      </c>
      <c r="D1239" t="s">
        <v>2797</v>
      </c>
      <c r="E1239">
        <v>2</v>
      </c>
      <c r="F1239" t="s">
        <v>2798</v>
      </c>
      <c r="G1239" s="10">
        <v>45152</v>
      </c>
      <c r="H1239">
        <v>45600</v>
      </c>
      <c r="I1239">
        <v>7600</v>
      </c>
      <c r="J1239" t="s">
        <v>163</v>
      </c>
      <c r="K1239">
        <v>6</v>
      </c>
      <c r="L1239" t="s">
        <v>35</v>
      </c>
      <c r="M1239" t="s">
        <v>27</v>
      </c>
    </row>
    <row r="1240" spans="1:13">
      <c r="A1240" t="s">
        <v>194</v>
      </c>
      <c r="B1240" t="s">
        <v>160</v>
      </c>
      <c r="C1240" t="s">
        <v>67</v>
      </c>
      <c r="D1240" t="s">
        <v>2799</v>
      </c>
      <c r="E1240">
        <v>2</v>
      </c>
      <c r="F1240" t="s">
        <v>2800</v>
      </c>
      <c r="G1240" s="10">
        <v>45154</v>
      </c>
      <c r="H1240">
        <v>46800</v>
      </c>
      <c r="I1240">
        <v>7800</v>
      </c>
      <c r="J1240" t="s">
        <v>163</v>
      </c>
      <c r="K1240">
        <v>6</v>
      </c>
      <c r="L1240" t="s">
        <v>35</v>
      </c>
      <c r="M1240" t="s">
        <v>27</v>
      </c>
    </row>
    <row r="1241" spans="1:13">
      <c r="A1241" t="s">
        <v>251</v>
      </c>
      <c r="B1241" t="s">
        <v>160</v>
      </c>
      <c r="C1241" t="s">
        <v>67</v>
      </c>
      <c r="D1241" t="s">
        <v>2801</v>
      </c>
      <c r="E1241">
        <v>2</v>
      </c>
      <c r="F1241" t="s">
        <v>2802</v>
      </c>
      <c r="G1241" s="10">
        <v>45170</v>
      </c>
      <c r="H1241">
        <v>31050</v>
      </c>
      <c r="I1241">
        <v>4050</v>
      </c>
      <c r="J1241" t="s">
        <v>163</v>
      </c>
      <c r="K1241">
        <v>5</v>
      </c>
      <c r="L1241" t="s">
        <v>35</v>
      </c>
      <c r="M1241" t="s">
        <v>27</v>
      </c>
    </row>
    <row r="1242" spans="1:13">
      <c r="A1242" t="s">
        <v>261</v>
      </c>
      <c r="B1242" t="s">
        <v>160</v>
      </c>
      <c r="C1242" t="s">
        <v>67</v>
      </c>
      <c r="D1242" t="s">
        <v>2803</v>
      </c>
      <c r="E1242">
        <v>2</v>
      </c>
      <c r="F1242" t="s">
        <v>2804</v>
      </c>
      <c r="G1242" s="10">
        <v>45154</v>
      </c>
      <c r="H1242">
        <v>38400</v>
      </c>
      <c r="I1242">
        <v>6400</v>
      </c>
      <c r="J1242" t="s">
        <v>163</v>
      </c>
      <c r="K1242">
        <v>5</v>
      </c>
      <c r="L1242" t="s">
        <v>35</v>
      </c>
      <c r="M1242" t="s">
        <v>27</v>
      </c>
    </row>
    <row r="1243" spans="1:13">
      <c r="A1243" t="s">
        <v>275</v>
      </c>
      <c r="B1243" t="s">
        <v>160</v>
      </c>
      <c r="C1243" t="s">
        <v>67</v>
      </c>
      <c r="D1243" t="s">
        <v>2805</v>
      </c>
      <c r="E1243">
        <v>2</v>
      </c>
      <c r="F1243" t="s">
        <v>2806</v>
      </c>
      <c r="G1243" s="10">
        <v>45154</v>
      </c>
      <c r="H1243">
        <v>48000</v>
      </c>
      <c r="I1243">
        <v>8000</v>
      </c>
      <c r="J1243" t="s">
        <v>163</v>
      </c>
      <c r="K1243">
        <v>6</v>
      </c>
      <c r="L1243" t="s">
        <v>35</v>
      </c>
      <c r="M1243" t="s">
        <v>27</v>
      </c>
    </row>
    <row r="1244" spans="1:13">
      <c r="A1244" t="s">
        <v>275</v>
      </c>
      <c r="B1244" t="s">
        <v>160</v>
      </c>
      <c r="C1244" t="s">
        <v>67</v>
      </c>
      <c r="D1244" t="s">
        <v>2807</v>
      </c>
      <c r="E1244">
        <v>2</v>
      </c>
      <c r="F1244" t="s">
        <v>2808</v>
      </c>
      <c r="G1244" s="10">
        <v>45154</v>
      </c>
      <c r="H1244">
        <v>48000</v>
      </c>
      <c r="I1244">
        <v>8000</v>
      </c>
      <c r="J1244" t="s">
        <v>163</v>
      </c>
      <c r="K1244">
        <v>6</v>
      </c>
      <c r="L1244" t="s">
        <v>35</v>
      </c>
      <c r="M1244" t="s">
        <v>27</v>
      </c>
    </row>
    <row r="1245" spans="1:13">
      <c r="A1245" t="s">
        <v>1868</v>
      </c>
      <c r="B1245" t="s">
        <v>66</v>
      </c>
      <c r="C1245" t="s">
        <v>67</v>
      </c>
      <c r="D1245" t="s">
        <v>2809</v>
      </c>
      <c r="E1245">
        <v>2</v>
      </c>
      <c r="F1245" t="s">
        <v>2810</v>
      </c>
      <c r="G1245" s="10">
        <v>45152</v>
      </c>
      <c r="H1245">
        <v>33600</v>
      </c>
      <c r="I1245">
        <v>5600</v>
      </c>
      <c r="J1245" t="s">
        <v>163</v>
      </c>
      <c r="K1245">
        <v>5</v>
      </c>
      <c r="L1245" t="s">
        <v>35</v>
      </c>
      <c r="M1245" t="s">
        <v>27</v>
      </c>
    </row>
    <row r="1246" spans="1:13">
      <c r="A1246" t="s">
        <v>2811</v>
      </c>
      <c r="B1246" t="s">
        <v>513</v>
      </c>
      <c r="C1246" t="s">
        <v>1345</v>
      </c>
      <c r="D1246" t="s">
        <v>2812</v>
      </c>
      <c r="E1246">
        <v>2</v>
      </c>
      <c r="F1246" t="s">
        <v>2813</v>
      </c>
      <c r="G1246" s="10">
        <v>45152</v>
      </c>
      <c r="H1246">
        <v>296000</v>
      </c>
      <c r="I1246">
        <v>21000</v>
      </c>
      <c r="J1246" t="s">
        <v>884</v>
      </c>
      <c r="K1246">
        <v>6</v>
      </c>
      <c r="L1246" t="s">
        <v>44</v>
      </c>
      <c r="M1246" t="s">
        <v>45</v>
      </c>
    </row>
    <row r="1247" spans="1:13">
      <c r="A1247" t="s">
        <v>256</v>
      </c>
      <c r="B1247" t="s">
        <v>160</v>
      </c>
      <c r="C1247" t="s">
        <v>67</v>
      </c>
      <c r="D1247" t="s">
        <v>2814</v>
      </c>
      <c r="E1247">
        <v>2</v>
      </c>
      <c r="F1247" t="s">
        <v>2815</v>
      </c>
      <c r="G1247" s="10">
        <v>45170</v>
      </c>
      <c r="H1247">
        <v>40250</v>
      </c>
      <c r="I1247">
        <v>5250</v>
      </c>
      <c r="J1247" t="s">
        <v>193</v>
      </c>
      <c r="K1247">
        <v>6</v>
      </c>
      <c r="L1247" t="s">
        <v>35</v>
      </c>
      <c r="M1247" t="s">
        <v>27</v>
      </c>
    </row>
    <row r="1248" spans="1:13">
      <c r="A1248" t="s">
        <v>2321</v>
      </c>
      <c r="B1248" t="s">
        <v>916</v>
      </c>
      <c r="C1248" t="s">
        <v>741</v>
      </c>
      <c r="D1248" t="s">
        <v>2816</v>
      </c>
      <c r="E1248">
        <v>4</v>
      </c>
      <c r="F1248" t="s">
        <v>2817</v>
      </c>
      <c r="G1248" s="10">
        <v>45104</v>
      </c>
      <c r="H1248">
        <v>29024</v>
      </c>
      <c r="I1248">
        <v>7024</v>
      </c>
      <c r="J1248" t="s">
        <v>1573</v>
      </c>
      <c r="K1248">
        <v>6</v>
      </c>
      <c r="L1248" t="s">
        <v>44</v>
      </c>
      <c r="M1248" s="3" t="s">
        <v>46</v>
      </c>
    </row>
    <row r="1249" spans="1:13">
      <c r="A1249" t="s">
        <v>256</v>
      </c>
      <c r="B1249" t="s">
        <v>160</v>
      </c>
      <c r="C1249" t="s">
        <v>67</v>
      </c>
      <c r="D1249" t="s">
        <v>2818</v>
      </c>
      <c r="E1249">
        <v>2</v>
      </c>
      <c r="F1249" t="s">
        <v>2819</v>
      </c>
      <c r="G1249" s="10">
        <v>45155</v>
      </c>
      <c r="H1249">
        <v>17400</v>
      </c>
      <c r="I1249">
        <v>2400</v>
      </c>
      <c r="J1249" t="s">
        <v>193</v>
      </c>
      <c r="K1249">
        <v>6</v>
      </c>
      <c r="L1249" t="s">
        <v>35</v>
      </c>
      <c r="M1249" t="s">
        <v>27</v>
      </c>
    </row>
    <row r="1250" spans="1:13">
      <c r="A1250" t="s">
        <v>159</v>
      </c>
      <c r="B1250" t="s">
        <v>160</v>
      </c>
      <c r="C1250" t="s">
        <v>67</v>
      </c>
      <c r="D1250" t="s">
        <v>2820</v>
      </c>
      <c r="E1250">
        <v>1</v>
      </c>
      <c r="F1250" t="s">
        <v>2821</v>
      </c>
      <c r="G1250" s="10">
        <v>45194</v>
      </c>
      <c r="H1250">
        <v>26775</v>
      </c>
      <c r="I1250">
        <v>6775</v>
      </c>
      <c r="J1250" t="s">
        <v>2255</v>
      </c>
      <c r="K1250">
        <v>5</v>
      </c>
      <c r="L1250" t="s">
        <v>24</v>
      </c>
      <c r="M1250" t="s">
        <v>29</v>
      </c>
    </row>
    <row r="1251" spans="1:13">
      <c r="A1251" t="s">
        <v>1228</v>
      </c>
      <c r="B1251" t="s">
        <v>224</v>
      </c>
      <c r="C1251" t="s">
        <v>94</v>
      </c>
      <c r="D1251" t="s">
        <v>2822</v>
      </c>
      <c r="E1251">
        <v>2</v>
      </c>
      <c r="F1251" t="s">
        <v>2823</v>
      </c>
      <c r="G1251" s="10">
        <v>45161</v>
      </c>
      <c r="H1251">
        <v>30000</v>
      </c>
      <c r="I1251">
        <v>3000</v>
      </c>
      <c r="J1251" t="s">
        <v>227</v>
      </c>
      <c r="K1251">
        <v>5</v>
      </c>
      <c r="L1251" t="s">
        <v>41</v>
      </c>
      <c r="M1251" t="s">
        <v>42</v>
      </c>
    </row>
    <row r="1252" spans="1:13">
      <c r="A1252" t="s">
        <v>966</v>
      </c>
      <c r="B1252" t="s">
        <v>215</v>
      </c>
      <c r="C1252" t="s">
        <v>94</v>
      </c>
      <c r="D1252" t="s">
        <v>2824</v>
      </c>
      <c r="E1252">
        <v>2</v>
      </c>
      <c r="F1252" t="s">
        <v>2825</v>
      </c>
      <c r="G1252" s="10">
        <v>45155</v>
      </c>
      <c r="H1252">
        <v>53760</v>
      </c>
      <c r="I1252">
        <v>14177</v>
      </c>
      <c r="J1252" t="s">
        <v>1357</v>
      </c>
      <c r="K1252">
        <v>6</v>
      </c>
      <c r="L1252" t="s">
        <v>41</v>
      </c>
      <c r="M1252" t="s">
        <v>25</v>
      </c>
    </row>
    <row r="1253" spans="1:13">
      <c r="A1253" t="s">
        <v>1228</v>
      </c>
      <c r="B1253" t="s">
        <v>224</v>
      </c>
      <c r="C1253" t="s">
        <v>94</v>
      </c>
      <c r="D1253" t="s">
        <v>2826</v>
      </c>
      <c r="E1253">
        <v>2</v>
      </c>
      <c r="F1253" t="s">
        <v>2827</v>
      </c>
      <c r="G1253" s="10">
        <v>45155</v>
      </c>
      <c r="H1253">
        <v>67200</v>
      </c>
      <c r="I1253">
        <v>19284</v>
      </c>
      <c r="J1253" t="s">
        <v>1357</v>
      </c>
      <c r="K1253">
        <v>6</v>
      </c>
      <c r="L1253" t="s">
        <v>41</v>
      </c>
      <c r="M1253" t="s">
        <v>25</v>
      </c>
    </row>
    <row r="1254" spans="1:13">
      <c r="A1254" t="s">
        <v>71</v>
      </c>
      <c r="B1254" t="s">
        <v>72</v>
      </c>
      <c r="C1254" t="s">
        <v>67</v>
      </c>
      <c r="D1254" t="s">
        <v>2828</v>
      </c>
      <c r="E1254">
        <v>1</v>
      </c>
      <c r="F1254" t="s">
        <v>2829</v>
      </c>
      <c r="G1254" s="10">
        <v>45159</v>
      </c>
      <c r="H1254">
        <v>26775</v>
      </c>
      <c r="I1254">
        <v>6775</v>
      </c>
      <c r="J1254" t="s">
        <v>250</v>
      </c>
      <c r="K1254">
        <v>6</v>
      </c>
      <c r="L1254" t="s">
        <v>24</v>
      </c>
      <c r="M1254" t="s">
        <v>29</v>
      </c>
    </row>
    <row r="1255" spans="1:13">
      <c r="A1255" t="s">
        <v>71</v>
      </c>
      <c r="B1255" t="s">
        <v>72</v>
      </c>
      <c r="C1255" t="s">
        <v>67</v>
      </c>
      <c r="D1255" t="s">
        <v>2830</v>
      </c>
      <c r="E1255">
        <v>1</v>
      </c>
      <c r="F1255" t="s">
        <v>2831</v>
      </c>
      <c r="G1255" s="10">
        <v>45159</v>
      </c>
      <c r="H1255">
        <v>26775</v>
      </c>
      <c r="I1255">
        <v>6775</v>
      </c>
      <c r="J1255" t="s">
        <v>250</v>
      </c>
      <c r="K1255">
        <v>6</v>
      </c>
      <c r="L1255" t="s">
        <v>24</v>
      </c>
      <c r="M1255" t="s">
        <v>29</v>
      </c>
    </row>
    <row r="1256" spans="1:13">
      <c r="A1256" t="s">
        <v>251</v>
      </c>
      <c r="B1256" t="s">
        <v>160</v>
      </c>
      <c r="C1256" t="s">
        <v>67</v>
      </c>
      <c r="D1256" t="s">
        <v>2832</v>
      </c>
      <c r="E1256">
        <v>2</v>
      </c>
      <c r="F1256" t="s">
        <v>2833</v>
      </c>
      <c r="G1256" s="10">
        <v>45166</v>
      </c>
      <c r="H1256">
        <v>21275</v>
      </c>
      <c r="I1256">
        <v>2775</v>
      </c>
      <c r="J1256" t="s">
        <v>193</v>
      </c>
      <c r="K1256">
        <v>6</v>
      </c>
      <c r="L1256" t="s">
        <v>35</v>
      </c>
      <c r="M1256" t="s">
        <v>27</v>
      </c>
    </row>
    <row r="1257" spans="1:13">
      <c r="A1257" t="s">
        <v>261</v>
      </c>
      <c r="B1257" t="s">
        <v>160</v>
      </c>
      <c r="C1257" t="s">
        <v>67</v>
      </c>
      <c r="D1257" t="s">
        <v>2834</v>
      </c>
      <c r="E1257">
        <v>2</v>
      </c>
      <c r="F1257" t="s">
        <v>2835</v>
      </c>
      <c r="G1257" s="10">
        <v>45156</v>
      </c>
      <c r="H1257">
        <v>45000</v>
      </c>
      <c r="I1257">
        <v>7500</v>
      </c>
      <c r="J1257" t="s">
        <v>163</v>
      </c>
      <c r="K1257">
        <v>6</v>
      </c>
      <c r="L1257" t="s">
        <v>35</v>
      </c>
      <c r="M1257" t="s">
        <v>27</v>
      </c>
    </row>
    <row r="1258" spans="1:13">
      <c r="A1258" t="s">
        <v>140</v>
      </c>
      <c r="B1258" t="s">
        <v>141</v>
      </c>
      <c r="C1258" t="s">
        <v>67</v>
      </c>
      <c r="D1258" t="s">
        <v>2836</v>
      </c>
      <c r="E1258">
        <v>2</v>
      </c>
      <c r="F1258" t="s">
        <v>2837</v>
      </c>
      <c r="G1258" s="10">
        <v>45156</v>
      </c>
      <c r="H1258">
        <v>34500</v>
      </c>
      <c r="I1258">
        <v>4500</v>
      </c>
      <c r="J1258" t="s">
        <v>193</v>
      </c>
      <c r="K1258">
        <v>6</v>
      </c>
      <c r="L1258" t="s">
        <v>35</v>
      </c>
      <c r="M1258" t="s">
        <v>27</v>
      </c>
    </row>
    <row r="1259" spans="1:13">
      <c r="A1259" t="s">
        <v>261</v>
      </c>
      <c r="B1259" t="s">
        <v>160</v>
      </c>
      <c r="C1259" t="s">
        <v>67</v>
      </c>
      <c r="D1259" t="s">
        <v>2838</v>
      </c>
      <c r="E1259">
        <v>2</v>
      </c>
      <c r="F1259" t="s">
        <v>2839</v>
      </c>
      <c r="G1259" s="10">
        <v>45156</v>
      </c>
      <c r="H1259">
        <v>32200</v>
      </c>
      <c r="I1259">
        <v>4200</v>
      </c>
      <c r="J1259" t="s">
        <v>163</v>
      </c>
      <c r="K1259">
        <v>5</v>
      </c>
      <c r="L1259" t="s">
        <v>35</v>
      </c>
      <c r="M1259" t="s">
        <v>27</v>
      </c>
    </row>
    <row r="1260" spans="1:13">
      <c r="A1260" t="s">
        <v>656</v>
      </c>
      <c r="B1260" t="s">
        <v>231</v>
      </c>
      <c r="C1260" t="s">
        <v>400</v>
      </c>
      <c r="D1260" t="s">
        <v>2840</v>
      </c>
      <c r="E1260">
        <v>2</v>
      </c>
      <c r="F1260" t="s">
        <v>2841</v>
      </c>
      <c r="G1260" s="10">
        <v>45159</v>
      </c>
      <c r="H1260">
        <v>40000</v>
      </c>
      <c r="I1260">
        <v>4000</v>
      </c>
      <c r="J1260" t="s">
        <v>227</v>
      </c>
      <c r="K1260">
        <v>6</v>
      </c>
      <c r="L1260" t="s">
        <v>41</v>
      </c>
      <c r="M1260" t="s">
        <v>42</v>
      </c>
    </row>
    <row r="1261" spans="1:13">
      <c r="A1261" t="s">
        <v>1544</v>
      </c>
      <c r="B1261" t="s">
        <v>93</v>
      </c>
      <c r="C1261" t="s">
        <v>94</v>
      </c>
      <c r="D1261" t="s">
        <v>2842</v>
      </c>
      <c r="E1261">
        <v>7</v>
      </c>
      <c r="F1261" t="s">
        <v>2843</v>
      </c>
      <c r="G1261" s="10">
        <v>45180</v>
      </c>
      <c r="H1261">
        <v>83746.3</v>
      </c>
      <c r="I1261">
        <v>3606.3</v>
      </c>
      <c r="J1261" t="s">
        <v>313</v>
      </c>
      <c r="K1261">
        <v>6</v>
      </c>
      <c r="L1261" t="s">
        <v>41</v>
      </c>
      <c r="M1261" t="s">
        <v>42</v>
      </c>
    </row>
    <row r="1262" spans="1:13">
      <c r="A1262" t="s">
        <v>676</v>
      </c>
      <c r="B1262" t="s">
        <v>28</v>
      </c>
      <c r="C1262" t="s">
        <v>238</v>
      </c>
      <c r="D1262" t="s">
        <v>2844</v>
      </c>
      <c r="E1262">
        <v>2</v>
      </c>
      <c r="F1262" t="s">
        <v>2845</v>
      </c>
      <c r="G1262" s="10">
        <v>45162</v>
      </c>
      <c r="H1262">
        <v>157500</v>
      </c>
      <c r="I1262">
        <v>82500</v>
      </c>
      <c r="J1262" t="s">
        <v>834</v>
      </c>
      <c r="K1262">
        <v>5</v>
      </c>
      <c r="L1262" t="s">
        <v>37</v>
      </c>
      <c r="M1262" t="s">
        <v>25</v>
      </c>
    </row>
    <row r="1263" spans="1:13">
      <c r="A1263" t="s">
        <v>1228</v>
      </c>
      <c r="B1263" t="s">
        <v>224</v>
      </c>
      <c r="C1263" t="s">
        <v>94</v>
      </c>
      <c r="D1263" t="s">
        <v>2846</v>
      </c>
      <c r="E1263">
        <v>2</v>
      </c>
      <c r="F1263" t="s">
        <v>2847</v>
      </c>
      <c r="G1263" s="10">
        <v>45156</v>
      </c>
      <c r="H1263">
        <v>29000</v>
      </c>
      <c r="I1263">
        <v>2000</v>
      </c>
      <c r="J1263" t="s">
        <v>227</v>
      </c>
      <c r="K1263">
        <v>5</v>
      </c>
      <c r="L1263" t="s">
        <v>41</v>
      </c>
      <c r="M1263" t="s">
        <v>42</v>
      </c>
    </row>
    <row r="1264" spans="1:13">
      <c r="A1264" t="s">
        <v>491</v>
      </c>
      <c r="B1264" t="s">
        <v>93</v>
      </c>
      <c r="C1264" t="s">
        <v>94</v>
      </c>
      <c r="D1264" t="s">
        <v>2848</v>
      </c>
      <c r="E1264">
        <v>2</v>
      </c>
      <c r="F1264" t="s">
        <v>2849</v>
      </c>
      <c r="G1264" s="10">
        <v>45166</v>
      </c>
      <c r="H1264">
        <v>252000</v>
      </c>
      <c r="I1264">
        <v>24917</v>
      </c>
      <c r="J1264" t="s">
        <v>97</v>
      </c>
      <c r="K1264">
        <v>6</v>
      </c>
      <c r="L1264" t="s">
        <v>41</v>
      </c>
      <c r="M1264" t="s">
        <v>42</v>
      </c>
    </row>
    <row r="1265" spans="1:13">
      <c r="A1265" t="s">
        <v>1193</v>
      </c>
      <c r="B1265" t="s">
        <v>141</v>
      </c>
      <c r="C1265" t="s">
        <v>67</v>
      </c>
      <c r="D1265" t="s">
        <v>2850</v>
      </c>
      <c r="E1265">
        <v>1</v>
      </c>
      <c r="F1265" t="s">
        <v>2851</v>
      </c>
      <c r="G1265" s="10">
        <v>45159</v>
      </c>
      <c r="H1265">
        <v>26775</v>
      </c>
      <c r="I1265">
        <v>6775</v>
      </c>
      <c r="J1265" t="s">
        <v>250</v>
      </c>
      <c r="K1265">
        <v>6</v>
      </c>
      <c r="L1265" t="s">
        <v>24</v>
      </c>
      <c r="M1265" t="s">
        <v>29</v>
      </c>
    </row>
    <row r="1266" spans="1:13">
      <c r="A1266" t="s">
        <v>1193</v>
      </c>
      <c r="B1266" t="s">
        <v>141</v>
      </c>
      <c r="C1266" t="s">
        <v>67</v>
      </c>
      <c r="D1266" t="s">
        <v>2852</v>
      </c>
      <c r="E1266">
        <v>1</v>
      </c>
      <c r="F1266" t="s">
        <v>2853</v>
      </c>
      <c r="G1266" s="10">
        <v>45159</v>
      </c>
      <c r="H1266">
        <v>26775</v>
      </c>
      <c r="I1266">
        <v>6775</v>
      </c>
      <c r="J1266" t="s">
        <v>250</v>
      </c>
      <c r="K1266">
        <v>6</v>
      </c>
      <c r="L1266" t="s">
        <v>24</v>
      </c>
      <c r="M1266" t="s">
        <v>29</v>
      </c>
    </row>
    <row r="1267" spans="1:13">
      <c r="A1267" t="s">
        <v>170</v>
      </c>
      <c r="B1267" t="s">
        <v>66</v>
      </c>
      <c r="C1267" t="s">
        <v>67</v>
      </c>
      <c r="D1267" t="s">
        <v>2854</v>
      </c>
      <c r="E1267">
        <v>2</v>
      </c>
      <c r="F1267" t="s">
        <v>2855</v>
      </c>
      <c r="G1267" s="10">
        <v>45159</v>
      </c>
      <c r="H1267">
        <v>45517.5</v>
      </c>
      <c r="I1267">
        <v>9684.5</v>
      </c>
      <c r="J1267" t="s">
        <v>75</v>
      </c>
      <c r="K1267">
        <v>5</v>
      </c>
      <c r="L1267" t="s">
        <v>35</v>
      </c>
      <c r="M1267" t="s">
        <v>29</v>
      </c>
    </row>
    <row r="1268" spans="1:13">
      <c r="A1268" t="s">
        <v>117</v>
      </c>
      <c r="B1268" t="s">
        <v>118</v>
      </c>
      <c r="C1268" t="s">
        <v>98</v>
      </c>
      <c r="D1268" t="s">
        <v>2856</v>
      </c>
      <c r="E1268">
        <v>1</v>
      </c>
      <c r="F1268" t="s">
        <v>2857</v>
      </c>
      <c r="G1268" s="10">
        <v>45162</v>
      </c>
      <c r="H1268">
        <v>67200</v>
      </c>
      <c r="I1268">
        <v>17200</v>
      </c>
      <c r="J1268" t="s">
        <v>834</v>
      </c>
      <c r="K1268">
        <v>5</v>
      </c>
      <c r="L1268" t="s">
        <v>37</v>
      </c>
      <c r="M1268" t="s">
        <v>25</v>
      </c>
    </row>
    <row r="1269" spans="1:13">
      <c r="A1269" t="s">
        <v>703</v>
      </c>
      <c r="B1269" t="s">
        <v>179</v>
      </c>
      <c r="C1269" t="s">
        <v>45</v>
      </c>
      <c r="D1269" t="s">
        <v>2858</v>
      </c>
      <c r="E1269">
        <v>2</v>
      </c>
      <c r="F1269" t="s">
        <v>2859</v>
      </c>
      <c r="G1269" s="10">
        <v>45163</v>
      </c>
      <c r="H1269">
        <v>436800</v>
      </c>
      <c r="I1269">
        <v>220134</v>
      </c>
      <c r="J1269" t="s">
        <v>189</v>
      </c>
      <c r="K1269">
        <v>5</v>
      </c>
      <c r="L1269" t="s">
        <v>44</v>
      </c>
      <c r="M1269" t="s">
        <v>45</v>
      </c>
    </row>
    <row r="1270" spans="1:13">
      <c r="A1270" t="s">
        <v>251</v>
      </c>
      <c r="B1270" t="s">
        <v>160</v>
      </c>
      <c r="C1270" t="s">
        <v>67</v>
      </c>
      <c r="D1270" t="s">
        <v>2860</v>
      </c>
      <c r="E1270">
        <v>2</v>
      </c>
      <c r="F1270" t="s">
        <v>2861</v>
      </c>
      <c r="G1270" s="10">
        <v>45166</v>
      </c>
      <c r="H1270">
        <v>21275</v>
      </c>
      <c r="I1270">
        <v>2775</v>
      </c>
      <c r="J1270" t="s">
        <v>193</v>
      </c>
      <c r="K1270">
        <v>6</v>
      </c>
      <c r="L1270" t="s">
        <v>35</v>
      </c>
      <c r="M1270" t="s">
        <v>27</v>
      </c>
    </row>
    <row r="1271" spans="1:13">
      <c r="A1271" t="s">
        <v>568</v>
      </c>
      <c r="B1271" t="s">
        <v>179</v>
      </c>
      <c r="C1271" t="s">
        <v>45</v>
      </c>
      <c r="D1271" t="s">
        <v>2862</v>
      </c>
      <c r="E1271">
        <v>2</v>
      </c>
      <c r="F1271" t="s">
        <v>2863</v>
      </c>
      <c r="G1271" s="10">
        <v>45155</v>
      </c>
      <c r="H1271">
        <v>302400</v>
      </c>
      <c r="I1271">
        <v>144067</v>
      </c>
      <c r="J1271" t="s">
        <v>189</v>
      </c>
      <c r="K1271">
        <v>5</v>
      </c>
      <c r="L1271" t="s">
        <v>44</v>
      </c>
      <c r="M1271" t="s">
        <v>45</v>
      </c>
    </row>
    <row r="1272" spans="1:13">
      <c r="A1272" t="s">
        <v>159</v>
      </c>
      <c r="B1272" t="s">
        <v>160</v>
      </c>
      <c r="C1272" t="s">
        <v>67</v>
      </c>
      <c r="D1272" t="s">
        <v>2864</v>
      </c>
      <c r="E1272">
        <v>2</v>
      </c>
      <c r="F1272" t="s">
        <v>2865</v>
      </c>
      <c r="G1272" s="10">
        <v>45160</v>
      </c>
      <c r="H1272">
        <v>48000</v>
      </c>
      <c r="I1272">
        <v>8000</v>
      </c>
      <c r="J1272" t="s">
        <v>163</v>
      </c>
      <c r="K1272">
        <v>5</v>
      </c>
      <c r="L1272" t="s">
        <v>35</v>
      </c>
      <c r="M1272" t="s">
        <v>27</v>
      </c>
    </row>
    <row r="1273" spans="1:13">
      <c r="A1273" t="s">
        <v>1193</v>
      </c>
      <c r="B1273" t="s">
        <v>141</v>
      </c>
      <c r="C1273" t="s">
        <v>67</v>
      </c>
      <c r="D1273" t="s">
        <v>2866</v>
      </c>
      <c r="E1273">
        <v>1</v>
      </c>
      <c r="F1273" t="s">
        <v>2867</v>
      </c>
      <c r="G1273" s="10">
        <v>45194</v>
      </c>
      <c r="H1273">
        <v>28050</v>
      </c>
      <c r="I1273">
        <v>8050</v>
      </c>
      <c r="J1273" t="s">
        <v>250</v>
      </c>
      <c r="K1273">
        <v>6</v>
      </c>
      <c r="L1273" t="s">
        <v>24</v>
      </c>
      <c r="M1273" t="s">
        <v>29</v>
      </c>
    </row>
    <row r="1274" spans="1:13">
      <c r="A1274" t="s">
        <v>197</v>
      </c>
      <c r="B1274" t="s">
        <v>160</v>
      </c>
      <c r="C1274" t="s">
        <v>67</v>
      </c>
      <c r="D1274" t="s">
        <v>2868</v>
      </c>
      <c r="E1274">
        <v>2</v>
      </c>
      <c r="F1274" t="s">
        <v>2869</v>
      </c>
      <c r="G1274" s="10">
        <v>45160</v>
      </c>
      <c r="H1274">
        <v>32500</v>
      </c>
      <c r="I1274">
        <v>7500</v>
      </c>
      <c r="J1274" t="s">
        <v>163</v>
      </c>
      <c r="K1274">
        <v>5</v>
      </c>
      <c r="L1274" t="s">
        <v>35</v>
      </c>
      <c r="M1274" t="s">
        <v>27</v>
      </c>
    </row>
    <row r="1275" spans="1:13">
      <c r="A1275" t="s">
        <v>140</v>
      </c>
      <c r="B1275" t="s">
        <v>141</v>
      </c>
      <c r="C1275" t="s">
        <v>67</v>
      </c>
      <c r="D1275" t="s">
        <v>2870</v>
      </c>
      <c r="E1275">
        <v>1</v>
      </c>
      <c r="F1275" t="s">
        <v>2871</v>
      </c>
      <c r="G1275" s="10">
        <v>45194</v>
      </c>
      <c r="H1275">
        <v>26775</v>
      </c>
      <c r="I1275">
        <v>6775</v>
      </c>
      <c r="J1275" t="s">
        <v>250</v>
      </c>
      <c r="K1275">
        <v>6</v>
      </c>
      <c r="L1275" t="s">
        <v>24</v>
      </c>
      <c r="M1275" t="s">
        <v>29</v>
      </c>
    </row>
    <row r="1276" spans="1:13">
      <c r="A1276" t="s">
        <v>2872</v>
      </c>
      <c r="B1276" t="s">
        <v>848</v>
      </c>
      <c r="C1276" t="s">
        <v>98</v>
      </c>
      <c r="D1276" t="s">
        <v>2873</v>
      </c>
      <c r="E1276">
        <v>1</v>
      </c>
      <c r="F1276" t="s">
        <v>2874</v>
      </c>
      <c r="G1276" s="10">
        <v>45161</v>
      </c>
      <c r="H1276">
        <v>45517.5</v>
      </c>
      <c r="I1276">
        <v>6351.5</v>
      </c>
      <c r="J1276" t="s">
        <v>75</v>
      </c>
      <c r="K1276">
        <v>5</v>
      </c>
      <c r="L1276" t="s">
        <v>35</v>
      </c>
      <c r="M1276" t="s">
        <v>29</v>
      </c>
    </row>
    <row r="1277" spans="1:13">
      <c r="A1277" t="s">
        <v>703</v>
      </c>
      <c r="B1277" t="s">
        <v>179</v>
      </c>
      <c r="C1277" t="s">
        <v>45</v>
      </c>
      <c r="D1277" t="s">
        <v>2875</v>
      </c>
      <c r="E1277">
        <v>2</v>
      </c>
      <c r="F1277" t="s">
        <v>2876</v>
      </c>
      <c r="G1277" s="10">
        <v>45155</v>
      </c>
      <c r="H1277">
        <v>436800</v>
      </c>
      <c r="I1277">
        <v>220134</v>
      </c>
      <c r="J1277" t="s">
        <v>189</v>
      </c>
      <c r="K1277">
        <v>5</v>
      </c>
      <c r="L1277" t="s">
        <v>44</v>
      </c>
      <c r="M1277" t="s">
        <v>45</v>
      </c>
    </row>
    <row r="1278" spans="1:13">
      <c r="A1278" t="s">
        <v>2877</v>
      </c>
      <c r="B1278" t="s">
        <v>848</v>
      </c>
      <c r="C1278" t="s">
        <v>98</v>
      </c>
      <c r="D1278" t="s">
        <v>2878</v>
      </c>
      <c r="E1278">
        <v>1</v>
      </c>
      <c r="F1278" t="s">
        <v>2879</v>
      </c>
      <c r="G1278" s="10">
        <v>45190</v>
      </c>
      <c r="H1278">
        <v>26775</v>
      </c>
      <c r="I1278">
        <v>6775</v>
      </c>
      <c r="J1278" t="s">
        <v>250</v>
      </c>
      <c r="K1278">
        <v>5</v>
      </c>
      <c r="L1278" t="s">
        <v>24</v>
      </c>
      <c r="M1278" t="s">
        <v>29</v>
      </c>
    </row>
    <row r="1279" spans="1:13">
      <c r="A1279" t="s">
        <v>2880</v>
      </c>
      <c r="B1279" t="s">
        <v>848</v>
      </c>
      <c r="C1279" t="s">
        <v>98</v>
      </c>
      <c r="D1279" t="s">
        <v>2881</v>
      </c>
      <c r="E1279">
        <v>1</v>
      </c>
      <c r="F1279" t="s">
        <v>2882</v>
      </c>
      <c r="G1279" s="10">
        <v>45170</v>
      </c>
      <c r="H1279">
        <v>0</v>
      </c>
      <c r="I1279">
        <v>-20000</v>
      </c>
      <c r="J1279" t="s">
        <v>441</v>
      </c>
      <c r="K1279">
        <v>6</v>
      </c>
      <c r="L1279" t="s">
        <v>24</v>
      </c>
      <c r="M1279" t="s">
        <v>29</v>
      </c>
    </row>
    <row r="1280" spans="1:13">
      <c r="A1280" t="s">
        <v>2877</v>
      </c>
      <c r="B1280" t="s">
        <v>848</v>
      </c>
      <c r="C1280" t="s">
        <v>98</v>
      </c>
      <c r="D1280" t="s">
        <v>2883</v>
      </c>
      <c r="E1280">
        <v>1</v>
      </c>
      <c r="F1280" t="s">
        <v>2884</v>
      </c>
      <c r="G1280" s="10">
        <v>45190</v>
      </c>
      <c r="H1280">
        <v>26775</v>
      </c>
      <c r="I1280">
        <v>6775</v>
      </c>
      <c r="J1280" t="s">
        <v>250</v>
      </c>
      <c r="K1280">
        <v>6</v>
      </c>
      <c r="L1280" t="s">
        <v>24</v>
      </c>
      <c r="M1280" t="s">
        <v>29</v>
      </c>
    </row>
    <row r="1281" spans="1:13">
      <c r="A1281" t="s">
        <v>2877</v>
      </c>
      <c r="B1281" t="s">
        <v>848</v>
      </c>
      <c r="C1281" t="s">
        <v>98</v>
      </c>
      <c r="D1281" t="s">
        <v>2885</v>
      </c>
      <c r="E1281">
        <v>1</v>
      </c>
      <c r="F1281" t="s">
        <v>2886</v>
      </c>
      <c r="G1281" s="10">
        <v>45190</v>
      </c>
      <c r="H1281">
        <v>26775</v>
      </c>
      <c r="I1281">
        <v>6775</v>
      </c>
      <c r="J1281" t="s">
        <v>250</v>
      </c>
      <c r="K1281">
        <v>6</v>
      </c>
      <c r="L1281" t="s">
        <v>24</v>
      </c>
      <c r="M1281" t="s">
        <v>29</v>
      </c>
    </row>
    <row r="1282" spans="1:13">
      <c r="A1282" t="s">
        <v>382</v>
      </c>
      <c r="B1282" t="s">
        <v>141</v>
      </c>
      <c r="C1282" t="s">
        <v>67</v>
      </c>
      <c r="D1282" t="s">
        <v>2887</v>
      </c>
      <c r="E1282">
        <v>1</v>
      </c>
      <c r="F1282" t="s">
        <v>2888</v>
      </c>
      <c r="G1282" s="10">
        <v>45159</v>
      </c>
      <c r="H1282">
        <v>26775</v>
      </c>
      <c r="I1282">
        <v>6775</v>
      </c>
      <c r="J1282" t="s">
        <v>250</v>
      </c>
      <c r="K1282">
        <v>6</v>
      </c>
      <c r="L1282" t="s">
        <v>24</v>
      </c>
      <c r="M1282" t="s">
        <v>29</v>
      </c>
    </row>
    <row r="1283" spans="1:13">
      <c r="A1283" t="s">
        <v>2877</v>
      </c>
      <c r="B1283" t="s">
        <v>848</v>
      </c>
      <c r="C1283" t="s">
        <v>98</v>
      </c>
      <c r="D1283" t="s">
        <v>2889</v>
      </c>
      <c r="E1283">
        <v>1</v>
      </c>
      <c r="F1283" t="s">
        <v>2890</v>
      </c>
      <c r="G1283" s="10">
        <v>45170</v>
      </c>
      <c r="H1283">
        <v>32130</v>
      </c>
      <c r="I1283">
        <v>12130</v>
      </c>
      <c r="J1283" t="s">
        <v>441</v>
      </c>
      <c r="K1283">
        <v>6</v>
      </c>
      <c r="L1283" t="s">
        <v>24</v>
      </c>
      <c r="M1283" t="s">
        <v>29</v>
      </c>
    </row>
    <row r="1284" spans="1:13">
      <c r="A1284" t="s">
        <v>1772</v>
      </c>
      <c r="B1284" t="s">
        <v>1030</v>
      </c>
      <c r="C1284" t="s">
        <v>94</v>
      </c>
      <c r="D1284" t="s">
        <v>2891</v>
      </c>
      <c r="E1284">
        <v>2</v>
      </c>
      <c r="F1284" t="s">
        <v>2892</v>
      </c>
      <c r="G1284" s="10">
        <v>45160</v>
      </c>
      <c r="H1284">
        <v>35000</v>
      </c>
      <c r="I1284">
        <v>6250</v>
      </c>
      <c r="J1284" t="s">
        <v>227</v>
      </c>
      <c r="K1284">
        <v>5</v>
      </c>
      <c r="L1284" t="s">
        <v>41</v>
      </c>
      <c r="M1284" t="s">
        <v>42</v>
      </c>
    </row>
    <row r="1285" spans="1:13">
      <c r="A1285" t="s">
        <v>719</v>
      </c>
      <c r="B1285" t="s">
        <v>215</v>
      </c>
      <c r="C1285" t="s">
        <v>94</v>
      </c>
      <c r="D1285" t="s">
        <v>2893</v>
      </c>
      <c r="E1285">
        <v>2</v>
      </c>
      <c r="F1285" t="s">
        <v>2894</v>
      </c>
      <c r="G1285" s="10">
        <v>45156</v>
      </c>
      <c r="H1285">
        <v>30000</v>
      </c>
      <c r="I1285">
        <v>3334</v>
      </c>
      <c r="J1285" t="s">
        <v>227</v>
      </c>
      <c r="K1285">
        <v>5</v>
      </c>
      <c r="L1285" t="s">
        <v>41</v>
      </c>
      <c r="M1285" t="s">
        <v>42</v>
      </c>
    </row>
    <row r="1286" spans="1:13">
      <c r="A1286" t="s">
        <v>602</v>
      </c>
      <c r="B1286" t="s">
        <v>224</v>
      </c>
      <c r="C1286" t="s">
        <v>94</v>
      </c>
      <c r="D1286" t="s">
        <v>2895</v>
      </c>
      <c r="E1286">
        <v>2</v>
      </c>
      <c r="F1286" t="s">
        <v>2896</v>
      </c>
      <c r="G1286" s="10">
        <v>45156</v>
      </c>
      <c r="H1286">
        <v>28000</v>
      </c>
      <c r="I1286">
        <v>1000</v>
      </c>
      <c r="J1286" t="s">
        <v>227</v>
      </c>
      <c r="K1286">
        <v>6</v>
      </c>
      <c r="L1286" t="s">
        <v>41</v>
      </c>
      <c r="M1286" t="s">
        <v>42</v>
      </c>
    </row>
    <row r="1287" spans="1:13">
      <c r="A1287" t="s">
        <v>361</v>
      </c>
      <c r="B1287" t="s">
        <v>72</v>
      </c>
      <c r="C1287" t="s">
        <v>67</v>
      </c>
      <c r="D1287" t="s">
        <v>2897</v>
      </c>
      <c r="E1287">
        <v>1</v>
      </c>
      <c r="F1287" t="s">
        <v>2898</v>
      </c>
      <c r="G1287" s="10">
        <v>45194</v>
      </c>
      <c r="H1287">
        <v>26775</v>
      </c>
      <c r="I1287">
        <v>6775</v>
      </c>
      <c r="J1287" t="s">
        <v>250</v>
      </c>
      <c r="K1287">
        <v>5</v>
      </c>
      <c r="L1287" t="s">
        <v>24</v>
      </c>
      <c r="M1287" t="s">
        <v>29</v>
      </c>
    </row>
    <row r="1288" spans="1:13">
      <c r="A1288" t="s">
        <v>361</v>
      </c>
      <c r="B1288" t="s">
        <v>72</v>
      </c>
      <c r="C1288" t="s">
        <v>67</v>
      </c>
      <c r="D1288" t="s">
        <v>2899</v>
      </c>
      <c r="E1288">
        <v>1</v>
      </c>
      <c r="F1288" t="s">
        <v>2900</v>
      </c>
      <c r="G1288" s="10">
        <v>45159</v>
      </c>
      <c r="H1288">
        <v>26775</v>
      </c>
      <c r="I1288">
        <v>6775</v>
      </c>
      <c r="J1288" t="s">
        <v>250</v>
      </c>
      <c r="K1288">
        <v>6</v>
      </c>
      <c r="L1288" t="s">
        <v>24</v>
      </c>
      <c r="M1288" t="s">
        <v>29</v>
      </c>
    </row>
    <row r="1289" spans="1:13">
      <c r="A1289" t="s">
        <v>214</v>
      </c>
      <c r="B1289" t="s">
        <v>215</v>
      </c>
      <c r="C1289" t="s">
        <v>94</v>
      </c>
      <c r="D1289" t="s">
        <v>2901</v>
      </c>
      <c r="E1289">
        <v>2</v>
      </c>
      <c r="F1289" t="s">
        <v>2902</v>
      </c>
      <c r="G1289" s="10">
        <v>45156</v>
      </c>
      <c r="H1289">
        <v>28000</v>
      </c>
      <c r="I1289">
        <v>2000</v>
      </c>
      <c r="J1289" t="s">
        <v>227</v>
      </c>
      <c r="K1289">
        <v>5</v>
      </c>
      <c r="L1289" t="s">
        <v>41</v>
      </c>
      <c r="M1289" t="s">
        <v>42</v>
      </c>
    </row>
    <row r="1290" spans="1:13">
      <c r="A1290" t="s">
        <v>29</v>
      </c>
      <c r="B1290" t="s">
        <v>98</v>
      </c>
      <c r="C1290" t="s">
        <v>29</v>
      </c>
      <c r="D1290" t="s">
        <v>2903</v>
      </c>
      <c r="E1290">
        <v>1</v>
      </c>
      <c r="F1290" t="s">
        <v>2904</v>
      </c>
      <c r="G1290" s="10">
        <v>45194</v>
      </c>
      <c r="H1290">
        <v>26775</v>
      </c>
      <c r="I1290">
        <v>6775</v>
      </c>
      <c r="J1290" t="s">
        <v>250</v>
      </c>
      <c r="K1290">
        <v>6</v>
      </c>
      <c r="L1290" t="s">
        <v>24</v>
      </c>
      <c r="M1290" t="s">
        <v>29</v>
      </c>
    </row>
    <row r="1291" spans="1:13">
      <c r="A1291" t="s">
        <v>71</v>
      </c>
      <c r="B1291" t="s">
        <v>72</v>
      </c>
      <c r="C1291" t="s">
        <v>67</v>
      </c>
      <c r="D1291" t="s">
        <v>2905</v>
      </c>
      <c r="E1291">
        <v>1</v>
      </c>
      <c r="F1291" t="s">
        <v>2906</v>
      </c>
      <c r="G1291" s="10">
        <v>45159</v>
      </c>
      <c r="H1291">
        <v>26775</v>
      </c>
      <c r="I1291">
        <v>6775</v>
      </c>
      <c r="J1291" t="s">
        <v>250</v>
      </c>
      <c r="K1291">
        <v>6</v>
      </c>
      <c r="L1291" t="s">
        <v>24</v>
      </c>
      <c r="M1291" t="s">
        <v>29</v>
      </c>
    </row>
    <row r="1292" spans="1:13">
      <c r="A1292" t="s">
        <v>29</v>
      </c>
      <c r="B1292" t="s">
        <v>98</v>
      </c>
      <c r="C1292" t="s">
        <v>29</v>
      </c>
      <c r="D1292" t="s">
        <v>2907</v>
      </c>
      <c r="E1292">
        <v>1</v>
      </c>
      <c r="F1292" t="s">
        <v>2908</v>
      </c>
      <c r="G1292" s="10">
        <v>45194</v>
      </c>
      <c r="H1292">
        <v>26775</v>
      </c>
      <c r="I1292">
        <v>6775</v>
      </c>
      <c r="J1292" t="s">
        <v>250</v>
      </c>
      <c r="K1292">
        <v>6</v>
      </c>
      <c r="L1292" t="s">
        <v>24</v>
      </c>
      <c r="M1292" t="s">
        <v>29</v>
      </c>
    </row>
    <row r="1293" spans="1:13">
      <c r="A1293" t="s">
        <v>194</v>
      </c>
      <c r="B1293" t="s">
        <v>160</v>
      </c>
      <c r="C1293" t="s">
        <v>67</v>
      </c>
      <c r="D1293" t="s">
        <v>2909</v>
      </c>
      <c r="E1293">
        <v>1</v>
      </c>
      <c r="F1293" t="s">
        <v>2910</v>
      </c>
      <c r="G1293" s="10">
        <v>45194</v>
      </c>
      <c r="H1293">
        <v>26775</v>
      </c>
      <c r="I1293">
        <v>6775</v>
      </c>
      <c r="J1293" t="s">
        <v>250</v>
      </c>
      <c r="K1293">
        <v>6</v>
      </c>
      <c r="L1293" t="s">
        <v>24</v>
      </c>
      <c r="M1293" t="s">
        <v>29</v>
      </c>
    </row>
    <row r="1294" spans="1:13">
      <c r="A1294" t="s">
        <v>431</v>
      </c>
      <c r="B1294" t="s">
        <v>160</v>
      </c>
      <c r="C1294" t="s">
        <v>67</v>
      </c>
      <c r="D1294" t="s">
        <v>2911</v>
      </c>
      <c r="E1294">
        <v>2</v>
      </c>
      <c r="F1294" t="s">
        <v>2912</v>
      </c>
      <c r="G1294" s="10">
        <v>45161</v>
      </c>
      <c r="H1294">
        <v>34500</v>
      </c>
      <c r="I1294">
        <v>4500</v>
      </c>
      <c r="J1294" t="s">
        <v>193</v>
      </c>
      <c r="K1294">
        <v>6</v>
      </c>
      <c r="L1294" t="s">
        <v>35</v>
      </c>
      <c r="M1294" t="s">
        <v>27</v>
      </c>
    </row>
    <row r="1295" spans="1:13">
      <c r="A1295" t="s">
        <v>966</v>
      </c>
      <c r="B1295" t="s">
        <v>215</v>
      </c>
      <c r="C1295" t="s">
        <v>94</v>
      </c>
      <c r="D1295" t="s">
        <v>2913</v>
      </c>
      <c r="E1295">
        <v>2</v>
      </c>
      <c r="F1295" t="s">
        <v>2914</v>
      </c>
      <c r="G1295" s="10">
        <v>45156</v>
      </c>
      <c r="H1295">
        <v>40000</v>
      </c>
      <c r="I1295">
        <v>10834</v>
      </c>
      <c r="J1295" t="s">
        <v>227</v>
      </c>
      <c r="K1295">
        <v>5</v>
      </c>
      <c r="L1295" t="s">
        <v>41</v>
      </c>
      <c r="M1295" t="s">
        <v>42</v>
      </c>
    </row>
    <row r="1296" spans="1:13">
      <c r="A1296" t="s">
        <v>190</v>
      </c>
      <c r="B1296" t="s">
        <v>160</v>
      </c>
      <c r="C1296" t="s">
        <v>67</v>
      </c>
      <c r="D1296" t="s">
        <v>2915</v>
      </c>
      <c r="E1296">
        <v>2</v>
      </c>
      <c r="F1296" t="s">
        <v>2916</v>
      </c>
      <c r="G1296" s="10">
        <v>45161</v>
      </c>
      <c r="H1296">
        <v>24265</v>
      </c>
      <c r="I1296">
        <v>3165</v>
      </c>
      <c r="J1296" t="s">
        <v>193</v>
      </c>
      <c r="K1296">
        <v>6</v>
      </c>
      <c r="L1296" t="s">
        <v>35</v>
      </c>
      <c r="M1296" t="s">
        <v>27</v>
      </c>
    </row>
    <row r="1297" spans="1:13">
      <c r="A1297" t="s">
        <v>194</v>
      </c>
      <c r="B1297" t="s">
        <v>160</v>
      </c>
      <c r="C1297" t="s">
        <v>67</v>
      </c>
      <c r="D1297" t="s">
        <v>2917</v>
      </c>
      <c r="E1297">
        <v>2</v>
      </c>
      <c r="F1297" t="s">
        <v>2918</v>
      </c>
      <c r="G1297" s="10">
        <v>45160</v>
      </c>
      <c r="H1297">
        <v>48000</v>
      </c>
      <c r="I1297">
        <v>8000</v>
      </c>
      <c r="J1297" t="s">
        <v>163</v>
      </c>
      <c r="K1297">
        <v>6</v>
      </c>
      <c r="L1297" t="s">
        <v>35</v>
      </c>
      <c r="M1297" t="s">
        <v>27</v>
      </c>
    </row>
    <row r="1298" spans="1:13">
      <c r="A1298" t="s">
        <v>361</v>
      </c>
      <c r="B1298" t="s">
        <v>72</v>
      </c>
      <c r="C1298" t="s">
        <v>67</v>
      </c>
      <c r="D1298" t="s">
        <v>2919</v>
      </c>
      <c r="E1298">
        <v>1</v>
      </c>
      <c r="F1298" t="s">
        <v>2920</v>
      </c>
      <c r="G1298" s="10">
        <v>45159</v>
      </c>
      <c r="H1298">
        <v>26775</v>
      </c>
      <c r="I1298">
        <v>6775</v>
      </c>
      <c r="J1298" t="s">
        <v>250</v>
      </c>
      <c r="K1298">
        <v>6</v>
      </c>
      <c r="L1298" t="s">
        <v>24</v>
      </c>
      <c r="M1298" t="s">
        <v>29</v>
      </c>
    </row>
    <row r="1299" spans="1:13">
      <c r="A1299" t="s">
        <v>1658</v>
      </c>
      <c r="B1299" t="s">
        <v>160</v>
      </c>
      <c r="C1299" t="s">
        <v>67</v>
      </c>
      <c r="D1299" t="s">
        <v>2921</v>
      </c>
      <c r="E1299">
        <v>1</v>
      </c>
      <c r="F1299" t="s">
        <v>2922</v>
      </c>
      <c r="G1299" s="10">
        <v>45159</v>
      </c>
      <c r="H1299">
        <v>26775</v>
      </c>
      <c r="I1299">
        <v>6775</v>
      </c>
      <c r="J1299" t="s">
        <v>250</v>
      </c>
      <c r="K1299">
        <v>6</v>
      </c>
      <c r="L1299" t="s">
        <v>24</v>
      </c>
      <c r="M1299" t="s">
        <v>29</v>
      </c>
    </row>
    <row r="1300" spans="1:13">
      <c r="A1300" t="s">
        <v>361</v>
      </c>
      <c r="B1300" t="s">
        <v>72</v>
      </c>
      <c r="C1300" t="s">
        <v>67</v>
      </c>
      <c r="D1300" t="s">
        <v>2923</v>
      </c>
      <c r="E1300">
        <v>1</v>
      </c>
      <c r="F1300" t="s">
        <v>2924</v>
      </c>
      <c r="G1300" s="10">
        <v>45159</v>
      </c>
      <c r="H1300">
        <v>26775</v>
      </c>
      <c r="I1300">
        <v>6775</v>
      </c>
      <c r="J1300" t="s">
        <v>250</v>
      </c>
      <c r="K1300">
        <v>6</v>
      </c>
      <c r="L1300" t="s">
        <v>24</v>
      </c>
      <c r="M1300" t="s">
        <v>29</v>
      </c>
    </row>
    <row r="1301" spans="1:13">
      <c r="A1301" t="s">
        <v>431</v>
      </c>
      <c r="B1301" t="s">
        <v>160</v>
      </c>
      <c r="C1301" t="s">
        <v>67</v>
      </c>
      <c r="D1301" t="s">
        <v>2925</v>
      </c>
      <c r="E1301">
        <v>2</v>
      </c>
      <c r="F1301" t="s">
        <v>2926</v>
      </c>
      <c r="G1301" s="10">
        <v>45161</v>
      </c>
      <c r="H1301">
        <v>28750</v>
      </c>
      <c r="I1301">
        <v>3750</v>
      </c>
      <c r="J1301" t="s">
        <v>193</v>
      </c>
      <c r="K1301">
        <v>5</v>
      </c>
      <c r="L1301" t="s">
        <v>35</v>
      </c>
      <c r="M1301" t="s">
        <v>27</v>
      </c>
    </row>
    <row r="1302" spans="1:13">
      <c r="A1302" t="s">
        <v>361</v>
      </c>
      <c r="B1302" t="s">
        <v>72</v>
      </c>
      <c r="C1302" t="s">
        <v>67</v>
      </c>
      <c r="D1302" t="s">
        <v>2927</v>
      </c>
      <c r="E1302">
        <v>1</v>
      </c>
      <c r="F1302" t="s">
        <v>2928</v>
      </c>
      <c r="G1302" s="10">
        <v>45194</v>
      </c>
      <c r="H1302">
        <v>26775</v>
      </c>
      <c r="I1302">
        <v>6775</v>
      </c>
      <c r="J1302" t="s">
        <v>250</v>
      </c>
      <c r="K1302">
        <v>6</v>
      </c>
      <c r="L1302" t="s">
        <v>24</v>
      </c>
      <c r="M1302" t="s">
        <v>29</v>
      </c>
    </row>
    <row r="1303" spans="1:13">
      <c r="A1303" t="s">
        <v>361</v>
      </c>
      <c r="B1303" t="s">
        <v>72</v>
      </c>
      <c r="C1303" t="s">
        <v>67</v>
      </c>
      <c r="D1303" t="s">
        <v>2929</v>
      </c>
      <c r="E1303">
        <v>1</v>
      </c>
      <c r="F1303" t="s">
        <v>2930</v>
      </c>
      <c r="G1303" s="10">
        <v>45194</v>
      </c>
      <c r="H1303">
        <v>26775</v>
      </c>
      <c r="I1303">
        <v>6775</v>
      </c>
      <c r="J1303" t="s">
        <v>250</v>
      </c>
      <c r="K1303">
        <v>5</v>
      </c>
      <c r="L1303" t="s">
        <v>24</v>
      </c>
      <c r="M1303" t="s">
        <v>29</v>
      </c>
    </row>
    <row r="1304" spans="1:13">
      <c r="A1304" t="s">
        <v>969</v>
      </c>
      <c r="B1304" t="s">
        <v>93</v>
      </c>
      <c r="C1304" t="s">
        <v>94</v>
      </c>
      <c r="D1304" t="s">
        <v>2931</v>
      </c>
      <c r="E1304">
        <v>2</v>
      </c>
      <c r="F1304" t="s">
        <v>2932</v>
      </c>
      <c r="G1304" s="10">
        <v>45166</v>
      </c>
      <c r="H1304">
        <v>222600</v>
      </c>
      <c r="I1304">
        <v>39267</v>
      </c>
      <c r="J1304" t="s">
        <v>97</v>
      </c>
      <c r="K1304">
        <v>6</v>
      </c>
      <c r="L1304" t="s">
        <v>41</v>
      </c>
      <c r="M1304" t="s">
        <v>42</v>
      </c>
    </row>
    <row r="1305" spans="1:13">
      <c r="A1305" t="s">
        <v>361</v>
      </c>
      <c r="B1305" t="s">
        <v>72</v>
      </c>
      <c r="C1305" t="s">
        <v>67</v>
      </c>
      <c r="D1305" t="s">
        <v>2933</v>
      </c>
      <c r="E1305">
        <v>1</v>
      </c>
      <c r="F1305" t="s">
        <v>2934</v>
      </c>
      <c r="G1305" s="10">
        <v>45159</v>
      </c>
      <c r="H1305">
        <v>26775</v>
      </c>
      <c r="I1305">
        <v>6775</v>
      </c>
      <c r="J1305" t="s">
        <v>250</v>
      </c>
      <c r="K1305">
        <v>6</v>
      </c>
      <c r="L1305" t="s">
        <v>24</v>
      </c>
      <c r="M1305" t="s">
        <v>29</v>
      </c>
    </row>
    <row r="1306" spans="1:13">
      <c r="A1306" t="s">
        <v>361</v>
      </c>
      <c r="B1306" t="s">
        <v>72</v>
      </c>
      <c r="C1306" t="s">
        <v>67</v>
      </c>
      <c r="D1306" t="s">
        <v>2935</v>
      </c>
      <c r="E1306">
        <v>1</v>
      </c>
      <c r="F1306" t="s">
        <v>2936</v>
      </c>
      <c r="G1306" s="10">
        <v>45159</v>
      </c>
      <c r="H1306">
        <v>26775</v>
      </c>
      <c r="I1306">
        <v>6775</v>
      </c>
      <c r="J1306" t="s">
        <v>250</v>
      </c>
      <c r="K1306">
        <v>6</v>
      </c>
      <c r="L1306" t="s">
        <v>24</v>
      </c>
      <c r="M1306" t="s">
        <v>29</v>
      </c>
    </row>
    <row r="1307" spans="1:13">
      <c r="A1307" t="s">
        <v>29</v>
      </c>
      <c r="B1307" t="s">
        <v>98</v>
      </c>
      <c r="C1307" t="s">
        <v>29</v>
      </c>
      <c r="D1307" t="s">
        <v>2937</v>
      </c>
      <c r="E1307">
        <v>1</v>
      </c>
      <c r="F1307" t="s">
        <v>2938</v>
      </c>
      <c r="G1307" s="10">
        <v>45194</v>
      </c>
      <c r="H1307">
        <v>26775</v>
      </c>
      <c r="I1307">
        <v>6775</v>
      </c>
      <c r="J1307" t="s">
        <v>250</v>
      </c>
      <c r="K1307">
        <v>6</v>
      </c>
      <c r="L1307" t="s">
        <v>24</v>
      </c>
      <c r="M1307" t="s">
        <v>29</v>
      </c>
    </row>
    <row r="1308" spans="1:13">
      <c r="A1308" t="s">
        <v>2880</v>
      </c>
      <c r="B1308" t="s">
        <v>848</v>
      </c>
      <c r="C1308" t="s">
        <v>98</v>
      </c>
      <c r="D1308" t="s">
        <v>2939</v>
      </c>
      <c r="E1308">
        <v>1</v>
      </c>
      <c r="F1308" t="s">
        <v>2940</v>
      </c>
      <c r="G1308" s="10">
        <v>45194</v>
      </c>
      <c r="H1308">
        <v>26775</v>
      </c>
      <c r="I1308">
        <v>6775</v>
      </c>
      <c r="J1308" t="s">
        <v>250</v>
      </c>
      <c r="K1308">
        <v>5</v>
      </c>
      <c r="L1308" t="s">
        <v>24</v>
      </c>
      <c r="M1308" t="s">
        <v>29</v>
      </c>
    </row>
    <row r="1309" spans="1:13">
      <c r="A1309" t="s">
        <v>2941</v>
      </c>
      <c r="B1309" t="s">
        <v>160</v>
      </c>
      <c r="C1309" t="s">
        <v>67</v>
      </c>
      <c r="D1309" t="s">
        <v>2942</v>
      </c>
      <c r="E1309">
        <v>2</v>
      </c>
      <c r="F1309" t="s">
        <v>2943</v>
      </c>
      <c r="G1309" s="10">
        <v>45162</v>
      </c>
      <c r="H1309">
        <v>30820</v>
      </c>
      <c r="I1309">
        <v>4020</v>
      </c>
      <c r="J1309" t="s">
        <v>193</v>
      </c>
      <c r="K1309">
        <v>5</v>
      </c>
      <c r="L1309" t="s">
        <v>35</v>
      </c>
      <c r="M1309" t="s">
        <v>27</v>
      </c>
    </row>
    <row r="1310" spans="1:13">
      <c r="A1310" t="s">
        <v>170</v>
      </c>
      <c r="B1310" t="s">
        <v>66</v>
      </c>
      <c r="C1310" t="s">
        <v>67</v>
      </c>
      <c r="D1310" t="s">
        <v>2944</v>
      </c>
      <c r="E1310">
        <v>1</v>
      </c>
      <c r="F1310" t="s">
        <v>2945</v>
      </c>
      <c r="G1310" s="10">
        <v>45194</v>
      </c>
      <c r="H1310">
        <v>26775</v>
      </c>
      <c r="I1310">
        <v>6775</v>
      </c>
      <c r="J1310" t="s">
        <v>250</v>
      </c>
      <c r="K1310">
        <v>6</v>
      </c>
      <c r="L1310" t="s">
        <v>24</v>
      </c>
      <c r="M1310" t="s">
        <v>29</v>
      </c>
    </row>
    <row r="1311" spans="1:13">
      <c r="A1311" t="s">
        <v>76</v>
      </c>
      <c r="B1311" t="s">
        <v>72</v>
      </c>
      <c r="C1311" t="s">
        <v>67</v>
      </c>
      <c r="D1311" t="s">
        <v>2946</v>
      </c>
      <c r="E1311">
        <v>1</v>
      </c>
      <c r="F1311" t="s">
        <v>2947</v>
      </c>
      <c r="G1311" s="10">
        <v>45159</v>
      </c>
      <c r="H1311">
        <v>26775</v>
      </c>
      <c r="I1311">
        <v>6775</v>
      </c>
      <c r="J1311" t="s">
        <v>250</v>
      </c>
      <c r="K1311">
        <v>6</v>
      </c>
      <c r="L1311" t="s">
        <v>24</v>
      </c>
      <c r="M1311" t="s">
        <v>29</v>
      </c>
    </row>
    <row r="1312" spans="1:13">
      <c r="A1312" t="s">
        <v>76</v>
      </c>
      <c r="B1312" t="s">
        <v>72</v>
      </c>
      <c r="C1312" t="s">
        <v>67</v>
      </c>
      <c r="D1312" t="s">
        <v>2948</v>
      </c>
      <c r="E1312">
        <v>1</v>
      </c>
      <c r="F1312" t="s">
        <v>2949</v>
      </c>
      <c r="G1312" s="10">
        <v>45159</v>
      </c>
      <c r="H1312">
        <v>26775</v>
      </c>
      <c r="I1312">
        <v>6775</v>
      </c>
      <c r="J1312" t="s">
        <v>250</v>
      </c>
      <c r="K1312">
        <v>6</v>
      </c>
      <c r="L1312" t="s">
        <v>24</v>
      </c>
      <c r="M1312" t="s">
        <v>29</v>
      </c>
    </row>
    <row r="1313" spans="1:13">
      <c r="A1313" t="s">
        <v>522</v>
      </c>
      <c r="B1313" t="s">
        <v>72</v>
      </c>
      <c r="C1313" t="s">
        <v>67</v>
      </c>
      <c r="D1313" t="s">
        <v>2950</v>
      </c>
      <c r="E1313">
        <v>1</v>
      </c>
      <c r="F1313" t="s">
        <v>2951</v>
      </c>
      <c r="G1313" s="10">
        <v>45159</v>
      </c>
      <c r="H1313">
        <v>26775</v>
      </c>
      <c r="I1313">
        <v>6775</v>
      </c>
      <c r="J1313" t="s">
        <v>250</v>
      </c>
      <c r="K1313">
        <v>6</v>
      </c>
      <c r="L1313" t="s">
        <v>24</v>
      </c>
      <c r="M1313" t="s">
        <v>29</v>
      </c>
    </row>
    <row r="1314" spans="1:13">
      <c r="A1314" t="s">
        <v>1547</v>
      </c>
      <c r="B1314" t="s">
        <v>160</v>
      </c>
      <c r="C1314" t="s">
        <v>67</v>
      </c>
      <c r="D1314" t="s">
        <v>2952</v>
      </c>
      <c r="E1314">
        <v>2</v>
      </c>
      <c r="F1314" t="s">
        <v>2953</v>
      </c>
      <c r="G1314" s="10">
        <v>45161</v>
      </c>
      <c r="H1314">
        <v>29500</v>
      </c>
      <c r="I1314">
        <v>4500</v>
      </c>
      <c r="J1314" t="s">
        <v>193</v>
      </c>
      <c r="K1314">
        <v>5</v>
      </c>
      <c r="L1314" t="s">
        <v>35</v>
      </c>
      <c r="M1314" t="s">
        <v>27</v>
      </c>
    </row>
    <row r="1315" spans="1:13">
      <c r="A1315" t="s">
        <v>2654</v>
      </c>
      <c r="B1315" t="s">
        <v>52</v>
      </c>
      <c r="C1315" t="s">
        <v>741</v>
      </c>
      <c r="D1315" t="s">
        <v>2954</v>
      </c>
      <c r="E1315">
        <v>4</v>
      </c>
      <c r="F1315" t="s">
        <v>2955</v>
      </c>
      <c r="G1315" s="10">
        <v>45104</v>
      </c>
      <c r="H1315">
        <v>27300</v>
      </c>
      <c r="I1315">
        <v>6300</v>
      </c>
      <c r="J1315" t="s">
        <v>1573</v>
      </c>
      <c r="K1315">
        <v>6</v>
      </c>
      <c r="L1315" t="s">
        <v>44</v>
      </c>
      <c r="M1315" s="3" t="s">
        <v>46</v>
      </c>
    </row>
    <row r="1316" spans="1:13">
      <c r="A1316" t="s">
        <v>854</v>
      </c>
      <c r="B1316" t="s">
        <v>93</v>
      </c>
      <c r="C1316" t="s">
        <v>94</v>
      </c>
      <c r="D1316" t="s">
        <v>2956</v>
      </c>
      <c r="E1316">
        <v>2</v>
      </c>
      <c r="F1316" t="s">
        <v>2957</v>
      </c>
      <c r="G1316" s="10">
        <v>45187</v>
      </c>
      <c r="H1316">
        <v>157500</v>
      </c>
      <c r="I1316">
        <v>40833.33</v>
      </c>
      <c r="J1316" t="s">
        <v>97</v>
      </c>
      <c r="K1316">
        <v>6</v>
      </c>
      <c r="L1316" t="s">
        <v>41</v>
      </c>
      <c r="M1316" t="s">
        <v>42</v>
      </c>
    </row>
    <row r="1317" spans="1:13">
      <c r="A1317" t="s">
        <v>1772</v>
      </c>
      <c r="B1317" t="s">
        <v>1030</v>
      </c>
      <c r="C1317" t="s">
        <v>94</v>
      </c>
      <c r="D1317" t="s">
        <v>2958</v>
      </c>
      <c r="E1317">
        <v>2</v>
      </c>
      <c r="F1317" t="s">
        <v>2959</v>
      </c>
      <c r="G1317" s="10">
        <v>45161</v>
      </c>
      <c r="H1317">
        <v>75600</v>
      </c>
      <c r="I1317">
        <v>18934</v>
      </c>
      <c r="J1317" t="s">
        <v>1357</v>
      </c>
      <c r="K1317">
        <v>6</v>
      </c>
      <c r="L1317" t="s">
        <v>41</v>
      </c>
      <c r="M1317" t="s">
        <v>25</v>
      </c>
    </row>
    <row r="1318" spans="1:13">
      <c r="A1318" t="s">
        <v>522</v>
      </c>
      <c r="B1318" t="s">
        <v>72</v>
      </c>
      <c r="C1318" t="s">
        <v>67</v>
      </c>
      <c r="D1318" t="s">
        <v>2960</v>
      </c>
      <c r="E1318">
        <v>1</v>
      </c>
      <c r="F1318" t="s">
        <v>2961</v>
      </c>
      <c r="G1318" s="10">
        <v>45159</v>
      </c>
      <c r="H1318">
        <v>26775</v>
      </c>
      <c r="I1318">
        <v>6775</v>
      </c>
      <c r="J1318" t="s">
        <v>250</v>
      </c>
      <c r="K1318">
        <v>6</v>
      </c>
      <c r="L1318" t="s">
        <v>24</v>
      </c>
      <c r="M1318" t="s">
        <v>29</v>
      </c>
    </row>
    <row r="1319" spans="1:13">
      <c r="A1319" t="s">
        <v>2389</v>
      </c>
      <c r="B1319" t="s">
        <v>2267</v>
      </c>
      <c r="C1319" t="s">
        <v>94</v>
      </c>
      <c r="D1319" t="s">
        <v>2962</v>
      </c>
      <c r="E1319">
        <v>2</v>
      </c>
      <c r="F1319" t="s">
        <v>2963</v>
      </c>
      <c r="G1319" s="10">
        <v>45159</v>
      </c>
      <c r="H1319">
        <v>26775</v>
      </c>
      <c r="I1319">
        <v>6775</v>
      </c>
      <c r="J1319" t="s">
        <v>441</v>
      </c>
      <c r="K1319">
        <v>6</v>
      </c>
      <c r="L1319" t="s">
        <v>24</v>
      </c>
      <c r="M1319" t="s">
        <v>29</v>
      </c>
    </row>
    <row r="1320" spans="1:13">
      <c r="A1320" t="s">
        <v>790</v>
      </c>
      <c r="B1320" t="s">
        <v>455</v>
      </c>
      <c r="C1320" t="s">
        <v>455</v>
      </c>
      <c r="D1320" t="s">
        <v>2964</v>
      </c>
      <c r="E1320">
        <v>2</v>
      </c>
      <c r="F1320" t="s">
        <v>2965</v>
      </c>
      <c r="G1320" s="10">
        <v>45161</v>
      </c>
      <c r="H1320">
        <v>150087</v>
      </c>
      <c r="I1320">
        <v>66754</v>
      </c>
      <c r="J1320" t="s">
        <v>458</v>
      </c>
      <c r="K1320">
        <v>5</v>
      </c>
      <c r="L1320" t="s">
        <v>37</v>
      </c>
      <c r="M1320" t="s">
        <v>33</v>
      </c>
    </row>
    <row r="1321" spans="1:13">
      <c r="A1321" t="s">
        <v>2872</v>
      </c>
      <c r="B1321" t="s">
        <v>848</v>
      </c>
      <c r="C1321" t="s">
        <v>98</v>
      </c>
      <c r="D1321" t="s">
        <v>2966</v>
      </c>
      <c r="E1321">
        <v>1</v>
      </c>
      <c r="F1321" t="s">
        <v>2967</v>
      </c>
      <c r="G1321" s="10">
        <v>45174</v>
      </c>
      <c r="H1321">
        <v>45517.5</v>
      </c>
      <c r="I1321">
        <v>6351.5</v>
      </c>
      <c r="J1321" t="s">
        <v>75</v>
      </c>
      <c r="K1321">
        <v>5</v>
      </c>
      <c r="L1321" t="s">
        <v>35</v>
      </c>
      <c r="M1321" t="s">
        <v>29</v>
      </c>
    </row>
    <row r="1322" spans="1:13">
      <c r="A1322" t="s">
        <v>2880</v>
      </c>
      <c r="B1322" t="s">
        <v>848</v>
      </c>
      <c r="C1322" t="s">
        <v>98</v>
      </c>
      <c r="D1322" t="s">
        <v>2968</v>
      </c>
      <c r="E1322">
        <v>1</v>
      </c>
      <c r="F1322" t="s">
        <v>2969</v>
      </c>
      <c r="G1322" s="10">
        <v>45170</v>
      </c>
      <c r="H1322">
        <v>0</v>
      </c>
      <c r="I1322">
        <v>-20000</v>
      </c>
      <c r="J1322" t="s">
        <v>441</v>
      </c>
      <c r="K1322">
        <v>6</v>
      </c>
      <c r="L1322" t="s">
        <v>24</v>
      </c>
      <c r="M1322" t="s">
        <v>29</v>
      </c>
    </row>
    <row r="1323" spans="1:13">
      <c r="A1323" t="s">
        <v>854</v>
      </c>
      <c r="B1323" t="s">
        <v>93</v>
      </c>
      <c r="C1323" t="s">
        <v>94</v>
      </c>
      <c r="D1323" t="s">
        <v>2970</v>
      </c>
      <c r="E1323">
        <v>2</v>
      </c>
      <c r="F1323" t="s">
        <v>2971</v>
      </c>
      <c r="G1323" s="10">
        <v>45173</v>
      </c>
      <c r="H1323">
        <v>220500</v>
      </c>
      <c r="I1323">
        <v>20500</v>
      </c>
      <c r="J1323" t="s">
        <v>97</v>
      </c>
      <c r="K1323">
        <v>5</v>
      </c>
      <c r="L1323" t="s">
        <v>41</v>
      </c>
      <c r="M1323" t="s">
        <v>42</v>
      </c>
    </row>
    <row r="1324" spans="1:13">
      <c r="A1324" t="s">
        <v>571</v>
      </c>
      <c r="B1324" t="s">
        <v>179</v>
      </c>
      <c r="C1324" t="s">
        <v>45</v>
      </c>
      <c r="D1324" t="s">
        <v>2972</v>
      </c>
      <c r="E1324">
        <v>2</v>
      </c>
      <c r="F1324" t="s">
        <v>2973</v>
      </c>
      <c r="G1324" s="10">
        <v>45163</v>
      </c>
      <c r="H1324">
        <v>378000</v>
      </c>
      <c r="I1324">
        <v>236334</v>
      </c>
      <c r="J1324" t="s">
        <v>189</v>
      </c>
      <c r="K1324">
        <v>5</v>
      </c>
      <c r="L1324" t="s">
        <v>44</v>
      </c>
      <c r="M1324" t="s">
        <v>45</v>
      </c>
    </row>
    <row r="1325" spans="1:13">
      <c r="A1325" t="s">
        <v>361</v>
      </c>
      <c r="B1325" t="s">
        <v>72</v>
      </c>
      <c r="C1325" t="s">
        <v>67</v>
      </c>
      <c r="D1325" t="s">
        <v>2974</v>
      </c>
      <c r="E1325">
        <v>1</v>
      </c>
      <c r="F1325" t="s">
        <v>2975</v>
      </c>
      <c r="G1325" s="10">
        <v>45170</v>
      </c>
      <c r="H1325">
        <v>32130</v>
      </c>
      <c r="I1325">
        <v>12130</v>
      </c>
      <c r="J1325" t="s">
        <v>250</v>
      </c>
      <c r="K1325">
        <v>6</v>
      </c>
      <c r="L1325" t="s">
        <v>24</v>
      </c>
      <c r="M1325" t="s">
        <v>29</v>
      </c>
    </row>
    <row r="1326" spans="1:13">
      <c r="A1326" t="s">
        <v>2367</v>
      </c>
      <c r="B1326" t="s">
        <v>118</v>
      </c>
      <c r="C1326" t="s">
        <v>98</v>
      </c>
      <c r="D1326" t="s">
        <v>2976</v>
      </c>
      <c r="E1326">
        <v>1</v>
      </c>
      <c r="F1326" t="s">
        <v>2977</v>
      </c>
      <c r="G1326" s="10">
        <v>45169</v>
      </c>
      <c r="H1326">
        <v>67200</v>
      </c>
      <c r="I1326">
        <v>25534</v>
      </c>
      <c r="J1326" t="s">
        <v>834</v>
      </c>
      <c r="K1326">
        <v>5</v>
      </c>
      <c r="L1326" t="s">
        <v>37</v>
      </c>
      <c r="M1326" t="s">
        <v>25</v>
      </c>
    </row>
    <row r="1327" spans="1:13">
      <c r="A1327" t="s">
        <v>1547</v>
      </c>
      <c r="B1327" t="s">
        <v>160</v>
      </c>
      <c r="C1327" t="s">
        <v>67</v>
      </c>
      <c r="D1327" t="s">
        <v>2978</v>
      </c>
      <c r="E1327">
        <v>2</v>
      </c>
      <c r="F1327" t="s">
        <v>2979</v>
      </c>
      <c r="G1327" s="10">
        <v>45162</v>
      </c>
      <c r="H1327">
        <v>17700</v>
      </c>
      <c r="I1327">
        <v>2700</v>
      </c>
      <c r="J1327" t="s">
        <v>193</v>
      </c>
      <c r="K1327">
        <v>5</v>
      </c>
      <c r="L1327" t="s">
        <v>35</v>
      </c>
      <c r="M1327" t="s">
        <v>27</v>
      </c>
    </row>
    <row r="1328" spans="1:13">
      <c r="A1328" t="s">
        <v>2872</v>
      </c>
      <c r="B1328" t="s">
        <v>848</v>
      </c>
      <c r="C1328" t="s">
        <v>98</v>
      </c>
      <c r="D1328" t="s">
        <v>2980</v>
      </c>
      <c r="E1328">
        <v>1</v>
      </c>
      <c r="F1328" t="s">
        <v>2981</v>
      </c>
      <c r="G1328" s="10">
        <v>45170</v>
      </c>
      <c r="H1328">
        <v>32130</v>
      </c>
      <c r="I1328">
        <v>12130</v>
      </c>
      <c r="J1328" t="s">
        <v>441</v>
      </c>
      <c r="K1328">
        <v>6</v>
      </c>
      <c r="L1328" t="s">
        <v>24</v>
      </c>
      <c r="M1328" t="s">
        <v>29</v>
      </c>
    </row>
    <row r="1329" spans="1:13">
      <c r="A1329" t="s">
        <v>2872</v>
      </c>
      <c r="B1329" t="s">
        <v>848</v>
      </c>
      <c r="C1329" t="s">
        <v>98</v>
      </c>
      <c r="D1329" t="s">
        <v>2982</v>
      </c>
      <c r="E1329">
        <v>1</v>
      </c>
      <c r="F1329" t="s">
        <v>2983</v>
      </c>
      <c r="G1329" s="10">
        <v>45170</v>
      </c>
      <c r="H1329">
        <v>32130</v>
      </c>
      <c r="I1329">
        <v>12130</v>
      </c>
      <c r="J1329" t="s">
        <v>441</v>
      </c>
      <c r="K1329">
        <v>6</v>
      </c>
      <c r="L1329" t="s">
        <v>24</v>
      </c>
      <c r="M1329" t="s">
        <v>29</v>
      </c>
    </row>
    <row r="1330" spans="1:13">
      <c r="A1330" t="s">
        <v>197</v>
      </c>
      <c r="B1330" t="s">
        <v>160</v>
      </c>
      <c r="C1330" t="s">
        <v>67</v>
      </c>
      <c r="D1330" t="s">
        <v>2984</v>
      </c>
      <c r="E1330">
        <v>2</v>
      </c>
      <c r="F1330" t="s">
        <v>2985</v>
      </c>
      <c r="G1330" s="10">
        <v>45163</v>
      </c>
      <c r="H1330">
        <v>17700</v>
      </c>
      <c r="I1330">
        <v>2700</v>
      </c>
      <c r="J1330" t="s">
        <v>193</v>
      </c>
      <c r="K1330">
        <v>5</v>
      </c>
      <c r="L1330" t="s">
        <v>35</v>
      </c>
      <c r="M1330" t="s">
        <v>27</v>
      </c>
    </row>
    <row r="1331" spans="1:13">
      <c r="A1331" t="s">
        <v>266</v>
      </c>
      <c r="B1331" t="s">
        <v>160</v>
      </c>
      <c r="C1331" t="s">
        <v>67</v>
      </c>
      <c r="D1331" t="s">
        <v>2986</v>
      </c>
      <c r="E1331">
        <v>2</v>
      </c>
      <c r="F1331" t="s">
        <v>2987</v>
      </c>
      <c r="G1331" s="10">
        <v>45163</v>
      </c>
      <c r="H1331">
        <v>32500</v>
      </c>
      <c r="I1331">
        <v>7500</v>
      </c>
      <c r="J1331" t="s">
        <v>163</v>
      </c>
      <c r="K1331">
        <v>5</v>
      </c>
      <c r="L1331" t="s">
        <v>35</v>
      </c>
      <c r="M1331" t="s">
        <v>27</v>
      </c>
    </row>
    <row r="1332" spans="1:13">
      <c r="A1332" t="s">
        <v>266</v>
      </c>
      <c r="B1332" t="s">
        <v>160</v>
      </c>
      <c r="C1332" t="s">
        <v>67</v>
      </c>
      <c r="D1332" t="s">
        <v>2988</v>
      </c>
      <c r="E1332">
        <v>2</v>
      </c>
      <c r="F1332" t="s">
        <v>2989</v>
      </c>
      <c r="G1332" s="10">
        <v>45163</v>
      </c>
      <c r="H1332">
        <v>48000</v>
      </c>
      <c r="I1332">
        <v>8000</v>
      </c>
      <c r="J1332" t="s">
        <v>163</v>
      </c>
      <c r="K1332">
        <v>6</v>
      </c>
      <c r="L1332" t="s">
        <v>35</v>
      </c>
      <c r="M1332" t="s">
        <v>27</v>
      </c>
    </row>
    <row r="1333" spans="1:13">
      <c r="A1333" t="s">
        <v>140</v>
      </c>
      <c r="B1333" t="s">
        <v>141</v>
      </c>
      <c r="C1333" t="s">
        <v>67</v>
      </c>
      <c r="D1333" t="s">
        <v>2990</v>
      </c>
      <c r="E1333">
        <v>1</v>
      </c>
      <c r="F1333" t="s">
        <v>2991</v>
      </c>
      <c r="G1333" s="10">
        <v>45162</v>
      </c>
      <c r="H1333">
        <v>39900</v>
      </c>
      <c r="I1333">
        <v>9900</v>
      </c>
      <c r="J1333" t="s">
        <v>144</v>
      </c>
      <c r="K1333">
        <v>6</v>
      </c>
      <c r="L1333" t="s">
        <v>38</v>
      </c>
      <c r="M1333" t="s">
        <v>25</v>
      </c>
    </row>
    <row r="1334" spans="1:13">
      <c r="A1334" t="s">
        <v>140</v>
      </c>
      <c r="B1334" t="s">
        <v>141</v>
      </c>
      <c r="C1334" t="s">
        <v>67</v>
      </c>
      <c r="D1334" t="s">
        <v>2992</v>
      </c>
      <c r="E1334">
        <v>1</v>
      </c>
      <c r="F1334" t="s">
        <v>2993</v>
      </c>
      <c r="G1334" s="10">
        <v>45170</v>
      </c>
      <c r="H1334">
        <v>0</v>
      </c>
      <c r="I1334">
        <v>-20000</v>
      </c>
      <c r="J1334" t="s">
        <v>250</v>
      </c>
      <c r="K1334">
        <v>6</v>
      </c>
      <c r="L1334" t="s">
        <v>24</v>
      </c>
      <c r="M1334" t="s">
        <v>29</v>
      </c>
    </row>
    <row r="1335" spans="1:13">
      <c r="A1335" t="s">
        <v>2994</v>
      </c>
      <c r="B1335" t="s">
        <v>93</v>
      </c>
      <c r="C1335" t="s">
        <v>94</v>
      </c>
      <c r="D1335" t="s">
        <v>2995</v>
      </c>
      <c r="E1335">
        <v>2</v>
      </c>
      <c r="F1335" t="s">
        <v>2996</v>
      </c>
      <c r="G1335" s="10">
        <v>45166</v>
      </c>
      <c r="H1335">
        <v>121800</v>
      </c>
      <c r="I1335">
        <v>21800</v>
      </c>
      <c r="J1335" t="s">
        <v>97</v>
      </c>
      <c r="K1335">
        <v>6</v>
      </c>
      <c r="L1335" t="s">
        <v>41</v>
      </c>
      <c r="M1335" t="s">
        <v>42</v>
      </c>
    </row>
    <row r="1336" spans="1:13">
      <c r="A1336" t="s">
        <v>140</v>
      </c>
      <c r="B1336" t="s">
        <v>141</v>
      </c>
      <c r="C1336" t="s">
        <v>67</v>
      </c>
      <c r="D1336" t="s">
        <v>2997</v>
      </c>
      <c r="E1336">
        <v>1</v>
      </c>
      <c r="F1336" t="s">
        <v>2998</v>
      </c>
      <c r="G1336" s="10">
        <v>45170</v>
      </c>
      <c r="H1336">
        <v>32130</v>
      </c>
      <c r="I1336">
        <v>12130</v>
      </c>
      <c r="J1336" t="s">
        <v>250</v>
      </c>
      <c r="K1336">
        <v>6</v>
      </c>
      <c r="L1336" t="s">
        <v>24</v>
      </c>
      <c r="M1336" t="s">
        <v>29</v>
      </c>
    </row>
    <row r="1337" spans="1:13">
      <c r="A1337" t="s">
        <v>1820</v>
      </c>
      <c r="B1337" t="s">
        <v>215</v>
      </c>
      <c r="C1337" t="s">
        <v>94</v>
      </c>
      <c r="D1337" t="s">
        <v>2999</v>
      </c>
      <c r="E1337">
        <v>2</v>
      </c>
      <c r="F1337" t="s">
        <v>3000</v>
      </c>
      <c r="G1337" s="10">
        <v>45168</v>
      </c>
      <c r="H1337">
        <v>78125</v>
      </c>
      <c r="I1337">
        <v>14125</v>
      </c>
      <c r="J1337" t="s">
        <v>227</v>
      </c>
      <c r="K1337">
        <v>5</v>
      </c>
      <c r="L1337" t="s">
        <v>41</v>
      </c>
      <c r="M1337" t="s">
        <v>42</v>
      </c>
    </row>
    <row r="1338" spans="1:13">
      <c r="A1338" t="s">
        <v>642</v>
      </c>
      <c r="B1338" t="s">
        <v>179</v>
      </c>
      <c r="C1338" t="s">
        <v>45</v>
      </c>
      <c r="D1338" t="s">
        <v>3001</v>
      </c>
      <c r="E1338">
        <v>2</v>
      </c>
      <c r="F1338" t="s">
        <v>3002</v>
      </c>
      <c r="G1338" s="10">
        <v>45163</v>
      </c>
      <c r="H1338">
        <v>336000</v>
      </c>
      <c r="I1338">
        <v>119334</v>
      </c>
      <c r="J1338" t="s">
        <v>189</v>
      </c>
      <c r="K1338">
        <v>6</v>
      </c>
      <c r="L1338" t="s">
        <v>44</v>
      </c>
      <c r="M1338" t="s">
        <v>45</v>
      </c>
    </row>
    <row r="1339" spans="1:13">
      <c r="A1339" t="s">
        <v>1447</v>
      </c>
      <c r="B1339" t="s">
        <v>179</v>
      </c>
      <c r="C1339" t="s">
        <v>45</v>
      </c>
      <c r="D1339" t="s">
        <v>3003</v>
      </c>
      <c r="E1339">
        <v>2</v>
      </c>
      <c r="F1339" t="s">
        <v>3004</v>
      </c>
      <c r="G1339" s="10">
        <v>45163</v>
      </c>
      <c r="H1339">
        <v>138000</v>
      </c>
      <c r="I1339">
        <v>54667</v>
      </c>
      <c r="J1339" t="s">
        <v>189</v>
      </c>
      <c r="K1339">
        <v>5</v>
      </c>
      <c r="L1339" t="s">
        <v>44</v>
      </c>
      <c r="M1339" t="s">
        <v>45</v>
      </c>
    </row>
    <row r="1340" spans="1:13">
      <c r="A1340" t="s">
        <v>194</v>
      </c>
      <c r="B1340" t="s">
        <v>160</v>
      </c>
      <c r="C1340" t="s">
        <v>67</v>
      </c>
      <c r="D1340" t="s">
        <v>3005</v>
      </c>
      <c r="E1340">
        <v>1</v>
      </c>
      <c r="F1340" t="s">
        <v>3006</v>
      </c>
      <c r="G1340" s="10">
        <v>45159</v>
      </c>
      <c r="H1340">
        <v>26775</v>
      </c>
      <c r="I1340">
        <v>6775</v>
      </c>
      <c r="J1340" t="s">
        <v>250</v>
      </c>
      <c r="K1340">
        <v>6</v>
      </c>
      <c r="L1340" t="s">
        <v>24</v>
      </c>
      <c r="M1340" t="s">
        <v>29</v>
      </c>
    </row>
    <row r="1341" spans="1:13">
      <c r="A1341" t="s">
        <v>541</v>
      </c>
      <c r="B1341" t="s">
        <v>43</v>
      </c>
      <c r="C1341" t="s">
        <v>94</v>
      </c>
      <c r="D1341" t="s">
        <v>3007</v>
      </c>
      <c r="E1341">
        <v>2</v>
      </c>
      <c r="F1341" t="s">
        <v>3008</v>
      </c>
      <c r="G1341" s="10">
        <v>45167</v>
      </c>
      <c r="H1341">
        <v>30000</v>
      </c>
      <c r="I1341">
        <v>5000</v>
      </c>
      <c r="J1341" t="s">
        <v>227</v>
      </c>
      <c r="K1341">
        <v>6</v>
      </c>
      <c r="L1341" t="s">
        <v>41</v>
      </c>
      <c r="M1341" t="s">
        <v>42</v>
      </c>
    </row>
    <row r="1342" spans="1:13">
      <c r="A1342" t="s">
        <v>194</v>
      </c>
      <c r="B1342" t="s">
        <v>160</v>
      </c>
      <c r="C1342" t="s">
        <v>67</v>
      </c>
      <c r="D1342" t="s">
        <v>3009</v>
      </c>
      <c r="E1342">
        <v>2</v>
      </c>
      <c r="F1342" t="s">
        <v>3010</v>
      </c>
      <c r="G1342" s="10">
        <v>45163</v>
      </c>
      <c r="H1342">
        <v>48000</v>
      </c>
      <c r="I1342">
        <v>8000</v>
      </c>
      <c r="J1342" t="s">
        <v>163</v>
      </c>
      <c r="K1342">
        <v>5</v>
      </c>
      <c r="L1342" t="s">
        <v>35</v>
      </c>
      <c r="M1342" t="s">
        <v>27</v>
      </c>
    </row>
    <row r="1343" spans="1:13">
      <c r="A1343" t="s">
        <v>1193</v>
      </c>
      <c r="B1343" t="s">
        <v>141</v>
      </c>
      <c r="C1343" t="s">
        <v>67</v>
      </c>
      <c r="D1343" t="s">
        <v>3011</v>
      </c>
      <c r="E1343">
        <v>1</v>
      </c>
      <c r="F1343" t="s">
        <v>3012</v>
      </c>
      <c r="G1343" s="10">
        <v>45170</v>
      </c>
      <c r="H1343">
        <v>32130</v>
      </c>
      <c r="I1343">
        <v>12130</v>
      </c>
      <c r="J1343" t="s">
        <v>250</v>
      </c>
      <c r="K1343">
        <v>6</v>
      </c>
      <c r="L1343" t="s">
        <v>24</v>
      </c>
      <c r="M1343" t="s">
        <v>29</v>
      </c>
    </row>
    <row r="1344" spans="1:13">
      <c r="A1344" t="s">
        <v>1193</v>
      </c>
      <c r="B1344" t="s">
        <v>141</v>
      </c>
      <c r="C1344" t="s">
        <v>67</v>
      </c>
      <c r="D1344" t="s">
        <v>3013</v>
      </c>
      <c r="E1344">
        <v>1</v>
      </c>
      <c r="F1344" t="s">
        <v>3014</v>
      </c>
      <c r="G1344" s="10">
        <v>45170</v>
      </c>
      <c r="H1344">
        <v>32130</v>
      </c>
      <c r="I1344">
        <v>12130</v>
      </c>
      <c r="J1344" t="s">
        <v>250</v>
      </c>
      <c r="K1344">
        <v>6</v>
      </c>
      <c r="L1344" t="s">
        <v>24</v>
      </c>
      <c r="M1344" t="s">
        <v>29</v>
      </c>
    </row>
    <row r="1345" spans="1:13">
      <c r="A1345" t="s">
        <v>1193</v>
      </c>
      <c r="B1345" t="s">
        <v>141</v>
      </c>
      <c r="C1345" t="s">
        <v>67</v>
      </c>
      <c r="D1345" t="s">
        <v>3015</v>
      </c>
      <c r="E1345">
        <v>1</v>
      </c>
      <c r="F1345" t="s">
        <v>3016</v>
      </c>
      <c r="G1345" s="10">
        <v>45170</v>
      </c>
      <c r="H1345">
        <v>32130</v>
      </c>
      <c r="I1345">
        <v>12130</v>
      </c>
      <c r="J1345" t="s">
        <v>250</v>
      </c>
      <c r="K1345">
        <v>6</v>
      </c>
      <c r="L1345" t="s">
        <v>24</v>
      </c>
      <c r="M1345" t="s">
        <v>29</v>
      </c>
    </row>
    <row r="1346" spans="1:13">
      <c r="A1346" t="s">
        <v>170</v>
      </c>
      <c r="B1346" t="s">
        <v>66</v>
      </c>
      <c r="C1346" t="s">
        <v>67</v>
      </c>
      <c r="D1346" t="s">
        <v>3017</v>
      </c>
      <c r="E1346">
        <v>2</v>
      </c>
      <c r="F1346" t="s">
        <v>3018</v>
      </c>
      <c r="G1346" s="10">
        <v>45170</v>
      </c>
      <c r="H1346">
        <v>32130</v>
      </c>
      <c r="I1346">
        <v>12130</v>
      </c>
      <c r="J1346" t="s">
        <v>250</v>
      </c>
      <c r="K1346">
        <v>6</v>
      </c>
      <c r="L1346" t="s">
        <v>24</v>
      </c>
      <c r="M1346" t="s">
        <v>29</v>
      </c>
    </row>
    <row r="1347" spans="1:13">
      <c r="A1347" t="s">
        <v>170</v>
      </c>
      <c r="B1347" t="s">
        <v>66</v>
      </c>
      <c r="C1347" t="s">
        <v>67</v>
      </c>
      <c r="D1347" t="s">
        <v>3019</v>
      </c>
      <c r="E1347">
        <v>2</v>
      </c>
      <c r="F1347" t="s">
        <v>3020</v>
      </c>
      <c r="G1347" s="10">
        <v>45170</v>
      </c>
      <c r="H1347">
        <v>0</v>
      </c>
      <c r="I1347">
        <v>-20000</v>
      </c>
      <c r="J1347" t="s">
        <v>250</v>
      </c>
      <c r="K1347">
        <v>6</v>
      </c>
      <c r="L1347" t="s">
        <v>24</v>
      </c>
      <c r="M1347" t="s">
        <v>29</v>
      </c>
    </row>
    <row r="1348" spans="1:13">
      <c r="A1348" t="s">
        <v>170</v>
      </c>
      <c r="B1348" t="s">
        <v>66</v>
      </c>
      <c r="C1348" t="s">
        <v>67</v>
      </c>
      <c r="D1348" t="s">
        <v>3021</v>
      </c>
      <c r="E1348">
        <v>2</v>
      </c>
      <c r="F1348" t="s">
        <v>3022</v>
      </c>
      <c r="G1348" s="10">
        <v>45170</v>
      </c>
      <c r="H1348">
        <v>32130</v>
      </c>
      <c r="I1348">
        <v>12130</v>
      </c>
      <c r="J1348" t="s">
        <v>250</v>
      </c>
      <c r="K1348">
        <v>6</v>
      </c>
      <c r="L1348" t="s">
        <v>24</v>
      </c>
      <c r="M1348" t="s">
        <v>29</v>
      </c>
    </row>
    <row r="1349" spans="1:13">
      <c r="A1349" t="s">
        <v>178</v>
      </c>
      <c r="B1349" t="s">
        <v>179</v>
      </c>
      <c r="C1349" t="s">
        <v>45</v>
      </c>
      <c r="D1349" t="s">
        <v>3023</v>
      </c>
      <c r="E1349">
        <v>2</v>
      </c>
      <c r="F1349" t="s">
        <v>3024</v>
      </c>
      <c r="G1349" s="10">
        <v>45166</v>
      </c>
      <c r="H1349">
        <v>63916.66</v>
      </c>
      <c r="I1349">
        <v>9750.66</v>
      </c>
      <c r="J1349" t="s">
        <v>182</v>
      </c>
      <c r="K1349">
        <v>5</v>
      </c>
      <c r="L1349" t="s">
        <v>44</v>
      </c>
      <c r="M1349" t="s">
        <v>45</v>
      </c>
    </row>
    <row r="1350" spans="1:13">
      <c r="A1350" t="s">
        <v>2872</v>
      </c>
      <c r="B1350" t="s">
        <v>848</v>
      </c>
      <c r="C1350" t="s">
        <v>98</v>
      </c>
      <c r="D1350" t="s">
        <v>3025</v>
      </c>
      <c r="E1350">
        <v>1</v>
      </c>
      <c r="F1350" t="s">
        <v>3026</v>
      </c>
      <c r="G1350" s="10">
        <v>45174</v>
      </c>
      <c r="H1350">
        <v>45517.5</v>
      </c>
      <c r="I1350">
        <v>6351.5</v>
      </c>
      <c r="J1350" t="s">
        <v>75</v>
      </c>
      <c r="K1350">
        <v>5</v>
      </c>
      <c r="L1350" t="s">
        <v>35</v>
      </c>
      <c r="M1350" t="s">
        <v>29</v>
      </c>
    </row>
    <row r="1351" spans="1:13">
      <c r="A1351" t="s">
        <v>361</v>
      </c>
      <c r="B1351" t="s">
        <v>72</v>
      </c>
      <c r="C1351" t="s">
        <v>67</v>
      </c>
      <c r="D1351" t="s">
        <v>3027</v>
      </c>
      <c r="E1351">
        <v>1</v>
      </c>
      <c r="F1351" t="s">
        <v>3028</v>
      </c>
      <c r="G1351" s="10">
        <v>45170</v>
      </c>
      <c r="H1351">
        <v>72292.5</v>
      </c>
      <c r="I1351">
        <v>9792.5</v>
      </c>
      <c r="J1351" t="s">
        <v>250</v>
      </c>
      <c r="K1351">
        <v>6</v>
      </c>
      <c r="L1351" t="s">
        <v>24</v>
      </c>
      <c r="M1351" t="s">
        <v>29</v>
      </c>
    </row>
    <row r="1352" spans="1:13">
      <c r="A1352" t="s">
        <v>190</v>
      </c>
      <c r="B1352" t="s">
        <v>160</v>
      </c>
      <c r="C1352" t="s">
        <v>67</v>
      </c>
      <c r="D1352" t="s">
        <v>3029</v>
      </c>
      <c r="E1352">
        <v>2</v>
      </c>
      <c r="F1352" t="s">
        <v>3030</v>
      </c>
      <c r="G1352" s="10">
        <v>45170</v>
      </c>
      <c r="H1352">
        <v>48000</v>
      </c>
      <c r="I1352">
        <v>8000</v>
      </c>
      <c r="J1352" t="s">
        <v>163</v>
      </c>
      <c r="K1352">
        <v>5</v>
      </c>
      <c r="L1352" t="s">
        <v>35</v>
      </c>
      <c r="M1352" t="s">
        <v>27</v>
      </c>
    </row>
    <row r="1353" spans="1:13">
      <c r="A1353" t="s">
        <v>197</v>
      </c>
      <c r="B1353" t="s">
        <v>160</v>
      </c>
      <c r="C1353" t="s">
        <v>67</v>
      </c>
      <c r="D1353" t="s">
        <v>3031</v>
      </c>
      <c r="E1353">
        <v>2</v>
      </c>
      <c r="F1353" t="s">
        <v>3032</v>
      </c>
      <c r="G1353" s="10">
        <v>45166</v>
      </c>
      <c r="H1353">
        <v>31465.99</v>
      </c>
      <c r="I1353">
        <v>12965.99</v>
      </c>
      <c r="J1353" t="s">
        <v>193</v>
      </c>
      <c r="K1353">
        <v>6</v>
      </c>
      <c r="L1353" t="s">
        <v>35</v>
      </c>
      <c r="M1353" t="s">
        <v>27</v>
      </c>
    </row>
    <row r="1354" spans="1:13">
      <c r="A1354" t="s">
        <v>197</v>
      </c>
      <c r="B1354" t="s">
        <v>160</v>
      </c>
      <c r="C1354" t="s">
        <v>67</v>
      </c>
      <c r="D1354" t="s">
        <v>3033</v>
      </c>
      <c r="E1354">
        <v>1</v>
      </c>
      <c r="F1354" t="s">
        <v>3034</v>
      </c>
      <c r="G1354" s="10">
        <v>45194</v>
      </c>
      <c r="H1354">
        <v>26775</v>
      </c>
      <c r="I1354">
        <v>6775</v>
      </c>
      <c r="J1354" t="s">
        <v>2255</v>
      </c>
      <c r="K1354">
        <v>5</v>
      </c>
      <c r="L1354" t="s">
        <v>24</v>
      </c>
      <c r="M1354" t="s">
        <v>29</v>
      </c>
    </row>
    <row r="1355" spans="1:13">
      <c r="A1355" t="s">
        <v>251</v>
      </c>
      <c r="B1355" t="s">
        <v>160</v>
      </c>
      <c r="C1355" t="s">
        <v>67</v>
      </c>
      <c r="D1355" t="s">
        <v>3035</v>
      </c>
      <c r="E1355">
        <v>2</v>
      </c>
      <c r="F1355" t="s">
        <v>3036</v>
      </c>
      <c r="G1355" s="10">
        <v>45167</v>
      </c>
      <c r="H1355">
        <v>24265</v>
      </c>
      <c r="I1355">
        <v>3165</v>
      </c>
      <c r="J1355" t="s">
        <v>193</v>
      </c>
      <c r="K1355">
        <v>6</v>
      </c>
      <c r="L1355" t="s">
        <v>35</v>
      </c>
      <c r="M1355" t="s">
        <v>27</v>
      </c>
    </row>
    <row r="1356" spans="1:13">
      <c r="A1356" t="s">
        <v>2941</v>
      </c>
      <c r="B1356" t="s">
        <v>160</v>
      </c>
      <c r="C1356" t="s">
        <v>67</v>
      </c>
      <c r="D1356" t="s">
        <v>3037</v>
      </c>
      <c r="E1356">
        <v>2</v>
      </c>
      <c r="F1356" t="s">
        <v>3038</v>
      </c>
      <c r="G1356" s="10">
        <v>45166</v>
      </c>
      <c r="H1356">
        <v>21275</v>
      </c>
      <c r="I1356">
        <v>2775</v>
      </c>
      <c r="J1356" t="s">
        <v>193</v>
      </c>
      <c r="K1356">
        <v>6</v>
      </c>
      <c r="L1356" t="s">
        <v>35</v>
      </c>
      <c r="M1356" t="s">
        <v>27</v>
      </c>
    </row>
    <row r="1357" spans="1:13">
      <c r="A1357" t="s">
        <v>522</v>
      </c>
      <c r="B1357" t="s">
        <v>72</v>
      </c>
      <c r="C1357" t="s">
        <v>67</v>
      </c>
      <c r="D1357" t="s">
        <v>3039</v>
      </c>
      <c r="E1357">
        <v>1</v>
      </c>
      <c r="F1357" t="s">
        <v>3040</v>
      </c>
      <c r="G1357" s="10">
        <v>45170</v>
      </c>
      <c r="H1357">
        <v>72292.5</v>
      </c>
      <c r="I1357">
        <v>9792.5</v>
      </c>
      <c r="J1357" t="s">
        <v>250</v>
      </c>
      <c r="K1357">
        <v>6</v>
      </c>
      <c r="L1357" t="s">
        <v>24</v>
      </c>
      <c r="M1357" t="s">
        <v>29</v>
      </c>
    </row>
    <row r="1358" spans="1:13">
      <c r="A1358" t="s">
        <v>779</v>
      </c>
      <c r="B1358" t="s">
        <v>215</v>
      </c>
      <c r="C1358" t="s">
        <v>94</v>
      </c>
      <c r="D1358" t="s">
        <v>3041</v>
      </c>
      <c r="E1358">
        <v>2</v>
      </c>
      <c r="F1358" t="s">
        <v>3042</v>
      </c>
      <c r="G1358" s="10">
        <v>45167</v>
      </c>
      <c r="H1358">
        <v>31000</v>
      </c>
      <c r="I1358">
        <v>3500</v>
      </c>
      <c r="J1358" t="s">
        <v>227</v>
      </c>
      <c r="K1358">
        <v>6</v>
      </c>
      <c r="L1358" t="s">
        <v>41</v>
      </c>
      <c r="M1358" t="s">
        <v>42</v>
      </c>
    </row>
    <row r="1359" spans="1:13">
      <c r="A1359" t="s">
        <v>140</v>
      </c>
      <c r="B1359" t="s">
        <v>141</v>
      </c>
      <c r="C1359" t="s">
        <v>67</v>
      </c>
      <c r="D1359" t="s">
        <v>3043</v>
      </c>
      <c r="E1359">
        <v>1</v>
      </c>
      <c r="F1359" t="s">
        <v>3044</v>
      </c>
      <c r="G1359" s="10">
        <v>45170</v>
      </c>
      <c r="H1359">
        <v>0</v>
      </c>
      <c r="I1359">
        <v>-20000</v>
      </c>
      <c r="J1359" t="s">
        <v>250</v>
      </c>
      <c r="K1359">
        <v>6</v>
      </c>
      <c r="L1359" t="s">
        <v>24</v>
      </c>
      <c r="M1359" t="s">
        <v>29</v>
      </c>
    </row>
    <row r="1360" spans="1:13">
      <c r="A1360" t="s">
        <v>617</v>
      </c>
      <c r="B1360" t="s">
        <v>179</v>
      </c>
      <c r="C1360" t="s">
        <v>45</v>
      </c>
      <c r="D1360" t="s">
        <v>3045</v>
      </c>
      <c r="E1360">
        <v>2</v>
      </c>
      <c r="F1360" t="s">
        <v>3046</v>
      </c>
      <c r="G1360" s="10">
        <v>45163</v>
      </c>
      <c r="H1360">
        <v>270000</v>
      </c>
      <c r="I1360">
        <v>61667</v>
      </c>
      <c r="J1360" t="s">
        <v>884</v>
      </c>
      <c r="K1360">
        <v>5</v>
      </c>
      <c r="L1360" t="s">
        <v>44</v>
      </c>
      <c r="M1360" t="s">
        <v>45</v>
      </c>
    </row>
    <row r="1361" spans="1:13">
      <c r="A1361" t="s">
        <v>1193</v>
      </c>
      <c r="B1361" t="s">
        <v>141</v>
      </c>
      <c r="C1361" t="s">
        <v>67</v>
      </c>
      <c r="D1361" t="s">
        <v>3047</v>
      </c>
      <c r="E1361">
        <v>1</v>
      </c>
      <c r="F1361" t="s">
        <v>3048</v>
      </c>
      <c r="G1361" s="10">
        <v>45170</v>
      </c>
      <c r="H1361">
        <v>32130</v>
      </c>
      <c r="I1361">
        <v>12130</v>
      </c>
      <c r="J1361" t="s">
        <v>250</v>
      </c>
      <c r="K1361">
        <v>6</v>
      </c>
      <c r="L1361" t="s">
        <v>24</v>
      </c>
      <c r="M1361" t="s">
        <v>29</v>
      </c>
    </row>
    <row r="1362" spans="1:13">
      <c r="A1362" t="s">
        <v>1193</v>
      </c>
      <c r="B1362" t="s">
        <v>141</v>
      </c>
      <c r="C1362" t="s">
        <v>67</v>
      </c>
      <c r="D1362" t="s">
        <v>3049</v>
      </c>
      <c r="E1362">
        <v>1</v>
      </c>
      <c r="F1362" t="s">
        <v>3050</v>
      </c>
      <c r="G1362" s="10">
        <v>45170</v>
      </c>
      <c r="H1362">
        <v>32130</v>
      </c>
      <c r="I1362">
        <v>12130</v>
      </c>
      <c r="J1362" t="s">
        <v>250</v>
      </c>
      <c r="K1362">
        <v>6</v>
      </c>
      <c r="L1362" t="s">
        <v>24</v>
      </c>
      <c r="M1362" t="s">
        <v>29</v>
      </c>
    </row>
    <row r="1363" spans="1:13">
      <c r="A1363" t="s">
        <v>29</v>
      </c>
      <c r="B1363" t="s">
        <v>98</v>
      </c>
      <c r="C1363" t="s">
        <v>29</v>
      </c>
      <c r="D1363" t="s">
        <v>3051</v>
      </c>
      <c r="E1363">
        <v>1</v>
      </c>
      <c r="F1363" t="s">
        <v>3052</v>
      </c>
      <c r="G1363" s="10">
        <v>45194</v>
      </c>
      <c r="H1363">
        <v>0</v>
      </c>
      <c r="I1363">
        <v>-20000</v>
      </c>
      <c r="J1363" t="s">
        <v>250</v>
      </c>
      <c r="K1363">
        <v>6</v>
      </c>
      <c r="L1363" t="s">
        <v>24</v>
      </c>
      <c r="M1363" t="s">
        <v>29</v>
      </c>
    </row>
    <row r="1364" spans="1:13">
      <c r="A1364" t="s">
        <v>361</v>
      </c>
      <c r="B1364" t="s">
        <v>72</v>
      </c>
      <c r="C1364" t="s">
        <v>67</v>
      </c>
      <c r="D1364" t="s">
        <v>3053</v>
      </c>
      <c r="E1364">
        <v>1</v>
      </c>
      <c r="F1364" t="s">
        <v>3054</v>
      </c>
      <c r="G1364" s="10">
        <v>45170</v>
      </c>
      <c r="H1364">
        <v>32130</v>
      </c>
      <c r="I1364">
        <v>12130</v>
      </c>
      <c r="J1364" t="s">
        <v>250</v>
      </c>
      <c r="K1364">
        <v>6</v>
      </c>
      <c r="L1364" t="s">
        <v>24</v>
      </c>
      <c r="M1364" t="s">
        <v>29</v>
      </c>
    </row>
    <row r="1365" spans="1:13">
      <c r="A1365" t="s">
        <v>71</v>
      </c>
      <c r="B1365" t="s">
        <v>72</v>
      </c>
      <c r="C1365" t="s">
        <v>67</v>
      </c>
      <c r="D1365" t="s">
        <v>3055</v>
      </c>
      <c r="E1365">
        <v>1</v>
      </c>
      <c r="F1365" t="s">
        <v>3056</v>
      </c>
      <c r="G1365" s="10">
        <v>45170</v>
      </c>
      <c r="H1365">
        <v>32130</v>
      </c>
      <c r="I1365">
        <v>12130</v>
      </c>
      <c r="J1365" t="s">
        <v>250</v>
      </c>
      <c r="K1365">
        <v>6</v>
      </c>
      <c r="L1365" t="s">
        <v>24</v>
      </c>
      <c r="M1365" t="s">
        <v>29</v>
      </c>
    </row>
    <row r="1366" spans="1:13">
      <c r="A1366" t="s">
        <v>71</v>
      </c>
      <c r="B1366" t="s">
        <v>72</v>
      </c>
      <c r="C1366" t="s">
        <v>67</v>
      </c>
      <c r="D1366" t="s">
        <v>3057</v>
      </c>
      <c r="E1366">
        <v>1</v>
      </c>
      <c r="F1366" t="s">
        <v>3058</v>
      </c>
      <c r="G1366" s="10">
        <v>45170</v>
      </c>
      <c r="H1366">
        <v>32130</v>
      </c>
      <c r="I1366">
        <v>12130</v>
      </c>
      <c r="J1366" t="s">
        <v>250</v>
      </c>
      <c r="K1366">
        <v>6</v>
      </c>
      <c r="L1366" t="s">
        <v>24</v>
      </c>
      <c r="M1366" t="s">
        <v>29</v>
      </c>
    </row>
    <row r="1367" spans="1:13">
      <c r="A1367" t="s">
        <v>71</v>
      </c>
      <c r="B1367" t="s">
        <v>72</v>
      </c>
      <c r="C1367" t="s">
        <v>67</v>
      </c>
      <c r="D1367" t="s">
        <v>3059</v>
      </c>
      <c r="E1367">
        <v>1</v>
      </c>
      <c r="F1367" t="s">
        <v>3060</v>
      </c>
      <c r="G1367" s="10">
        <v>45170</v>
      </c>
      <c r="H1367">
        <v>32130</v>
      </c>
      <c r="I1367">
        <v>12130</v>
      </c>
      <c r="J1367" t="s">
        <v>250</v>
      </c>
      <c r="K1367">
        <v>6</v>
      </c>
      <c r="L1367" t="s">
        <v>24</v>
      </c>
      <c r="M1367" t="s">
        <v>29</v>
      </c>
    </row>
    <row r="1368" spans="1:13">
      <c r="A1368" t="s">
        <v>1193</v>
      </c>
      <c r="B1368" t="s">
        <v>141</v>
      </c>
      <c r="C1368" t="s">
        <v>67</v>
      </c>
      <c r="D1368" t="s">
        <v>3061</v>
      </c>
      <c r="E1368">
        <v>1</v>
      </c>
      <c r="F1368" t="s">
        <v>3062</v>
      </c>
      <c r="G1368" s="10">
        <v>45170</v>
      </c>
      <c r="H1368">
        <v>32130</v>
      </c>
      <c r="I1368">
        <v>12130</v>
      </c>
      <c r="J1368" t="s">
        <v>250</v>
      </c>
      <c r="K1368">
        <v>6</v>
      </c>
      <c r="L1368" t="s">
        <v>24</v>
      </c>
      <c r="M1368" t="s">
        <v>29</v>
      </c>
    </row>
    <row r="1369" spans="1:13">
      <c r="A1369" t="s">
        <v>71</v>
      </c>
      <c r="B1369" t="s">
        <v>72</v>
      </c>
      <c r="C1369" t="s">
        <v>67</v>
      </c>
      <c r="D1369" t="s">
        <v>3063</v>
      </c>
      <c r="E1369">
        <v>1</v>
      </c>
      <c r="F1369" t="s">
        <v>3064</v>
      </c>
      <c r="G1369" s="10">
        <v>45170</v>
      </c>
      <c r="H1369">
        <v>32130</v>
      </c>
      <c r="I1369">
        <v>12130</v>
      </c>
      <c r="J1369" t="s">
        <v>250</v>
      </c>
      <c r="K1369">
        <v>6</v>
      </c>
      <c r="L1369" t="s">
        <v>24</v>
      </c>
      <c r="M1369" t="s">
        <v>29</v>
      </c>
    </row>
    <row r="1370" spans="1:13">
      <c r="A1370" t="s">
        <v>71</v>
      </c>
      <c r="B1370" t="s">
        <v>72</v>
      </c>
      <c r="C1370" t="s">
        <v>67</v>
      </c>
      <c r="D1370" t="s">
        <v>3065</v>
      </c>
      <c r="E1370">
        <v>1</v>
      </c>
      <c r="F1370" t="s">
        <v>3066</v>
      </c>
      <c r="G1370" s="10">
        <v>45170</v>
      </c>
      <c r="H1370">
        <v>32130</v>
      </c>
      <c r="I1370">
        <v>12130</v>
      </c>
      <c r="J1370" t="s">
        <v>250</v>
      </c>
      <c r="K1370">
        <v>6</v>
      </c>
      <c r="L1370" t="s">
        <v>24</v>
      </c>
      <c r="M1370" t="s">
        <v>29</v>
      </c>
    </row>
    <row r="1371" spans="1:13">
      <c r="A1371" t="s">
        <v>71</v>
      </c>
      <c r="B1371" t="s">
        <v>72</v>
      </c>
      <c r="C1371" t="s">
        <v>67</v>
      </c>
      <c r="D1371" t="s">
        <v>3067</v>
      </c>
      <c r="E1371">
        <v>1</v>
      </c>
      <c r="F1371" t="s">
        <v>3068</v>
      </c>
      <c r="G1371" s="10">
        <v>45170</v>
      </c>
      <c r="H1371">
        <v>32130</v>
      </c>
      <c r="I1371">
        <v>12130</v>
      </c>
      <c r="J1371" t="s">
        <v>250</v>
      </c>
      <c r="K1371">
        <v>6</v>
      </c>
      <c r="L1371" t="s">
        <v>24</v>
      </c>
      <c r="M1371" t="s">
        <v>29</v>
      </c>
    </row>
    <row r="1372" spans="1:13">
      <c r="A1372" t="s">
        <v>71</v>
      </c>
      <c r="B1372" t="s">
        <v>72</v>
      </c>
      <c r="C1372" t="s">
        <v>67</v>
      </c>
      <c r="D1372" t="s">
        <v>3069</v>
      </c>
      <c r="E1372">
        <v>1</v>
      </c>
      <c r="F1372" t="s">
        <v>3070</v>
      </c>
      <c r="G1372" s="10">
        <v>45170</v>
      </c>
      <c r="H1372">
        <v>32130</v>
      </c>
      <c r="I1372">
        <v>12130</v>
      </c>
      <c r="J1372" t="s">
        <v>250</v>
      </c>
      <c r="K1372">
        <v>6</v>
      </c>
      <c r="L1372" t="s">
        <v>24</v>
      </c>
      <c r="M1372" t="s">
        <v>29</v>
      </c>
    </row>
    <row r="1373" spans="1:13">
      <c r="A1373" t="s">
        <v>71</v>
      </c>
      <c r="B1373" t="s">
        <v>72</v>
      </c>
      <c r="C1373" t="s">
        <v>67</v>
      </c>
      <c r="D1373" t="s">
        <v>3071</v>
      </c>
      <c r="E1373">
        <v>1</v>
      </c>
      <c r="F1373" t="s">
        <v>3072</v>
      </c>
      <c r="G1373" s="10">
        <v>45170</v>
      </c>
      <c r="H1373">
        <v>32130</v>
      </c>
      <c r="I1373">
        <v>12130</v>
      </c>
      <c r="J1373" t="s">
        <v>250</v>
      </c>
      <c r="K1373">
        <v>6</v>
      </c>
      <c r="L1373" t="s">
        <v>24</v>
      </c>
      <c r="M1373" t="s">
        <v>29</v>
      </c>
    </row>
    <row r="1374" spans="1:13">
      <c r="A1374" t="s">
        <v>76</v>
      </c>
      <c r="B1374" t="s">
        <v>72</v>
      </c>
      <c r="C1374" t="s">
        <v>67</v>
      </c>
      <c r="D1374" t="s">
        <v>3073</v>
      </c>
      <c r="E1374">
        <v>1</v>
      </c>
      <c r="F1374" t="s">
        <v>3074</v>
      </c>
      <c r="G1374" s="10">
        <v>45170</v>
      </c>
      <c r="H1374">
        <v>32130</v>
      </c>
      <c r="I1374">
        <v>12130</v>
      </c>
      <c r="J1374" t="s">
        <v>250</v>
      </c>
      <c r="K1374">
        <v>6</v>
      </c>
      <c r="L1374" t="s">
        <v>24</v>
      </c>
      <c r="M1374" t="s">
        <v>29</v>
      </c>
    </row>
    <row r="1375" spans="1:13">
      <c r="A1375" t="s">
        <v>256</v>
      </c>
      <c r="B1375" t="s">
        <v>160</v>
      </c>
      <c r="C1375" t="s">
        <v>67</v>
      </c>
      <c r="D1375" t="s">
        <v>3075</v>
      </c>
      <c r="E1375">
        <v>1</v>
      </c>
      <c r="F1375" t="s">
        <v>3076</v>
      </c>
      <c r="G1375" s="10">
        <v>45170</v>
      </c>
      <c r="H1375">
        <v>0</v>
      </c>
      <c r="I1375">
        <v>-20000</v>
      </c>
      <c r="J1375" t="s">
        <v>250</v>
      </c>
      <c r="K1375">
        <v>6</v>
      </c>
      <c r="L1375" t="s">
        <v>24</v>
      </c>
      <c r="M1375" t="s">
        <v>29</v>
      </c>
    </row>
    <row r="1376" spans="1:13">
      <c r="A1376" t="s">
        <v>3077</v>
      </c>
      <c r="B1376" t="s">
        <v>160</v>
      </c>
      <c r="C1376" t="s">
        <v>67</v>
      </c>
      <c r="D1376" t="s">
        <v>3078</v>
      </c>
      <c r="E1376">
        <v>1</v>
      </c>
      <c r="F1376" t="s">
        <v>3079</v>
      </c>
      <c r="G1376" s="10">
        <v>45170</v>
      </c>
      <c r="H1376">
        <v>32130</v>
      </c>
      <c r="I1376">
        <v>12130</v>
      </c>
      <c r="J1376" t="s">
        <v>250</v>
      </c>
      <c r="K1376">
        <v>6</v>
      </c>
      <c r="L1376" t="s">
        <v>24</v>
      </c>
      <c r="M1376" t="s">
        <v>29</v>
      </c>
    </row>
    <row r="1377" spans="1:13">
      <c r="A1377" t="s">
        <v>76</v>
      </c>
      <c r="B1377" t="s">
        <v>72</v>
      </c>
      <c r="C1377" t="s">
        <v>67</v>
      </c>
      <c r="D1377" t="s">
        <v>3080</v>
      </c>
      <c r="E1377">
        <v>1</v>
      </c>
      <c r="F1377" t="s">
        <v>3081</v>
      </c>
      <c r="G1377" s="10">
        <v>45194</v>
      </c>
      <c r="H1377">
        <v>0</v>
      </c>
      <c r="I1377">
        <v>-20000</v>
      </c>
      <c r="J1377" t="s">
        <v>250</v>
      </c>
      <c r="K1377">
        <v>6</v>
      </c>
      <c r="L1377" t="s">
        <v>24</v>
      </c>
      <c r="M1377" t="s">
        <v>29</v>
      </c>
    </row>
    <row r="1378" spans="1:13">
      <c r="A1378" t="s">
        <v>431</v>
      </c>
      <c r="B1378" t="s">
        <v>160</v>
      </c>
      <c r="C1378" t="s">
        <v>67</v>
      </c>
      <c r="D1378" t="s">
        <v>3082</v>
      </c>
      <c r="E1378">
        <v>2</v>
      </c>
      <c r="F1378" t="s">
        <v>3083</v>
      </c>
      <c r="G1378" s="10">
        <v>45168</v>
      </c>
      <c r="H1378">
        <v>21275</v>
      </c>
      <c r="I1378">
        <v>2775</v>
      </c>
      <c r="J1378" t="s">
        <v>163</v>
      </c>
      <c r="K1378">
        <v>6</v>
      </c>
      <c r="L1378" t="s">
        <v>35</v>
      </c>
      <c r="M1378" t="s">
        <v>27</v>
      </c>
    </row>
    <row r="1379" spans="1:13">
      <c r="A1379" t="s">
        <v>76</v>
      </c>
      <c r="B1379" t="s">
        <v>72</v>
      </c>
      <c r="C1379" t="s">
        <v>67</v>
      </c>
      <c r="D1379" t="s">
        <v>3084</v>
      </c>
      <c r="E1379">
        <v>1</v>
      </c>
      <c r="F1379" t="s">
        <v>3085</v>
      </c>
      <c r="G1379" s="10">
        <v>45170</v>
      </c>
      <c r="H1379">
        <v>32130</v>
      </c>
      <c r="I1379">
        <v>12130</v>
      </c>
      <c r="J1379" t="s">
        <v>250</v>
      </c>
      <c r="K1379">
        <v>5</v>
      </c>
      <c r="L1379" t="s">
        <v>24</v>
      </c>
      <c r="M1379" t="s">
        <v>29</v>
      </c>
    </row>
    <row r="1380" spans="1:13">
      <c r="A1380" t="s">
        <v>76</v>
      </c>
      <c r="B1380" t="s">
        <v>72</v>
      </c>
      <c r="C1380" t="s">
        <v>67</v>
      </c>
      <c r="D1380" t="s">
        <v>3086</v>
      </c>
      <c r="E1380">
        <v>1</v>
      </c>
      <c r="F1380" t="s">
        <v>3087</v>
      </c>
      <c r="G1380" s="10">
        <v>45170</v>
      </c>
      <c r="H1380">
        <v>32130</v>
      </c>
      <c r="I1380">
        <v>12130</v>
      </c>
      <c r="J1380" t="s">
        <v>250</v>
      </c>
      <c r="K1380">
        <v>6</v>
      </c>
      <c r="L1380" t="s">
        <v>24</v>
      </c>
      <c r="M1380" t="s">
        <v>29</v>
      </c>
    </row>
    <row r="1381" spans="1:13">
      <c r="A1381" t="s">
        <v>1067</v>
      </c>
      <c r="B1381" t="s">
        <v>93</v>
      </c>
      <c r="C1381" t="s">
        <v>94</v>
      </c>
      <c r="D1381" t="s">
        <v>3088</v>
      </c>
      <c r="E1381">
        <v>7</v>
      </c>
      <c r="F1381" t="s">
        <v>3089</v>
      </c>
      <c r="G1381" s="10">
        <v>45167</v>
      </c>
      <c r="H1381">
        <v>51926</v>
      </c>
      <c r="I1381">
        <v>2236</v>
      </c>
      <c r="J1381" t="s">
        <v>313</v>
      </c>
      <c r="K1381">
        <v>5</v>
      </c>
      <c r="L1381" t="s">
        <v>41</v>
      </c>
      <c r="M1381" t="s">
        <v>42</v>
      </c>
    </row>
    <row r="1382" spans="1:13">
      <c r="A1382" t="s">
        <v>130</v>
      </c>
      <c r="B1382" t="s">
        <v>82</v>
      </c>
      <c r="C1382" t="s">
        <v>28</v>
      </c>
      <c r="D1382" t="s">
        <v>3090</v>
      </c>
      <c r="E1382">
        <v>2</v>
      </c>
      <c r="F1382" t="s">
        <v>3091</v>
      </c>
      <c r="G1382" s="10">
        <v>45170</v>
      </c>
      <c r="H1382">
        <v>133358.39999999999</v>
      </c>
      <c r="I1382">
        <v>33358.400000000001</v>
      </c>
      <c r="J1382" t="s">
        <v>126</v>
      </c>
      <c r="K1382">
        <v>5</v>
      </c>
      <c r="L1382" t="s">
        <v>24</v>
      </c>
      <c r="M1382" t="s">
        <v>26</v>
      </c>
    </row>
    <row r="1383" spans="1:13">
      <c r="A1383" t="s">
        <v>197</v>
      </c>
      <c r="B1383" t="s">
        <v>160</v>
      </c>
      <c r="C1383" t="s">
        <v>67</v>
      </c>
      <c r="D1383" t="s">
        <v>3092</v>
      </c>
      <c r="E1383">
        <v>1</v>
      </c>
      <c r="F1383" t="s">
        <v>3093</v>
      </c>
      <c r="G1383" s="10">
        <v>45139</v>
      </c>
      <c r="H1383">
        <v>32130</v>
      </c>
      <c r="I1383">
        <v>12130</v>
      </c>
      <c r="J1383" t="s">
        <v>250</v>
      </c>
      <c r="K1383">
        <v>6</v>
      </c>
      <c r="L1383" t="s">
        <v>24</v>
      </c>
      <c r="M1383" t="s">
        <v>29</v>
      </c>
    </row>
    <row r="1384" spans="1:13">
      <c r="A1384" t="s">
        <v>261</v>
      </c>
      <c r="B1384" t="s">
        <v>160</v>
      </c>
      <c r="C1384" t="s">
        <v>67</v>
      </c>
      <c r="D1384" t="s">
        <v>3094</v>
      </c>
      <c r="E1384">
        <v>1</v>
      </c>
      <c r="F1384" t="s">
        <v>3095</v>
      </c>
      <c r="G1384" s="10">
        <v>45170</v>
      </c>
      <c r="H1384">
        <v>0</v>
      </c>
      <c r="I1384">
        <v>-20000</v>
      </c>
      <c r="J1384" t="s">
        <v>250</v>
      </c>
      <c r="K1384">
        <v>6</v>
      </c>
      <c r="L1384" t="s">
        <v>24</v>
      </c>
      <c r="M1384" t="s">
        <v>29</v>
      </c>
    </row>
    <row r="1385" spans="1:13">
      <c r="A1385" t="s">
        <v>3096</v>
      </c>
      <c r="B1385" t="s">
        <v>1983</v>
      </c>
      <c r="C1385" t="s">
        <v>45</v>
      </c>
      <c r="D1385" t="s">
        <v>3097</v>
      </c>
      <c r="E1385">
        <v>2</v>
      </c>
      <c r="F1385" t="s">
        <v>3098</v>
      </c>
      <c r="G1385" s="10">
        <v>45169</v>
      </c>
      <c r="H1385">
        <v>247000</v>
      </c>
      <c r="I1385">
        <v>55334</v>
      </c>
      <c r="J1385" t="s">
        <v>884</v>
      </c>
      <c r="K1385">
        <v>5</v>
      </c>
      <c r="L1385" t="s">
        <v>44</v>
      </c>
      <c r="M1385" t="s">
        <v>45</v>
      </c>
    </row>
    <row r="1386" spans="1:13">
      <c r="A1386" t="s">
        <v>361</v>
      </c>
      <c r="B1386" t="s">
        <v>72</v>
      </c>
      <c r="C1386" t="s">
        <v>67</v>
      </c>
      <c r="D1386" t="s">
        <v>3099</v>
      </c>
      <c r="E1386">
        <v>1</v>
      </c>
      <c r="F1386" t="s">
        <v>3100</v>
      </c>
      <c r="G1386" s="10">
        <v>45170</v>
      </c>
      <c r="H1386">
        <v>0</v>
      </c>
      <c r="I1386">
        <v>-20000</v>
      </c>
      <c r="J1386" t="s">
        <v>250</v>
      </c>
      <c r="K1386">
        <v>6</v>
      </c>
      <c r="L1386" t="s">
        <v>24</v>
      </c>
      <c r="M1386" t="s">
        <v>29</v>
      </c>
    </row>
    <row r="1387" spans="1:13">
      <c r="A1387" t="s">
        <v>190</v>
      </c>
      <c r="B1387" t="s">
        <v>160</v>
      </c>
      <c r="C1387" t="s">
        <v>67</v>
      </c>
      <c r="D1387" t="s">
        <v>3101</v>
      </c>
      <c r="E1387">
        <v>2</v>
      </c>
      <c r="F1387" t="s">
        <v>3102</v>
      </c>
      <c r="G1387" s="10">
        <v>45169</v>
      </c>
      <c r="H1387">
        <v>42000</v>
      </c>
      <c r="I1387">
        <v>7000</v>
      </c>
      <c r="J1387" t="s">
        <v>163</v>
      </c>
      <c r="K1387">
        <v>5</v>
      </c>
      <c r="L1387" t="s">
        <v>35</v>
      </c>
      <c r="M1387" t="s">
        <v>27</v>
      </c>
    </row>
    <row r="1388" spans="1:13">
      <c r="A1388" t="s">
        <v>431</v>
      </c>
      <c r="B1388" t="s">
        <v>160</v>
      </c>
      <c r="C1388" t="s">
        <v>67</v>
      </c>
      <c r="D1388" t="s">
        <v>3103</v>
      </c>
      <c r="E1388">
        <v>2</v>
      </c>
      <c r="F1388" t="s">
        <v>3104</v>
      </c>
      <c r="G1388" s="10">
        <v>45169</v>
      </c>
      <c r="H1388">
        <v>42000</v>
      </c>
      <c r="I1388">
        <v>7000</v>
      </c>
      <c r="J1388" t="s">
        <v>163</v>
      </c>
      <c r="K1388">
        <v>5</v>
      </c>
      <c r="L1388" t="s">
        <v>35</v>
      </c>
      <c r="M1388" t="s">
        <v>27</v>
      </c>
    </row>
    <row r="1389" spans="1:13">
      <c r="A1389" t="s">
        <v>1658</v>
      </c>
      <c r="B1389" t="s">
        <v>160</v>
      </c>
      <c r="C1389" t="s">
        <v>67</v>
      </c>
      <c r="D1389" t="s">
        <v>3105</v>
      </c>
      <c r="E1389">
        <v>2</v>
      </c>
      <c r="F1389" t="s">
        <v>3106</v>
      </c>
      <c r="G1389" s="10">
        <v>45170</v>
      </c>
      <c r="H1389">
        <v>29500</v>
      </c>
      <c r="I1389">
        <v>4500</v>
      </c>
      <c r="J1389" t="s">
        <v>163</v>
      </c>
      <c r="K1389">
        <v>6</v>
      </c>
      <c r="L1389" t="s">
        <v>35</v>
      </c>
      <c r="M1389" t="s">
        <v>27</v>
      </c>
    </row>
    <row r="1390" spans="1:13">
      <c r="A1390" t="s">
        <v>256</v>
      </c>
      <c r="B1390" t="s">
        <v>160</v>
      </c>
      <c r="C1390" t="s">
        <v>67</v>
      </c>
      <c r="D1390" t="s">
        <v>3107</v>
      </c>
      <c r="E1390">
        <v>2</v>
      </c>
      <c r="F1390" t="s">
        <v>3108</v>
      </c>
      <c r="G1390" s="10">
        <v>45169</v>
      </c>
      <c r="H1390">
        <v>42000</v>
      </c>
      <c r="I1390">
        <v>7000</v>
      </c>
      <c r="J1390" t="s">
        <v>163</v>
      </c>
      <c r="K1390">
        <v>5</v>
      </c>
      <c r="L1390" t="s">
        <v>35</v>
      </c>
      <c r="M1390" t="s">
        <v>27</v>
      </c>
    </row>
    <row r="1391" spans="1:13">
      <c r="A1391" t="s">
        <v>790</v>
      </c>
      <c r="B1391" t="s">
        <v>455</v>
      </c>
      <c r="C1391" t="s">
        <v>455</v>
      </c>
      <c r="D1391" t="s">
        <v>3109</v>
      </c>
      <c r="E1391">
        <v>2</v>
      </c>
      <c r="F1391" t="s">
        <v>3110</v>
      </c>
      <c r="G1391" s="10">
        <v>45168</v>
      </c>
      <c r="H1391">
        <v>150088.26</v>
      </c>
      <c r="I1391">
        <v>66755.259999999995</v>
      </c>
      <c r="J1391" t="s">
        <v>458</v>
      </c>
      <c r="K1391">
        <v>6</v>
      </c>
      <c r="L1391" t="s">
        <v>37</v>
      </c>
      <c r="M1391" t="s">
        <v>33</v>
      </c>
    </row>
    <row r="1392" spans="1:13">
      <c r="A1392" t="s">
        <v>76</v>
      </c>
      <c r="B1392" t="s">
        <v>72</v>
      </c>
      <c r="C1392" t="s">
        <v>67</v>
      </c>
      <c r="D1392" t="s">
        <v>1627</v>
      </c>
      <c r="E1392">
        <v>1</v>
      </c>
      <c r="F1392" t="s">
        <v>3111</v>
      </c>
      <c r="G1392" s="10">
        <v>45170</v>
      </c>
      <c r="H1392">
        <v>32130</v>
      </c>
      <c r="I1392">
        <v>12130</v>
      </c>
      <c r="J1392" t="s">
        <v>250</v>
      </c>
      <c r="K1392">
        <v>6</v>
      </c>
      <c r="L1392" t="s">
        <v>24</v>
      </c>
      <c r="M1392" t="s">
        <v>29</v>
      </c>
    </row>
    <row r="1393" spans="1:13">
      <c r="A1393" t="s">
        <v>3077</v>
      </c>
      <c r="B1393" t="s">
        <v>160</v>
      </c>
      <c r="C1393" t="s">
        <v>67</v>
      </c>
      <c r="D1393" t="s">
        <v>3112</v>
      </c>
      <c r="E1393">
        <v>2</v>
      </c>
      <c r="F1393" t="s">
        <v>3113</v>
      </c>
      <c r="G1393" s="10">
        <v>45168</v>
      </c>
      <c r="H1393">
        <v>17400</v>
      </c>
      <c r="I1393">
        <v>2400</v>
      </c>
      <c r="J1393" t="s">
        <v>193</v>
      </c>
      <c r="K1393">
        <v>5</v>
      </c>
      <c r="L1393" t="s">
        <v>35</v>
      </c>
      <c r="M1393" t="s">
        <v>27</v>
      </c>
    </row>
    <row r="1394" spans="1:13">
      <c r="A1394" t="s">
        <v>2941</v>
      </c>
      <c r="B1394" t="s">
        <v>160</v>
      </c>
      <c r="C1394" t="s">
        <v>67</v>
      </c>
      <c r="D1394" t="s">
        <v>3114</v>
      </c>
      <c r="E1394">
        <v>2</v>
      </c>
      <c r="F1394" t="s">
        <v>3115</v>
      </c>
      <c r="G1394" s="10">
        <v>45169</v>
      </c>
      <c r="H1394">
        <v>42000</v>
      </c>
      <c r="I1394">
        <v>7000</v>
      </c>
      <c r="J1394" t="s">
        <v>163</v>
      </c>
      <c r="K1394">
        <v>5</v>
      </c>
      <c r="L1394" t="s">
        <v>35</v>
      </c>
      <c r="M1394" t="s">
        <v>27</v>
      </c>
    </row>
    <row r="1395" spans="1:13">
      <c r="A1395" t="s">
        <v>527</v>
      </c>
      <c r="B1395" t="s">
        <v>93</v>
      </c>
      <c r="C1395" t="s">
        <v>94</v>
      </c>
      <c r="D1395" t="s">
        <v>3116</v>
      </c>
      <c r="E1395">
        <v>2</v>
      </c>
      <c r="F1395" t="s">
        <v>3117</v>
      </c>
      <c r="G1395" s="10">
        <v>45189</v>
      </c>
      <c r="H1395">
        <v>245700</v>
      </c>
      <c r="I1395">
        <v>16533.330000000002</v>
      </c>
      <c r="J1395" t="s">
        <v>97</v>
      </c>
      <c r="K1395">
        <v>6</v>
      </c>
      <c r="L1395" t="s">
        <v>41</v>
      </c>
      <c r="M1395" t="s">
        <v>42</v>
      </c>
    </row>
    <row r="1396" spans="1:13">
      <c r="A1396" t="s">
        <v>261</v>
      </c>
      <c r="B1396" t="s">
        <v>160</v>
      </c>
      <c r="C1396" t="s">
        <v>67</v>
      </c>
      <c r="D1396" t="s">
        <v>3118</v>
      </c>
      <c r="E1396">
        <v>2</v>
      </c>
      <c r="F1396" t="s">
        <v>3119</v>
      </c>
      <c r="G1396" s="10">
        <v>45169</v>
      </c>
      <c r="H1396">
        <v>38400</v>
      </c>
      <c r="I1396">
        <v>6400</v>
      </c>
      <c r="J1396" t="s">
        <v>163</v>
      </c>
      <c r="K1396">
        <v>5</v>
      </c>
      <c r="L1396" t="s">
        <v>35</v>
      </c>
      <c r="M1396" t="s">
        <v>27</v>
      </c>
    </row>
    <row r="1397" spans="1:13">
      <c r="A1397" t="s">
        <v>3120</v>
      </c>
      <c r="B1397" t="s">
        <v>179</v>
      </c>
      <c r="C1397" t="s">
        <v>45</v>
      </c>
      <c r="D1397" t="s">
        <v>3121</v>
      </c>
      <c r="E1397">
        <v>2</v>
      </c>
      <c r="F1397" t="s">
        <v>3122</v>
      </c>
      <c r="G1397" s="10">
        <v>45168</v>
      </c>
      <c r="H1397">
        <v>268800</v>
      </c>
      <c r="I1397">
        <v>160467</v>
      </c>
      <c r="J1397" t="s">
        <v>189</v>
      </c>
      <c r="K1397">
        <v>6</v>
      </c>
      <c r="L1397" t="s">
        <v>44</v>
      </c>
      <c r="M1397" t="s">
        <v>45</v>
      </c>
    </row>
    <row r="1398" spans="1:13">
      <c r="A1398" t="s">
        <v>2321</v>
      </c>
      <c r="B1398" t="s">
        <v>916</v>
      </c>
      <c r="C1398" t="s">
        <v>52</v>
      </c>
      <c r="D1398" t="s">
        <v>2327</v>
      </c>
      <c r="E1398">
        <v>4</v>
      </c>
      <c r="F1398" t="s">
        <v>3123</v>
      </c>
      <c r="G1398" s="10">
        <v>45180</v>
      </c>
      <c r="H1398">
        <v>1100</v>
      </c>
      <c r="I1398">
        <v>1046</v>
      </c>
      <c r="J1398" t="s">
        <v>2565</v>
      </c>
      <c r="K1398">
        <v>6</v>
      </c>
      <c r="L1398" t="s">
        <v>24</v>
      </c>
      <c r="M1398" t="s">
        <v>26</v>
      </c>
    </row>
    <row r="1399" spans="1:13">
      <c r="A1399" t="s">
        <v>76</v>
      </c>
      <c r="B1399" t="s">
        <v>72</v>
      </c>
      <c r="C1399" t="s">
        <v>67</v>
      </c>
      <c r="D1399" t="s">
        <v>3124</v>
      </c>
      <c r="E1399">
        <v>1</v>
      </c>
      <c r="F1399" t="s">
        <v>3125</v>
      </c>
      <c r="G1399" s="10">
        <v>45190</v>
      </c>
      <c r="H1399">
        <v>45517.5</v>
      </c>
      <c r="I1399">
        <v>8017.5</v>
      </c>
      <c r="J1399" t="s">
        <v>75</v>
      </c>
      <c r="K1399">
        <v>5</v>
      </c>
      <c r="L1399" t="s">
        <v>35</v>
      </c>
      <c r="M1399" t="s">
        <v>29</v>
      </c>
    </row>
    <row r="1400" spans="1:13">
      <c r="A1400" t="s">
        <v>602</v>
      </c>
      <c r="B1400" t="s">
        <v>224</v>
      </c>
      <c r="C1400" t="s">
        <v>94</v>
      </c>
      <c r="D1400" t="s">
        <v>3126</v>
      </c>
      <c r="E1400">
        <v>2</v>
      </c>
      <c r="F1400" t="s">
        <v>3127</v>
      </c>
      <c r="G1400" s="10">
        <v>45167</v>
      </c>
      <c r="H1400">
        <v>37000</v>
      </c>
      <c r="I1400">
        <v>7000</v>
      </c>
      <c r="J1400" t="s">
        <v>227</v>
      </c>
      <c r="K1400">
        <v>5</v>
      </c>
      <c r="L1400" t="s">
        <v>41</v>
      </c>
      <c r="M1400" t="s">
        <v>42</v>
      </c>
    </row>
    <row r="1401" spans="1:13">
      <c r="A1401" t="s">
        <v>261</v>
      </c>
      <c r="B1401" t="s">
        <v>160</v>
      </c>
      <c r="C1401" t="s">
        <v>67</v>
      </c>
      <c r="D1401" t="s">
        <v>3128</v>
      </c>
      <c r="E1401">
        <v>2</v>
      </c>
      <c r="F1401" t="s">
        <v>3129</v>
      </c>
      <c r="G1401" s="10">
        <v>45170</v>
      </c>
      <c r="H1401">
        <v>36000</v>
      </c>
      <c r="I1401">
        <v>6000</v>
      </c>
      <c r="J1401" t="s">
        <v>163</v>
      </c>
      <c r="K1401">
        <v>6</v>
      </c>
      <c r="L1401" t="s">
        <v>35</v>
      </c>
      <c r="M1401" t="s">
        <v>27</v>
      </c>
    </row>
    <row r="1402" spans="1:13">
      <c r="A1402" t="s">
        <v>261</v>
      </c>
      <c r="B1402" t="s">
        <v>160</v>
      </c>
      <c r="C1402" t="s">
        <v>67</v>
      </c>
      <c r="D1402" t="s">
        <v>3130</v>
      </c>
      <c r="E1402">
        <v>2</v>
      </c>
      <c r="F1402" t="s">
        <v>3131</v>
      </c>
      <c r="G1402" s="10">
        <v>45170</v>
      </c>
      <c r="H1402">
        <v>45600</v>
      </c>
      <c r="I1402">
        <v>7600</v>
      </c>
      <c r="J1402" t="s">
        <v>163</v>
      </c>
      <c r="K1402">
        <v>6</v>
      </c>
      <c r="L1402" t="s">
        <v>35</v>
      </c>
      <c r="M1402" t="s">
        <v>27</v>
      </c>
    </row>
    <row r="1403" spans="1:13">
      <c r="A1403" t="s">
        <v>194</v>
      </c>
      <c r="B1403" t="s">
        <v>160</v>
      </c>
      <c r="C1403" t="s">
        <v>67</v>
      </c>
      <c r="D1403" t="s">
        <v>3132</v>
      </c>
      <c r="E1403">
        <v>2</v>
      </c>
      <c r="F1403" t="s">
        <v>3133</v>
      </c>
      <c r="G1403" s="10">
        <v>45169</v>
      </c>
      <c r="H1403">
        <v>32500</v>
      </c>
      <c r="I1403">
        <v>7500</v>
      </c>
      <c r="J1403" t="s">
        <v>163</v>
      </c>
      <c r="K1403">
        <v>5</v>
      </c>
      <c r="L1403" t="s">
        <v>35</v>
      </c>
      <c r="M1403" t="s">
        <v>27</v>
      </c>
    </row>
    <row r="1404" spans="1:13">
      <c r="A1404" t="s">
        <v>1530</v>
      </c>
      <c r="B1404" t="s">
        <v>1531</v>
      </c>
      <c r="C1404" t="s">
        <v>1532</v>
      </c>
      <c r="D1404" t="s">
        <v>3134</v>
      </c>
      <c r="E1404">
        <v>2</v>
      </c>
      <c r="F1404" t="s">
        <v>3135</v>
      </c>
      <c r="G1404" s="10">
        <v>45174</v>
      </c>
      <c r="H1404">
        <v>90000</v>
      </c>
      <c r="I1404">
        <v>16000</v>
      </c>
      <c r="J1404" t="s">
        <v>227</v>
      </c>
      <c r="K1404">
        <v>6</v>
      </c>
      <c r="L1404" t="s">
        <v>41</v>
      </c>
      <c r="M1404" t="s">
        <v>42</v>
      </c>
    </row>
    <row r="1405" spans="1:13">
      <c r="A1405" t="s">
        <v>194</v>
      </c>
      <c r="B1405" t="s">
        <v>160</v>
      </c>
      <c r="C1405" t="s">
        <v>67</v>
      </c>
      <c r="D1405" t="s">
        <v>3136</v>
      </c>
      <c r="E1405">
        <v>2</v>
      </c>
      <c r="F1405" t="s">
        <v>3137</v>
      </c>
      <c r="G1405" s="10">
        <v>45169</v>
      </c>
      <c r="H1405">
        <v>42000</v>
      </c>
      <c r="I1405">
        <v>7000</v>
      </c>
      <c r="J1405" t="s">
        <v>163</v>
      </c>
      <c r="K1405">
        <v>6</v>
      </c>
      <c r="L1405" t="s">
        <v>35</v>
      </c>
      <c r="M1405" t="s">
        <v>27</v>
      </c>
    </row>
    <row r="1406" spans="1:13">
      <c r="A1406" t="s">
        <v>361</v>
      </c>
      <c r="B1406" t="s">
        <v>72</v>
      </c>
      <c r="C1406" t="s">
        <v>67</v>
      </c>
      <c r="D1406" t="s">
        <v>3138</v>
      </c>
      <c r="E1406">
        <v>1</v>
      </c>
      <c r="F1406" t="s">
        <v>3139</v>
      </c>
      <c r="G1406" s="10">
        <v>45159</v>
      </c>
      <c r="H1406">
        <v>26775</v>
      </c>
      <c r="I1406">
        <v>6775</v>
      </c>
      <c r="J1406" t="s">
        <v>250</v>
      </c>
      <c r="K1406">
        <v>6</v>
      </c>
      <c r="L1406" t="s">
        <v>24</v>
      </c>
      <c r="M1406" t="s">
        <v>29</v>
      </c>
    </row>
    <row r="1407" spans="1:13">
      <c r="A1407" t="s">
        <v>854</v>
      </c>
      <c r="B1407" t="s">
        <v>93</v>
      </c>
      <c r="C1407" t="s">
        <v>94</v>
      </c>
      <c r="D1407" t="s">
        <v>3140</v>
      </c>
      <c r="E1407">
        <v>7</v>
      </c>
      <c r="F1407" t="s">
        <v>3141</v>
      </c>
      <c r="G1407" s="10">
        <v>45169</v>
      </c>
      <c r="H1407">
        <v>75281.8</v>
      </c>
      <c r="I1407">
        <v>3241.8</v>
      </c>
      <c r="J1407" t="s">
        <v>313</v>
      </c>
      <c r="K1407">
        <v>5</v>
      </c>
      <c r="L1407" t="s">
        <v>41</v>
      </c>
      <c r="M1407" t="s">
        <v>42</v>
      </c>
    </row>
    <row r="1408" spans="1:13">
      <c r="A1408" t="s">
        <v>261</v>
      </c>
      <c r="B1408" t="s">
        <v>160</v>
      </c>
      <c r="C1408" t="s">
        <v>67</v>
      </c>
      <c r="D1408" t="s">
        <v>3142</v>
      </c>
      <c r="E1408">
        <v>2</v>
      </c>
      <c r="F1408" t="s">
        <v>3143</v>
      </c>
      <c r="G1408" s="10">
        <v>45170</v>
      </c>
      <c r="H1408">
        <v>33600</v>
      </c>
      <c r="I1408">
        <v>5600</v>
      </c>
      <c r="J1408" t="s">
        <v>163</v>
      </c>
      <c r="K1408">
        <v>6</v>
      </c>
      <c r="L1408" t="s">
        <v>35</v>
      </c>
      <c r="M1408" t="s">
        <v>27</v>
      </c>
    </row>
    <row r="1409" spans="1:13">
      <c r="A1409" t="s">
        <v>211</v>
      </c>
      <c r="B1409" t="s">
        <v>179</v>
      </c>
      <c r="C1409" t="s">
        <v>45</v>
      </c>
      <c r="D1409" t="s">
        <v>3144</v>
      </c>
      <c r="E1409">
        <v>2</v>
      </c>
      <c r="F1409" t="s">
        <v>3145</v>
      </c>
      <c r="G1409" s="10">
        <v>45168</v>
      </c>
      <c r="H1409">
        <v>302400</v>
      </c>
      <c r="I1409">
        <v>44067</v>
      </c>
      <c r="J1409" t="s">
        <v>189</v>
      </c>
      <c r="K1409">
        <v>6</v>
      </c>
      <c r="L1409" t="s">
        <v>44</v>
      </c>
      <c r="M1409" t="s">
        <v>45</v>
      </c>
    </row>
    <row r="1410" spans="1:13">
      <c r="A1410" t="s">
        <v>740</v>
      </c>
      <c r="B1410" t="s">
        <v>123</v>
      </c>
      <c r="C1410" t="s">
        <v>1093</v>
      </c>
      <c r="D1410" t="s">
        <v>3146</v>
      </c>
      <c r="E1410">
        <v>4</v>
      </c>
      <c r="F1410" t="s">
        <v>3147</v>
      </c>
      <c r="G1410" s="10">
        <v>45196</v>
      </c>
      <c r="H1410">
        <v>800</v>
      </c>
      <c r="I1410">
        <v>747</v>
      </c>
      <c r="J1410" t="s">
        <v>2565</v>
      </c>
      <c r="K1410">
        <v>6</v>
      </c>
      <c r="L1410" t="s">
        <v>24</v>
      </c>
      <c r="M1410" t="s">
        <v>26</v>
      </c>
    </row>
    <row r="1411" spans="1:13">
      <c r="A1411" t="s">
        <v>1447</v>
      </c>
      <c r="B1411" t="s">
        <v>179</v>
      </c>
      <c r="C1411" t="s">
        <v>45</v>
      </c>
      <c r="D1411" t="s">
        <v>3148</v>
      </c>
      <c r="E1411">
        <v>2</v>
      </c>
      <c r="F1411" t="s">
        <v>3149</v>
      </c>
      <c r="G1411" s="10">
        <v>45168</v>
      </c>
      <c r="H1411">
        <v>100000</v>
      </c>
      <c r="I1411">
        <v>50000</v>
      </c>
      <c r="J1411" t="s">
        <v>189</v>
      </c>
      <c r="K1411">
        <v>5</v>
      </c>
      <c r="L1411" t="s">
        <v>44</v>
      </c>
      <c r="M1411" t="s">
        <v>45</v>
      </c>
    </row>
    <row r="1412" spans="1:13">
      <c r="A1412" t="s">
        <v>140</v>
      </c>
      <c r="B1412" t="s">
        <v>141</v>
      </c>
      <c r="C1412" t="s">
        <v>67</v>
      </c>
      <c r="D1412" t="s">
        <v>3150</v>
      </c>
      <c r="E1412">
        <v>1</v>
      </c>
      <c r="F1412" t="s">
        <v>3151</v>
      </c>
      <c r="G1412" s="10">
        <v>45169</v>
      </c>
      <c r="H1412">
        <v>39900</v>
      </c>
      <c r="I1412">
        <v>4067</v>
      </c>
      <c r="J1412" t="s">
        <v>144</v>
      </c>
      <c r="K1412">
        <v>5</v>
      </c>
      <c r="L1412" t="s">
        <v>38</v>
      </c>
      <c r="M1412" t="s">
        <v>25</v>
      </c>
    </row>
    <row r="1413" spans="1:13">
      <c r="A1413" t="s">
        <v>1092</v>
      </c>
      <c r="B1413" t="s">
        <v>123</v>
      </c>
      <c r="C1413" t="s">
        <v>1093</v>
      </c>
      <c r="D1413" t="s">
        <v>3152</v>
      </c>
      <c r="E1413">
        <v>4</v>
      </c>
      <c r="F1413" t="s">
        <v>3153</v>
      </c>
      <c r="G1413" s="10">
        <v>45173</v>
      </c>
      <c r="H1413">
        <v>1100</v>
      </c>
      <c r="I1413">
        <v>1027</v>
      </c>
      <c r="J1413" t="s">
        <v>2565</v>
      </c>
      <c r="K1413">
        <v>6</v>
      </c>
      <c r="L1413" t="s">
        <v>24</v>
      </c>
      <c r="M1413" t="s">
        <v>26</v>
      </c>
    </row>
    <row r="1414" spans="1:13">
      <c r="A1414" t="s">
        <v>1092</v>
      </c>
      <c r="B1414" t="s">
        <v>123</v>
      </c>
      <c r="C1414" t="s">
        <v>1093</v>
      </c>
      <c r="D1414" t="s">
        <v>3154</v>
      </c>
      <c r="E1414">
        <v>4</v>
      </c>
      <c r="F1414" t="s">
        <v>3155</v>
      </c>
      <c r="G1414" s="10">
        <v>45180</v>
      </c>
      <c r="H1414">
        <v>500</v>
      </c>
      <c r="I1414">
        <v>467</v>
      </c>
      <c r="J1414" t="s">
        <v>2565</v>
      </c>
      <c r="K1414">
        <v>6</v>
      </c>
      <c r="L1414" t="s">
        <v>24</v>
      </c>
      <c r="M1414" t="s">
        <v>26</v>
      </c>
    </row>
    <row r="1415" spans="1:13">
      <c r="A1415" t="s">
        <v>1193</v>
      </c>
      <c r="B1415" t="s">
        <v>141</v>
      </c>
      <c r="C1415" t="s">
        <v>67</v>
      </c>
      <c r="D1415" t="s">
        <v>3156</v>
      </c>
      <c r="E1415">
        <v>1</v>
      </c>
      <c r="F1415" t="s">
        <v>3157</v>
      </c>
      <c r="G1415" s="10">
        <v>45176</v>
      </c>
      <c r="H1415">
        <v>84000</v>
      </c>
      <c r="I1415">
        <v>34000</v>
      </c>
      <c r="J1415" t="s">
        <v>144</v>
      </c>
      <c r="K1415">
        <v>5</v>
      </c>
      <c r="L1415" t="s">
        <v>38</v>
      </c>
      <c r="M1415" t="s">
        <v>25</v>
      </c>
    </row>
    <row r="1416" spans="1:13">
      <c r="A1416" t="s">
        <v>628</v>
      </c>
      <c r="B1416" t="s">
        <v>66</v>
      </c>
      <c r="C1416" t="s">
        <v>67</v>
      </c>
      <c r="D1416" t="s">
        <v>3158</v>
      </c>
      <c r="E1416">
        <v>1</v>
      </c>
      <c r="F1416" t="s">
        <v>3159</v>
      </c>
      <c r="G1416" s="10">
        <v>45182</v>
      </c>
      <c r="H1416">
        <v>45517</v>
      </c>
      <c r="I1416">
        <v>6351</v>
      </c>
      <c r="J1416" t="s">
        <v>75</v>
      </c>
      <c r="K1416">
        <v>6</v>
      </c>
      <c r="L1416" t="s">
        <v>35</v>
      </c>
      <c r="M1416" t="s">
        <v>29</v>
      </c>
    </row>
    <row r="1417" spans="1:13">
      <c r="A1417" t="s">
        <v>297</v>
      </c>
      <c r="B1417" t="s">
        <v>179</v>
      </c>
      <c r="C1417" t="s">
        <v>45</v>
      </c>
      <c r="D1417" t="s">
        <v>3160</v>
      </c>
      <c r="E1417">
        <v>2</v>
      </c>
      <c r="F1417" t="s">
        <v>3161</v>
      </c>
      <c r="G1417" s="10">
        <v>45173</v>
      </c>
      <c r="H1417">
        <v>376166</v>
      </c>
      <c r="I1417">
        <v>84500</v>
      </c>
      <c r="J1417" t="s">
        <v>517</v>
      </c>
      <c r="K1417">
        <v>5</v>
      </c>
      <c r="L1417" t="s">
        <v>44</v>
      </c>
      <c r="M1417" t="s">
        <v>48</v>
      </c>
    </row>
    <row r="1418" spans="1:13">
      <c r="A1418" t="s">
        <v>194</v>
      </c>
      <c r="B1418" t="s">
        <v>160</v>
      </c>
      <c r="C1418" t="s">
        <v>67</v>
      </c>
      <c r="D1418" t="s">
        <v>3162</v>
      </c>
      <c r="E1418">
        <v>2</v>
      </c>
      <c r="F1418" t="s">
        <v>3163</v>
      </c>
      <c r="G1418" s="10">
        <v>45169</v>
      </c>
      <c r="H1418">
        <v>42000</v>
      </c>
      <c r="I1418">
        <v>7000</v>
      </c>
      <c r="J1418" t="s">
        <v>163</v>
      </c>
      <c r="K1418">
        <v>5</v>
      </c>
      <c r="L1418" t="s">
        <v>35</v>
      </c>
      <c r="M1418" t="s">
        <v>27</v>
      </c>
    </row>
    <row r="1419" spans="1:13">
      <c r="A1419" t="s">
        <v>1193</v>
      </c>
      <c r="B1419" t="s">
        <v>141</v>
      </c>
      <c r="C1419" t="s">
        <v>67</v>
      </c>
      <c r="D1419" t="s">
        <v>3164</v>
      </c>
      <c r="E1419">
        <v>4</v>
      </c>
      <c r="F1419" t="s">
        <v>3165</v>
      </c>
      <c r="G1419" s="10">
        <v>45180</v>
      </c>
      <c r="H1419">
        <v>832</v>
      </c>
      <c r="I1419">
        <v>766</v>
      </c>
      <c r="J1419" t="s">
        <v>2565</v>
      </c>
      <c r="K1419">
        <v>6</v>
      </c>
      <c r="L1419" t="s">
        <v>24</v>
      </c>
      <c r="M1419" t="s">
        <v>26</v>
      </c>
    </row>
    <row r="1420" spans="1:13">
      <c r="A1420" t="s">
        <v>140</v>
      </c>
      <c r="B1420" t="s">
        <v>141</v>
      </c>
      <c r="C1420" t="s">
        <v>67</v>
      </c>
      <c r="D1420" t="s">
        <v>3166</v>
      </c>
      <c r="E1420">
        <v>4</v>
      </c>
      <c r="F1420" t="s">
        <v>3167</v>
      </c>
      <c r="G1420" s="10">
        <v>45173</v>
      </c>
      <c r="H1420">
        <v>520</v>
      </c>
      <c r="I1420">
        <v>479</v>
      </c>
      <c r="J1420" t="s">
        <v>2565</v>
      </c>
      <c r="K1420">
        <v>6</v>
      </c>
      <c r="L1420" t="s">
        <v>24</v>
      </c>
      <c r="M1420" t="s">
        <v>26</v>
      </c>
    </row>
    <row r="1421" spans="1:13">
      <c r="A1421" t="s">
        <v>140</v>
      </c>
      <c r="B1421" t="s">
        <v>141</v>
      </c>
      <c r="C1421" t="s">
        <v>67</v>
      </c>
      <c r="D1421" t="s">
        <v>3168</v>
      </c>
      <c r="E1421">
        <v>4</v>
      </c>
      <c r="F1421" t="s">
        <v>3169</v>
      </c>
      <c r="G1421" s="10">
        <v>45173</v>
      </c>
      <c r="H1421">
        <v>1100</v>
      </c>
      <c r="I1421">
        <v>1044</v>
      </c>
      <c r="J1421" t="s">
        <v>2565</v>
      </c>
      <c r="K1421">
        <v>6</v>
      </c>
      <c r="L1421" t="s">
        <v>24</v>
      </c>
      <c r="M1421" t="s">
        <v>26</v>
      </c>
    </row>
    <row r="1422" spans="1:13">
      <c r="A1422" t="s">
        <v>140</v>
      </c>
      <c r="B1422" t="s">
        <v>141</v>
      </c>
      <c r="C1422" t="s">
        <v>67</v>
      </c>
      <c r="D1422" t="s">
        <v>3170</v>
      </c>
      <c r="E1422">
        <v>4</v>
      </c>
      <c r="F1422" t="s">
        <v>3171</v>
      </c>
      <c r="G1422" s="10">
        <v>45173</v>
      </c>
      <c r="H1422">
        <v>1144</v>
      </c>
      <c r="I1422">
        <v>1053</v>
      </c>
      <c r="J1422" t="s">
        <v>2565</v>
      </c>
      <c r="K1422">
        <v>6</v>
      </c>
      <c r="L1422" t="s">
        <v>24</v>
      </c>
      <c r="M1422" t="s">
        <v>26</v>
      </c>
    </row>
    <row r="1423" spans="1:13">
      <c r="A1423" t="s">
        <v>1772</v>
      </c>
      <c r="B1423" t="s">
        <v>1030</v>
      </c>
      <c r="C1423" t="s">
        <v>94</v>
      </c>
      <c r="D1423" t="s">
        <v>3172</v>
      </c>
      <c r="E1423">
        <v>2</v>
      </c>
      <c r="F1423" t="s">
        <v>3173</v>
      </c>
      <c r="G1423" s="10">
        <v>45170</v>
      </c>
      <c r="H1423">
        <v>67200</v>
      </c>
      <c r="I1423">
        <v>8867</v>
      </c>
      <c r="J1423" t="s">
        <v>1357</v>
      </c>
      <c r="K1423">
        <v>6</v>
      </c>
      <c r="L1423" t="s">
        <v>41</v>
      </c>
      <c r="M1423" t="s">
        <v>25</v>
      </c>
    </row>
    <row r="1424" spans="1:13">
      <c r="A1424" t="s">
        <v>628</v>
      </c>
      <c r="B1424" t="s">
        <v>66</v>
      </c>
      <c r="C1424" t="s">
        <v>67</v>
      </c>
      <c r="D1424" t="s">
        <v>3174</v>
      </c>
      <c r="E1424">
        <v>1</v>
      </c>
      <c r="F1424" t="s">
        <v>3175</v>
      </c>
      <c r="G1424" s="10">
        <v>45177</v>
      </c>
      <c r="H1424">
        <v>45517.5</v>
      </c>
      <c r="I1424">
        <v>6351.5</v>
      </c>
      <c r="J1424" t="s">
        <v>75</v>
      </c>
      <c r="K1424">
        <v>5</v>
      </c>
      <c r="L1424" t="s">
        <v>35</v>
      </c>
      <c r="M1424" t="s">
        <v>29</v>
      </c>
    </row>
    <row r="1425" spans="1:13">
      <c r="A1425" t="s">
        <v>92</v>
      </c>
      <c r="B1425" t="s">
        <v>93</v>
      </c>
      <c r="C1425" t="s">
        <v>94</v>
      </c>
      <c r="D1425" t="s">
        <v>3176</v>
      </c>
      <c r="E1425">
        <v>2</v>
      </c>
      <c r="F1425" t="s">
        <v>3177</v>
      </c>
      <c r="G1425" s="10">
        <v>45173</v>
      </c>
      <c r="H1425">
        <v>136500</v>
      </c>
      <c r="I1425">
        <v>40666.67</v>
      </c>
      <c r="J1425" t="s">
        <v>97</v>
      </c>
      <c r="K1425">
        <v>6</v>
      </c>
      <c r="L1425" t="s">
        <v>41</v>
      </c>
      <c r="M1425" t="s">
        <v>42</v>
      </c>
    </row>
    <row r="1426" spans="1:13">
      <c r="A1426" t="s">
        <v>984</v>
      </c>
      <c r="B1426" t="s">
        <v>28</v>
      </c>
      <c r="C1426" t="s">
        <v>238</v>
      </c>
      <c r="D1426" t="s">
        <v>3178</v>
      </c>
      <c r="E1426">
        <v>2</v>
      </c>
      <c r="F1426" t="s">
        <v>3179</v>
      </c>
      <c r="G1426" s="10">
        <v>45177</v>
      </c>
      <c r="H1426">
        <v>122327.52</v>
      </c>
      <c r="I1426">
        <v>18161.52</v>
      </c>
      <c r="J1426" t="s">
        <v>126</v>
      </c>
      <c r="K1426">
        <v>5</v>
      </c>
      <c r="L1426" t="s">
        <v>24</v>
      </c>
      <c r="M1426" t="s">
        <v>26</v>
      </c>
    </row>
    <row r="1427" spans="1:13">
      <c r="A1427" t="s">
        <v>194</v>
      </c>
      <c r="B1427" t="s">
        <v>160</v>
      </c>
      <c r="C1427" t="s">
        <v>67</v>
      </c>
      <c r="D1427" t="s">
        <v>3180</v>
      </c>
      <c r="E1427">
        <v>2</v>
      </c>
      <c r="F1427" t="s">
        <v>3181</v>
      </c>
      <c r="G1427" s="10">
        <v>45175</v>
      </c>
      <c r="H1427">
        <v>24898</v>
      </c>
      <c r="I1427">
        <v>3798</v>
      </c>
      <c r="J1427" t="s">
        <v>193</v>
      </c>
      <c r="K1427">
        <v>5</v>
      </c>
      <c r="L1427" t="s">
        <v>35</v>
      </c>
      <c r="M1427" t="s">
        <v>27</v>
      </c>
    </row>
    <row r="1428" spans="1:13">
      <c r="A1428" t="s">
        <v>3182</v>
      </c>
      <c r="B1428" t="s">
        <v>123</v>
      </c>
      <c r="C1428" t="s">
        <v>1093</v>
      </c>
      <c r="D1428" t="s">
        <v>3183</v>
      </c>
      <c r="E1428">
        <v>4</v>
      </c>
      <c r="F1428" t="s">
        <v>3184</v>
      </c>
      <c r="G1428" s="10">
        <v>45194</v>
      </c>
      <c r="H1428">
        <v>800</v>
      </c>
      <c r="I1428">
        <v>160</v>
      </c>
      <c r="J1428" t="s">
        <v>2565</v>
      </c>
      <c r="K1428">
        <v>6</v>
      </c>
      <c r="L1428" t="s">
        <v>24</v>
      </c>
      <c r="M1428" t="s">
        <v>26</v>
      </c>
    </row>
    <row r="1429" spans="1:13">
      <c r="A1429" t="s">
        <v>431</v>
      </c>
      <c r="B1429" t="s">
        <v>160</v>
      </c>
      <c r="C1429" t="s">
        <v>67</v>
      </c>
      <c r="D1429" t="s">
        <v>3185</v>
      </c>
      <c r="E1429">
        <v>2</v>
      </c>
      <c r="F1429" t="s">
        <v>3186</v>
      </c>
      <c r="G1429" s="10">
        <v>45176</v>
      </c>
      <c r="H1429">
        <v>17700</v>
      </c>
      <c r="I1429">
        <v>2700</v>
      </c>
      <c r="J1429" t="s">
        <v>193</v>
      </c>
      <c r="K1429">
        <v>6</v>
      </c>
      <c r="L1429" t="s">
        <v>35</v>
      </c>
      <c r="M1429" t="s">
        <v>27</v>
      </c>
    </row>
    <row r="1430" spans="1:13">
      <c r="A1430" t="s">
        <v>431</v>
      </c>
      <c r="B1430" t="s">
        <v>160</v>
      </c>
      <c r="C1430" t="s">
        <v>67</v>
      </c>
      <c r="D1430" t="s">
        <v>3187</v>
      </c>
      <c r="E1430">
        <v>2</v>
      </c>
      <c r="F1430" t="s">
        <v>3188</v>
      </c>
      <c r="G1430" s="10">
        <v>45176</v>
      </c>
      <c r="H1430">
        <v>17700</v>
      </c>
      <c r="I1430">
        <v>2700</v>
      </c>
      <c r="J1430" t="s">
        <v>193</v>
      </c>
      <c r="K1430">
        <v>6</v>
      </c>
      <c r="L1430" t="s">
        <v>35</v>
      </c>
      <c r="M1430" t="s">
        <v>27</v>
      </c>
    </row>
    <row r="1431" spans="1:13">
      <c r="A1431" t="s">
        <v>194</v>
      </c>
      <c r="B1431" t="s">
        <v>160</v>
      </c>
      <c r="C1431" t="s">
        <v>67</v>
      </c>
      <c r="D1431" t="s">
        <v>3189</v>
      </c>
      <c r="E1431">
        <v>2</v>
      </c>
      <c r="F1431" t="s">
        <v>3190</v>
      </c>
      <c r="G1431" s="10">
        <v>45175</v>
      </c>
      <c r="H1431">
        <v>48000</v>
      </c>
      <c r="I1431">
        <v>8000</v>
      </c>
      <c r="J1431" t="s">
        <v>163</v>
      </c>
      <c r="K1431">
        <v>6</v>
      </c>
      <c r="L1431" t="s">
        <v>35</v>
      </c>
      <c r="M1431" t="s">
        <v>27</v>
      </c>
    </row>
    <row r="1432" spans="1:13">
      <c r="A1432" t="s">
        <v>2321</v>
      </c>
      <c r="B1432" t="s">
        <v>916</v>
      </c>
      <c r="C1432" t="s">
        <v>52</v>
      </c>
      <c r="D1432" t="s">
        <v>3191</v>
      </c>
      <c r="E1432">
        <v>4</v>
      </c>
      <c r="F1432" t="s">
        <v>3192</v>
      </c>
      <c r="G1432" s="10">
        <v>45180</v>
      </c>
      <c r="H1432">
        <v>500</v>
      </c>
      <c r="I1432">
        <v>475</v>
      </c>
      <c r="J1432" t="s">
        <v>3193</v>
      </c>
      <c r="K1432">
        <v>6</v>
      </c>
      <c r="L1432" t="s">
        <v>52</v>
      </c>
      <c r="M1432" t="s">
        <v>26</v>
      </c>
    </row>
    <row r="1433" spans="1:13">
      <c r="A1433" t="s">
        <v>2654</v>
      </c>
      <c r="B1433" t="s">
        <v>52</v>
      </c>
      <c r="C1433" t="s">
        <v>52</v>
      </c>
      <c r="D1433" t="s">
        <v>3194</v>
      </c>
      <c r="E1433">
        <v>4</v>
      </c>
      <c r="F1433" t="s">
        <v>3195</v>
      </c>
      <c r="G1433" s="10">
        <v>45180</v>
      </c>
      <c r="H1433">
        <v>800</v>
      </c>
      <c r="I1433">
        <v>746</v>
      </c>
      <c r="J1433" t="s">
        <v>3193</v>
      </c>
      <c r="K1433">
        <v>6</v>
      </c>
      <c r="L1433" t="s">
        <v>52</v>
      </c>
      <c r="M1433" t="s">
        <v>26</v>
      </c>
    </row>
    <row r="1434" spans="1:13">
      <c r="A1434" t="s">
        <v>969</v>
      </c>
      <c r="B1434" t="s">
        <v>93</v>
      </c>
      <c r="C1434" t="s">
        <v>94</v>
      </c>
      <c r="D1434" t="s">
        <v>3196</v>
      </c>
      <c r="E1434">
        <v>4</v>
      </c>
      <c r="F1434" t="s">
        <v>3197</v>
      </c>
      <c r="G1434" s="10">
        <v>45187</v>
      </c>
      <c r="H1434">
        <v>189000</v>
      </c>
      <c r="I1434">
        <v>30666.67</v>
      </c>
      <c r="J1434" t="s">
        <v>97</v>
      </c>
      <c r="K1434">
        <v>6</v>
      </c>
      <c r="L1434" t="s">
        <v>41</v>
      </c>
      <c r="M1434" t="s">
        <v>42</v>
      </c>
    </row>
    <row r="1435" spans="1:13">
      <c r="A1435" t="s">
        <v>1447</v>
      </c>
      <c r="B1435" t="s">
        <v>179</v>
      </c>
      <c r="C1435" t="s">
        <v>45</v>
      </c>
      <c r="D1435" t="s">
        <v>3198</v>
      </c>
      <c r="E1435">
        <v>2</v>
      </c>
      <c r="F1435" t="s">
        <v>3199</v>
      </c>
      <c r="G1435" s="10">
        <v>45170</v>
      </c>
      <c r="H1435">
        <v>442498.56</v>
      </c>
      <c r="I1435">
        <v>67498.559999999998</v>
      </c>
      <c r="J1435" t="s">
        <v>2077</v>
      </c>
      <c r="K1435">
        <v>5</v>
      </c>
      <c r="L1435" t="s">
        <v>44</v>
      </c>
      <c r="M1435" t="s">
        <v>45</v>
      </c>
    </row>
    <row r="1436" spans="1:13">
      <c r="A1436" t="s">
        <v>256</v>
      </c>
      <c r="B1436" t="s">
        <v>160</v>
      </c>
      <c r="C1436" t="s">
        <v>67</v>
      </c>
      <c r="D1436" t="s">
        <v>3200</v>
      </c>
      <c r="E1436">
        <v>2</v>
      </c>
      <c r="F1436" t="s">
        <v>3201</v>
      </c>
      <c r="G1436" s="10">
        <v>45176</v>
      </c>
      <c r="H1436">
        <v>17700</v>
      </c>
      <c r="I1436">
        <v>2700</v>
      </c>
      <c r="J1436" t="s">
        <v>193</v>
      </c>
      <c r="K1436">
        <v>6</v>
      </c>
      <c r="L1436" t="s">
        <v>35</v>
      </c>
      <c r="M1436" t="s">
        <v>27</v>
      </c>
    </row>
    <row r="1437" spans="1:13">
      <c r="A1437" t="s">
        <v>266</v>
      </c>
      <c r="B1437" t="s">
        <v>160</v>
      </c>
      <c r="C1437" t="s">
        <v>67</v>
      </c>
      <c r="D1437" t="s">
        <v>3202</v>
      </c>
      <c r="E1437">
        <v>2</v>
      </c>
      <c r="F1437" t="s">
        <v>3203</v>
      </c>
      <c r="G1437" s="10">
        <v>45187</v>
      </c>
      <c r="H1437">
        <v>70800</v>
      </c>
      <c r="I1437">
        <v>10800</v>
      </c>
      <c r="J1437" t="s">
        <v>163</v>
      </c>
      <c r="K1437">
        <v>5</v>
      </c>
      <c r="L1437" t="s">
        <v>35</v>
      </c>
      <c r="M1437" t="s">
        <v>27</v>
      </c>
    </row>
    <row r="1438" spans="1:13">
      <c r="A1438" t="s">
        <v>256</v>
      </c>
      <c r="B1438" t="s">
        <v>160</v>
      </c>
      <c r="C1438" t="s">
        <v>67</v>
      </c>
      <c r="D1438" t="s">
        <v>3204</v>
      </c>
      <c r="E1438">
        <v>2</v>
      </c>
      <c r="F1438" t="s">
        <v>3205</v>
      </c>
      <c r="G1438" s="10">
        <v>45176</v>
      </c>
      <c r="H1438">
        <v>17700</v>
      </c>
      <c r="I1438">
        <v>2700</v>
      </c>
      <c r="J1438" t="s">
        <v>193</v>
      </c>
      <c r="K1438">
        <v>6</v>
      </c>
      <c r="L1438" t="s">
        <v>35</v>
      </c>
      <c r="M1438" t="s">
        <v>27</v>
      </c>
    </row>
    <row r="1439" spans="1:13">
      <c r="A1439" t="s">
        <v>1658</v>
      </c>
      <c r="B1439" t="s">
        <v>160</v>
      </c>
      <c r="C1439" t="s">
        <v>67</v>
      </c>
      <c r="D1439" t="s">
        <v>3206</v>
      </c>
      <c r="E1439">
        <v>2</v>
      </c>
      <c r="F1439" t="s">
        <v>3207</v>
      </c>
      <c r="G1439" s="10">
        <v>45176</v>
      </c>
      <c r="H1439">
        <v>17700</v>
      </c>
      <c r="I1439">
        <v>2700</v>
      </c>
      <c r="J1439" t="s">
        <v>193</v>
      </c>
      <c r="K1439">
        <v>6</v>
      </c>
      <c r="L1439" t="s">
        <v>35</v>
      </c>
      <c r="M1439" t="s">
        <v>27</v>
      </c>
    </row>
    <row r="1440" spans="1:13">
      <c r="A1440" t="s">
        <v>1658</v>
      </c>
      <c r="B1440" t="s">
        <v>160</v>
      </c>
      <c r="C1440" t="s">
        <v>67</v>
      </c>
      <c r="D1440" t="s">
        <v>3208</v>
      </c>
      <c r="E1440">
        <v>2</v>
      </c>
      <c r="F1440" t="s">
        <v>3209</v>
      </c>
      <c r="G1440" s="10">
        <v>45176</v>
      </c>
      <c r="H1440">
        <v>17700</v>
      </c>
      <c r="I1440">
        <v>2700</v>
      </c>
      <c r="J1440" t="s">
        <v>193</v>
      </c>
      <c r="K1440">
        <v>6</v>
      </c>
      <c r="L1440" t="s">
        <v>35</v>
      </c>
      <c r="M1440" t="s">
        <v>27</v>
      </c>
    </row>
    <row r="1441" spans="1:13">
      <c r="A1441" t="s">
        <v>915</v>
      </c>
      <c r="B1441" t="s">
        <v>916</v>
      </c>
      <c r="C1441" t="s">
        <v>52</v>
      </c>
      <c r="D1441" t="s">
        <v>3210</v>
      </c>
      <c r="E1441">
        <v>4</v>
      </c>
      <c r="F1441" t="s">
        <v>3211</v>
      </c>
      <c r="G1441" s="10">
        <v>45180</v>
      </c>
      <c r="H1441">
        <v>500</v>
      </c>
      <c r="I1441">
        <v>467</v>
      </c>
      <c r="J1441" t="s">
        <v>3193</v>
      </c>
      <c r="K1441">
        <v>6</v>
      </c>
      <c r="L1441" t="s">
        <v>52</v>
      </c>
      <c r="M1441" t="s">
        <v>26</v>
      </c>
    </row>
    <row r="1442" spans="1:13">
      <c r="A1442" t="s">
        <v>915</v>
      </c>
      <c r="B1442" t="s">
        <v>916</v>
      </c>
      <c r="C1442" t="s">
        <v>52</v>
      </c>
      <c r="D1442" t="s">
        <v>3212</v>
      </c>
      <c r="E1442">
        <v>4</v>
      </c>
      <c r="F1442" t="s">
        <v>3213</v>
      </c>
      <c r="G1442" s="10">
        <v>45180</v>
      </c>
      <c r="H1442">
        <v>500</v>
      </c>
      <c r="I1442">
        <v>467</v>
      </c>
      <c r="J1442" t="s">
        <v>3193</v>
      </c>
      <c r="K1442">
        <v>6</v>
      </c>
      <c r="L1442" t="s">
        <v>52</v>
      </c>
      <c r="M1442" t="s">
        <v>26</v>
      </c>
    </row>
    <row r="1443" spans="1:13">
      <c r="A1443" t="s">
        <v>81</v>
      </c>
      <c r="B1443" t="s">
        <v>82</v>
      </c>
      <c r="C1443" t="s">
        <v>28</v>
      </c>
      <c r="D1443" t="s">
        <v>3214</v>
      </c>
      <c r="E1443">
        <v>2</v>
      </c>
      <c r="F1443" t="s">
        <v>3215</v>
      </c>
      <c r="G1443" s="10">
        <v>45180</v>
      </c>
      <c r="H1443">
        <v>88200</v>
      </c>
      <c r="I1443">
        <v>17367</v>
      </c>
      <c r="J1443" t="s">
        <v>834</v>
      </c>
      <c r="K1443">
        <v>5</v>
      </c>
      <c r="L1443" t="s">
        <v>37</v>
      </c>
      <c r="M1443" t="s">
        <v>25</v>
      </c>
    </row>
    <row r="1444" spans="1:13">
      <c r="A1444" t="s">
        <v>361</v>
      </c>
      <c r="B1444" t="s">
        <v>72</v>
      </c>
      <c r="C1444" t="s">
        <v>67</v>
      </c>
      <c r="D1444" t="s">
        <v>3216</v>
      </c>
      <c r="E1444">
        <v>1</v>
      </c>
      <c r="F1444" t="s">
        <v>3217</v>
      </c>
      <c r="G1444" s="10">
        <v>45170</v>
      </c>
      <c r="H1444">
        <v>32130</v>
      </c>
      <c r="I1444">
        <v>12130</v>
      </c>
      <c r="J1444" t="s">
        <v>250</v>
      </c>
      <c r="K1444">
        <v>6</v>
      </c>
      <c r="L1444" t="s">
        <v>24</v>
      </c>
      <c r="M1444" t="s">
        <v>29</v>
      </c>
    </row>
    <row r="1445" spans="1:13">
      <c r="A1445" t="s">
        <v>1193</v>
      </c>
      <c r="B1445" t="s">
        <v>141</v>
      </c>
      <c r="C1445" t="s">
        <v>67</v>
      </c>
      <c r="D1445" t="s">
        <v>3218</v>
      </c>
      <c r="E1445">
        <v>4</v>
      </c>
      <c r="F1445" t="s">
        <v>3219</v>
      </c>
      <c r="G1445" s="10">
        <v>45180</v>
      </c>
      <c r="H1445">
        <v>520</v>
      </c>
      <c r="I1445">
        <v>487</v>
      </c>
      <c r="J1445" t="s">
        <v>2565</v>
      </c>
      <c r="K1445">
        <v>6</v>
      </c>
      <c r="L1445" t="s">
        <v>24</v>
      </c>
      <c r="M1445" t="s">
        <v>26</v>
      </c>
    </row>
    <row r="1446" spans="1:13">
      <c r="A1446" t="s">
        <v>140</v>
      </c>
      <c r="B1446" t="s">
        <v>141</v>
      </c>
      <c r="C1446" t="s">
        <v>67</v>
      </c>
      <c r="D1446" t="s">
        <v>3220</v>
      </c>
      <c r="E1446">
        <v>4</v>
      </c>
      <c r="F1446" t="s">
        <v>3221</v>
      </c>
      <c r="G1446" s="10">
        <v>45180</v>
      </c>
      <c r="H1446">
        <v>500</v>
      </c>
      <c r="I1446">
        <v>467</v>
      </c>
      <c r="J1446" t="s">
        <v>2565</v>
      </c>
      <c r="K1446">
        <v>6</v>
      </c>
      <c r="L1446" t="s">
        <v>24</v>
      </c>
      <c r="M1446" t="s">
        <v>26</v>
      </c>
    </row>
    <row r="1447" spans="1:13">
      <c r="A1447" t="s">
        <v>969</v>
      </c>
      <c r="B1447" t="s">
        <v>93</v>
      </c>
      <c r="C1447" t="s">
        <v>94</v>
      </c>
      <c r="D1447" t="s">
        <v>3222</v>
      </c>
      <c r="E1447">
        <v>7</v>
      </c>
      <c r="F1447" t="s">
        <v>3223</v>
      </c>
      <c r="G1447" s="10">
        <v>45180</v>
      </c>
      <c r="H1447">
        <v>60860.800000000003</v>
      </c>
      <c r="I1447">
        <v>2620.8000000000002</v>
      </c>
      <c r="J1447" t="s">
        <v>313</v>
      </c>
      <c r="K1447">
        <v>5</v>
      </c>
      <c r="L1447" t="s">
        <v>41</v>
      </c>
      <c r="M1447" t="s">
        <v>42</v>
      </c>
    </row>
    <row r="1448" spans="1:13">
      <c r="A1448" t="s">
        <v>2488</v>
      </c>
      <c r="B1448" t="s">
        <v>916</v>
      </c>
      <c r="C1448" t="s">
        <v>52</v>
      </c>
      <c r="D1448" t="s">
        <v>3224</v>
      </c>
      <c r="E1448">
        <v>4</v>
      </c>
      <c r="F1448" t="s">
        <v>3225</v>
      </c>
      <c r="G1448" s="10">
        <v>45180</v>
      </c>
      <c r="H1448">
        <v>500</v>
      </c>
      <c r="I1448">
        <v>467</v>
      </c>
      <c r="J1448" t="s">
        <v>3193</v>
      </c>
      <c r="K1448">
        <v>6</v>
      </c>
      <c r="L1448" t="s">
        <v>52</v>
      </c>
      <c r="M1448" t="s">
        <v>26</v>
      </c>
    </row>
    <row r="1449" spans="1:13">
      <c r="A1449" t="s">
        <v>261</v>
      </c>
      <c r="B1449" t="s">
        <v>160</v>
      </c>
      <c r="C1449" t="s">
        <v>67</v>
      </c>
      <c r="D1449" t="s">
        <v>3226</v>
      </c>
      <c r="E1449">
        <v>2</v>
      </c>
      <c r="F1449" t="s">
        <v>3227</v>
      </c>
      <c r="G1449" s="10">
        <v>45177</v>
      </c>
      <c r="H1449">
        <v>38400</v>
      </c>
      <c r="I1449">
        <v>6400</v>
      </c>
      <c r="J1449" t="s">
        <v>163</v>
      </c>
      <c r="K1449">
        <v>5</v>
      </c>
      <c r="L1449" t="s">
        <v>35</v>
      </c>
      <c r="M1449" t="s">
        <v>27</v>
      </c>
    </row>
    <row r="1450" spans="1:13">
      <c r="A1450" t="s">
        <v>2321</v>
      </c>
      <c r="B1450" t="s">
        <v>916</v>
      </c>
      <c r="C1450" t="s">
        <v>52</v>
      </c>
      <c r="D1450" t="s">
        <v>3228</v>
      </c>
      <c r="E1450">
        <v>4</v>
      </c>
      <c r="F1450" t="s">
        <v>3229</v>
      </c>
      <c r="G1450" s="10">
        <v>45180</v>
      </c>
      <c r="H1450">
        <v>800</v>
      </c>
      <c r="I1450">
        <v>767</v>
      </c>
      <c r="J1450" t="s">
        <v>3193</v>
      </c>
      <c r="K1450">
        <v>6</v>
      </c>
      <c r="L1450" t="s">
        <v>52</v>
      </c>
      <c r="M1450" t="s">
        <v>26</v>
      </c>
    </row>
    <row r="1451" spans="1:13">
      <c r="A1451" t="s">
        <v>261</v>
      </c>
      <c r="B1451" t="s">
        <v>160</v>
      </c>
      <c r="C1451" t="s">
        <v>67</v>
      </c>
      <c r="D1451" t="s">
        <v>3230</v>
      </c>
      <c r="E1451">
        <v>2</v>
      </c>
      <c r="F1451" t="s">
        <v>3231</v>
      </c>
      <c r="G1451" s="10">
        <v>45176</v>
      </c>
      <c r="H1451">
        <v>45000</v>
      </c>
      <c r="I1451">
        <v>7500</v>
      </c>
      <c r="J1451" t="s">
        <v>163</v>
      </c>
      <c r="K1451">
        <v>6</v>
      </c>
      <c r="L1451" t="s">
        <v>35</v>
      </c>
      <c r="M1451" t="s">
        <v>27</v>
      </c>
    </row>
    <row r="1452" spans="1:13">
      <c r="A1452" t="s">
        <v>1193</v>
      </c>
      <c r="B1452" t="s">
        <v>141</v>
      </c>
      <c r="C1452" t="s">
        <v>67</v>
      </c>
      <c r="D1452" t="s">
        <v>3232</v>
      </c>
      <c r="E1452">
        <v>4</v>
      </c>
      <c r="F1452" t="s">
        <v>3233</v>
      </c>
      <c r="G1452" s="10">
        <v>45180</v>
      </c>
      <c r="H1452">
        <v>500</v>
      </c>
      <c r="I1452">
        <v>467</v>
      </c>
      <c r="J1452" t="s">
        <v>2565</v>
      </c>
      <c r="K1452">
        <v>6</v>
      </c>
      <c r="L1452" t="s">
        <v>24</v>
      </c>
      <c r="M1452" t="s">
        <v>26</v>
      </c>
    </row>
    <row r="1453" spans="1:13">
      <c r="A1453" t="s">
        <v>223</v>
      </c>
      <c r="B1453" t="s">
        <v>224</v>
      </c>
      <c r="C1453" t="s">
        <v>94</v>
      </c>
      <c r="D1453" t="s">
        <v>3234</v>
      </c>
      <c r="E1453">
        <v>2</v>
      </c>
      <c r="F1453" t="s">
        <v>3235</v>
      </c>
      <c r="G1453" s="10">
        <v>45175</v>
      </c>
      <c r="H1453">
        <v>30000</v>
      </c>
      <c r="I1453">
        <v>5000</v>
      </c>
      <c r="J1453" t="s">
        <v>227</v>
      </c>
      <c r="K1453">
        <v>5</v>
      </c>
      <c r="L1453" t="s">
        <v>41</v>
      </c>
      <c r="M1453" t="s">
        <v>42</v>
      </c>
    </row>
    <row r="1454" spans="1:13">
      <c r="A1454" t="s">
        <v>266</v>
      </c>
      <c r="B1454" t="s">
        <v>160</v>
      </c>
      <c r="C1454" t="s">
        <v>67</v>
      </c>
      <c r="D1454" t="s">
        <v>3236</v>
      </c>
      <c r="E1454">
        <v>2</v>
      </c>
      <c r="F1454" t="s">
        <v>3237</v>
      </c>
      <c r="G1454" s="10">
        <v>45177</v>
      </c>
      <c r="H1454">
        <v>48000</v>
      </c>
      <c r="I1454">
        <v>8000</v>
      </c>
      <c r="J1454" t="s">
        <v>163</v>
      </c>
      <c r="K1454">
        <v>6</v>
      </c>
      <c r="L1454" t="s">
        <v>35</v>
      </c>
      <c r="M1454" t="s">
        <v>27</v>
      </c>
    </row>
    <row r="1455" spans="1:13">
      <c r="A1455" t="s">
        <v>266</v>
      </c>
      <c r="B1455" t="s">
        <v>160</v>
      </c>
      <c r="C1455" t="s">
        <v>67</v>
      </c>
      <c r="D1455" t="s">
        <v>3238</v>
      </c>
      <c r="E1455">
        <v>2</v>
      </c>
      <c r="F1455" t="s">
        <v>3239</v>
      </c>
      <c r="G1455" s="10">
        <v>45176</v>
      </c>
      <c r="H1455">
        <v>48000</v>
      </c>
      <c r="I1455">
        <v>8000</v>
      </c>
      <c r="J1455" t="s">
        <v>163</v>
      </c>
      <c r="K1455">
        <v>5</v>
      </c>
      <c r="L1455" t="s">
        <v>35</v>
      </c>
      <c r="M1455" t="s">
        <v>27</v>
      </c>
    </row>
    <row r="1456" spans="1:13">
      <c r="A1456" t="s">
        <v>159</v>
      </c>
      <c r="B1456" t="s">
        <v>160</v>
      </c>
      <c r="C1456" t="s">
        <v>67</v>
      </c>
      <c r="D1456" t="s">
        <v>3240</v>
      </c>
      <c r="E1456">
        <v>2</v>
      </c>
      <c r="F1456" t="s">
        <v>3241</v>
      </c>
      <c r="G1456" s="10">
        <v>45177</v>
      </c>
      <c r="H1456">
        <v>48000</v>
      </c>
      <c r="I1456">
        <v>8000</v>
      </c>
      <c r="J1456" t="s">
        <v>163</v>
      </c>
      <c r="K1456">
        <v>6</v>
      </c>
      <c r="L1456" t="s">
        <v>35</v>
      </c>
      <c r="M1456" t="s">
        <v>27</v>
      </c>
    </row>
    <row r="1457" spans="1:13">
      <c r="A1457" t="s">
        <v>140</v>
      </c>
      <c r="B1457" t="s">
        <v>141</v>
      </c>
      <c r="C1457" t="s">
        <v>67</v>
      </c>
      <c r="D1457" t="s">
        <v>3242</v>
      </c>
      <c r="E1457">
        <v>4</v>
      </c>
      <c r="F1457" t="s">
        <v>3243</v>
      </c>
      <c r="G1457" s="10">
        <v>45180</v>
      </c>
      <c r="H1457">
        <v>1100</v>
      </c>
      <c r="I1457">
        <v>1034</v>
      </c>
      <c r="J1457" t="s">
        <v>2565</v>
      </c>
      <c r="K1457">
        <v>6</v>
      </c>
      <c r="L1457" t="s">
        <v>24</v>
      </c>
      <c r="M1457" t="s">
        <v>26</v>
      </c>
    </row>
    <row r="1458" spans="1:13">
      <c r="A1458" t="s">
        <v>2488</v>
      </c>
      <c r="B1458" t="s">
        <v>916</v>
      </c>
      <c r="C1458" t="s">
        <v>52</v>
      </c>
      <c r="D1458" t="s">
        <v>3244</v>
      </c>
      <c r="E1458">
        <v>4</v>
      </c>
      <c r="F1458" t="s">
        <v>3245</v>
      </c>
      <c r="G1458" s="10">
        <v>45180</v>
      </c>
      <c r="H1458">
        <v>500</v>
      </c>
      <c r="I1458">
        <v>467</v>
      </c>
      <c r="J1458" t="s">
        <v>3193</v>
      </c>
      <c r="K1458">
        <v>6</v>
      </c>
      <c r="L1458" t="s">
        <v>52</v>
      </c>
      <c r="M1458" t="s">
        <v>26</v>
      </c>
    </row>
    <row r="1459" spans="1:13">
      <c r="A1459" t="s">
        <v>1193</v>
      </c>
      <c r="B1459" t="s">
        <v>141</v>
      </c>
      <c r="C1459" t="s">
        <v>67</v>
      </c>
      <c r="D1459" t="s">
        <v>3246</v>
      </c>
      <c r="E1459">
        <v>4</v>
      </c>
      <c r="F1459" t="s">
        <v>3247</v>
      </c>
      <c r="G1459" s="10">
        <v>45180</v>
      </c>
      <c r="H1459">
        <v>800</v>
      </c>
      <c r="I1459">
        <v>750</v>
      </c>
      <c r="J1459" t="s">
        <v>2565</v>
      </c>
      <c r="K1459">
        <v>6</v>
      </c>
      <c r="L1459" t="s">
        <v>24</v>
      </c>
      <c r="M1459" t="s">
        <v>26</v>
      </c>
    </row>
    <row r="1460" spans="1:13">
      <c r="A1460" t="s">
        <v>1193</v>
      </c>
      <c r="B1460" t="s">
        <v>141</v>
      </c>
      <c r="C1460" t="s">
        <v>67</v>
      </c>
      <c r="D1460" t="s">
        <v>3248</v>
      </c>
      <c r="E1460">
        <v>4</v>
      </c>
      <c r="F1460" t="s">
        <v>3249</v>
      </c>
      <c r="G1460" s="10">
        <v>45180</v>
      </c>
      <c r="H1460">
        <v>800</v>
      </c>
      <c r="I1460">
        <v>744</v>
      </c>
      <c r="J1460" t="s">
        <v>2565</v>
      </c>
      <c r="K1460">
        <v>6</v>
      </c>
      <c r="L1460" t="s">
        <v>24</v>
      </c>
      <c r="M1460" t="s">
        <v>26</v>
      </c>
    </row>
    <row r="1461" spans="1:13">
      <c r="A1461" t="s">
        <v>602</v>
      </c>
      <c r="B1461" t="s">
        <v>224</v>
      </c>
      <c r="C1461" t="s">
        <v>94</v>
      </c>
      <c r="D1461" t="s">
        <v>3250</v>
      </c>
      <c r="E1461">
        <v>2</v>
      </c>
      <c r="F1461" t="s">
        <v>3251</v>
      </c>
      <c r="G1461" s="10">
        <v>45182</v>
      </c>
      <c r="H1461">
        <v>37000</v>
      </c>
      <c r="I1461">
        <v>7834</v>
      </c>
      <c r="J1461" t="s">
        <v>227</v>
      </c>
      <c r="K1461">
        <v>5</v>
      </c>
      <c r="L1461" t="s">
        <v>41</v>
      </c>
      <c r="M1461" t="s">
        <v>42</v>
      </c>
    </row>
    <row r="1462" spans="1:13">
      <c r="A1462" t="s">
        <v>266</v>
      </c>
      <c r="B1462" t="s">
        <v>160</v>
      </c>
      <c r="C1462" t="s">
        <v>67</v>
      </c>
      <c r="D1462" t="s">
        <v>3252</v>
      </c>
      <c r="E1462">
        <v>2</v>
      </c>
      <c r="F1462" t="s">
        <v>3253</v>
      </c>
      <c r="G1462" s="10">
        <v>45180</v>
      </c>
      <c r="H1462">
        <v>35760</v>
      </c>
      <c r="I1462">
        <v>5960</v>
      </c>
      <c r="J1462" t="s">
        <v>193</v>
      </c>
      <c r="K1462">
        <v>6</v>
      </c>
      <c r="L1462" t="s">
        <v>35</v>
      </c>
      <c r="M1462" t="s">
        <v>27</v>
      </c>
    </row>
    <row r="1463" spans="1:13">
      <c r="A1463" t="s">
        <v>197</v>
      </c>
      <c r="B1463" t="s">
        <v>160</v>
      </c>
      <c r="C1463" t="s">
        <v>67</v>
      </c>
      <c r="D1463" t="s">
        <v>3254</v>
      </c>
      <c r="E1463">
        <v>2</v>
      </c>
      <c r="F1463" t="s">
        <v>3255</v>
      </c>
      <c r="G1463" s="10">
        <v>45182</v>
      </c>
      <c r="H1463">
        <v>17700</v>
      </c>
      <c r="I1463">
        <v>2700</v>
      </c>
      <c r="J1463" t="s">
        <v>193</v>
      </c>
      <c r="K1463">
        <v>6</v>
      </c>
      <c r="L1463" t="s">
        <v>35</v>
      </c>
      <c r="M1463" t="s">
        <v>27</v>
      </c>
    </row>
    <row r="1464" spans="1:13">
      <c r="A1464" t="s">
        <v>190</v>
      </c>
      <c r="B1464" t="s">
        <v>160</v>
      </c>
      <c r="C1464" t="s">
        <v>67</v>
      </c>
      <c r="D1464" t="s">
        <v>3256</v>
      </c>
      <c r="E1464">
        <v>2</v>
      </c>
      <c r="F1464" t="s">
        <v>3257</v>
      </c>
      <c r="G1464" s="10">
        <v>45177</v>
      </c>
      <c r="H1464">
        <v>32500</v>
      </c>
      <c r="I1464">
        <v>7500</v>
      </c>
      <c r="J1464" t="s">
        <v>163</v>
      </c>
      <c r="K1464">
        <v>6</v>
      </c>
      <c r="L1464" t="s">
        <v>35</v>
      </c>
      <c r="M1464" t="s">
        <v>27</v>
      </c>
    </row>
    <row r="1465" spans="1:13">
      <c r="A1465" t="s">
        <v>190</v>
      </c>
      <c r="B1465" t="s">
        <v>160</v>
      </c>
      <c r="C1465" t="s">
        <v>67</v>
      </c>
      <c r="D1465" t="s">
        <v>1955</v>
      </c>
      <c r="E1465">
        <v>2</v>
      </c>
      <c r="F1465" t="s">
        <v>3258</v>
      </c>
      <c r="G1465" s="10">
        <v>45181</v>
      </c>
      <c r="H1465">
        <v>47200</v>
      </c>
      <c r="I1465">
        <v>7200</v>
      </c>
      <c r="J1465" t="s">
        <v>193</v>
      </c>
      <c r="K1465">
        <v>5</v>
      </c>
      <c r="L1465" t="s">
        <v>35</v>
      </c>
      <c r="M1465" t="s">
        <v>27</v>
      </c>
    </row>
    <row r="1466" spans="1:13">
      <c r="A1466" t="s">
        <v>1039</v>
      </c>
      <c r="B1466" t="s">
        <v>28</v>
      </c>
      <c r="C1466" t="s">
        <v>238</v>
      </c>
      <c r="D1466" t="s">
        <v>3259</v>
      </c>
      <c r="E1466">
        <v>2</v>
      </c>
      <c r="F1466" t="s">
        <v>3260</v>
      </c>
      <c r="G1466" s="10">
        <v>45271</v>
      </c>
      <c r="H1466">
        <v>101294</v>
      </c>
      <c r="I1466">
        <v>4083</v>
      </c>
      <c r="J1466" t="s">
        <v>85</v>
      </c>
      <c r="K1466">
        <v>5</v>
      </c>
      <c r="L1466" t="s">
        <v>24</v>
      </c>
      <c r="M1466" t="s">
        <v>25</v>
      </c>
    </row>
    <row r="1467" spans="1:13">
      <c r="A1467" t="s">
        <v>1044</v>
      </c>
      <c r="B1467" t="s">
        <v>93</v>
      </c>
      <c r="C1467" t="s">
        <v>94</v>
      </c>
      <c r="D1467" t="s">
        <v>3261</v>
      </c>
      <c r="E1467">
        <v>2</v>
      </c>
      <c r="F1467" t="s">
        <v>3262</v>
      </c>
      <c r="G1467" s="10">
        <v>45182</v>
      </c>
      <c r="H1467">
        <v>150088.26</v>
      </c>
      <c r="I1467">
        <v>66755.259999999995</v>
      </c>
      <c r="J1467" t="s">
        <v>458</v>
      </c>
      <c r="K1467">
        <v>6</v>
      </c>
      <c r="L1467" t="s">
        <v>37</v>
      </c>
      <c r="M1467" t="s">
        <v>33</v>
      </c>
    </row>
    <row r="1468" spans="1:13">
      <c r="A1468" t="s">
        <v>376</v>
      </c>
      <c r="B1468" t="s">
        <v>66</v>
      </c>
      <c r="C1468" t="s">
        <v>67</v>
      </c>
      <c r="D1468" t="s">
        <v>3263</v>
      </c>
      <c r="E1468">
        <v>2</v>
      </c>
      <c r="F1468" t="s">
        <v>3264</v>
      </c>
      <c r="G1468" s="10">
        <v>45177</v>
      </c>
      <c r="H1468">
        <v>32500</v>
      </c>
      <c r="I1468">
        <v>7500</v>
      </c>
      <c r="J1468" t="s">
        <v>163</v>
      </c>
      <c r="K1468">
        <v>6</v>
      </c>
      <c r="L1468" t="s">
        <v>35</v>
      </c>
      <c r="M1468" t="s">
        <v>27</v>
      </c>
    </row>
    <row r="1469" spans="1:13">
      <c r="A1469" t="s">
        <v>1983</v>
      </c>
      <c r="B1469" t="s">
        <v>179</v>
      </c>
      <c r="C1469" t="s">
        <v>45</v>
      </c>
      <c r="D1469" t="s">
        <v>3265</v>
      </c>
      <c r="E1469">
        <v>2</v>
      </c>
      <c r="F1469" t="s">
        <v>3266</v>
      </c>
      <c r="G1469" s="10">
        <v>45184</v>
      </c>
      <c r="H1469">
        <v>143000</v>
      </c>
      <c r="I1469">
        <v>53000</v>
      </c>
      <c r="J1469" t="s">
        <v>714</v>
      </c>
      <c r="K1469">
        <v>5</v>
      </c>
      <c r="L1469" t="s">
        <v>44</v>
      </c>
      <c r="M1469" t="s">
        <v>45</v>
      </c>
    </row>
    <row r="1470" spans="1:13">
      <c r="A1470" t="s">
        <v>2880</v>
      </c>
      <c r="B1470" t="s">
        <v>848</v>
      </c>
      <c r="C1470" t="s">
        <v>98</v>
      </c>
      <c r="D1470" t="s">
        <v>3267</v>
      </c>
      <c r="E1470">
        <v>1</v>
      </c>
      <c r="F1470" t="s">
        <v>3268</v>
      </c>
      <c r="G1470" s="10">
        <v>45190</v>
      </c>
      <c r="H1470">
        <v>26775</v>
      </c>
      <c r="I1470">
        <v>6775</v>
      </c>
      <c r="J1470" t="s">
        <v>250</v>
      </c>
      <c r="K1470">
        <v>6</v>
      </c>
      <c r="L1470" t="s">
        <v>24</v>
      </c>
      <c r="M1470" t="s">
        <v>29</v>
      </c>
    </row>
    <row r="1471" spans="1:13">
      <c r="A1471" t="s">
        <v>2880</v>
      </c>
      <c r="B1471" t="s">
        <v>848</v>
      </c>
      <c r="C1471" t="s">
        <v>98</v>
      </c>
      <c r="D1471" t="s">
        <v>3269</v>
      </c>
      <c r="E1471">
        <v>1</v>
      </c>
      <c r="F1471" t="s">
        <v>3270</v>
      </c>
      <c r="G1471" s="10">
        <v>45194</v>
      </c>
      <c r="H1471">
        <v>26775</v>
      </c>
      <c r="I1471">
        <v>6775</v>
      </c>
      <c r="J1471" t="s">
        <v>250</v>
      </c>
      <c r="K1471">
        <v>6</v>
      </c>
      <c r="L1471" t="s">
        <v>24</v>
      </c>
      <c r="M1471" t="s">
        <v>29</v>
      </c>
    </row>
    <row r="1472" spans="1:13">
      <c r="A1472" t="s">
        <v>251</v>
      </c>
      <c r="B1472" t="s">
        <v>160</v>
      </c>
      <c r="C1472" t="s">
        <v>67</v>
      </c>
      <c r="D1472" t="s">
        <v>3271</v>
      </c>
      <c r="E1472">
        <v>2</v>
      </c>
      <c r="F1472" t="s">
        <v>3272</v>
      </c>
      <c r="G1472" s="10">
        <v>45180</v>
      </c>
      <c r="H1472">
        <v>32500</v>
      </c>
      <c r="I1472">
        <v>7500</v>
      </c>
      <c r="J1472" t="s">
        <v>163</v>
      </c>
      <c r="K1472">
        <v>5</v>
      </c>
      <c r="L1472" t="s">
        <v>35</v>
      </c>
      <c r="M1472" t="s">
        <v>27</v>
      </c>
    </row>
    <row r="1473" spans="1:13">
      <c r="A1473" t="s">
        <v>266</v>
      </c>
      <c r="B1473" t="s">
        <v>160</v>
      </c>
      <c r="C1473" t="s">
        <v>67</v>
      </c>
      <c r="D1473" t="s">
        <v>3273</v>
      </c>
      <c r="E1473">
        <v>2</v>
      </c>
      <c r="F1473" t="s">
        <v>3274</v>
      </c>
      <c r="G1473" s="10">
        <v>45177</v>
      </c>
      <c r="H1473">
        <v>42000</v>
      </c>
      <c r="I1473">
        <v>7000</v>
      </c>
      <c r="J1473" t="s">
        <v>163</v>
      </c>
      <c r="K1473">
        <v>5</v>
      </c>
      <c r="L1473" t="s">
        <v>35</v>
      </c>
      <c r="M1473" t="s">
        <v>27</v>
      </c>
    </row>
    <row r="1474" spans="1:13">
      <c r="A1474" t="s">
        <v>361</v>
      </c>
      <c r="B1474" t="s">
        <v>72</v>
      </c>
      <c r="C1474" t="s">
        <v>67</v>
      </c>
      <c r="D1474" t="s">
        <v>3275</v>
      </c>
      <c r="E1474">
        <v>1</v>
      </c>
      <c r="F1474" t="s">
        <v>3276</v>
      </c>
      <c r="G1474" s="10">
        <v>45202</v>
      </c>
      <c r="H1474">
        <v>45517.5</v>
      </c>
      <c r="I1474">
        <v>6351.5</v>
      </c>
      <c r="J1474" t="s">
        <v>75</v>
      </c>
      <c r="K1474">
        <v>5</v>
      </c>
      <c r="L1474" t="s">
        <v>35</v>
      </c>
      <c r="M1474" t="s">
        <v>29</v>
      </c>
    </row>
    <row r="1475" spans="1:13">
      <c r="A1475" t="s">
        <v>82</v>
      </c>
      <c r="B1475" t="s">
        <v>28</v>
      </c>
      <c r="C1475" t="s">
        <v>238</v>
      </c>
      <c r="D1475" t="s">
        <v>3277</v>
      </c>
      <c r="E1475">
        <v>2</v>
      </c>
      <c r="F1475" t="s">
        <v>3278</v>
      </c>
      <c r="G1475" s="10">
        <v>45232</v>
      </c>
      <c r="H1475">
        <v>212100</v>
      </c>
      <c r="I1475">
        <v>28767</v>
      </c>
      <c r="J1475" t="s">
        <v>834</v>
      </c>
      <c r="K1475">
        <v>5</v>
      </c>
      <c r="L1475" t="s">
        <v>37</v>
      </c>
      <c r="M1475" t="s">
        <v>25</v>
      </c>
    </row>
    <row r="1476" spans="1:13">
      <c r="A1476" t="s">
        <v>186</v>
      </c>
      <c r="B1476" t="s">
        <v>179</v>
      </c>
      <c r="C1476" t="s">
        <v>45</v>
      </c>
      <c r="D1476" t="s">
        <v>3279</v>
      </c>
      <c r="E1476">
        <v>4</v>
      </c>
      <c r="F1476" t="s">
        <v>3280</v>
      </c>
      <c r="G1476" s="10">
        <v>45182</v>
      </c>
      <c r="H1476">
        <v>265000</v>
      </c>
      <c r="I1476">
        <v>73334</v>
      </c>
      <c r="J1476" t="s">
        <v>714</v>
      </c>
      <c r="K1476">
        <v>5</v>
      </c>
      <c r="L1476" t="s">
        <v>44</v>
      </c>
      <c r="M1476" t="s">
        <v>45</v>
      </c>
    </row>
    <row r="1477" spans="1:13">
      <c r="A1477" t="s">
        <v>3281</v>
      </c>
      <c r="B1477" t="s">
        <v>123</v>
      </c>
      <c r="C1477" t="s">
        <v>98</v>
      </c>
      <c r="D1477" t="s">
        <v>3282</v>
      </c>
      <c r="E1477">
        <v>1</v>
      </c>
      <c r="F1477" t="s">
        <v>3283</v>
      </c>
      <c r="G1477" s="10">
        <v>45190</v>
      </c>
      <c r="H1477">
        <v>26775</v>
      </c>
      <c r="I1477">
        <v>6775</v>
      </c>
      <c r="J1477" t="s">
        <v>250</v>
      </c>
      <c r="K1477">
        <v>6</v>
      </c>
      <c r="L1477" t="s">
        <v>24</v>
      </c>
      <c r="M1477" t="s">
        <v>29</v>
      </c>
    </row>
    <row r="1478" spans="1:13">
      <c r="A1478" t="s">
        <v>3284</v>
      </c>
      <c r="B1478" t="s">
        <v>160</v>
      </c>
      <c r="C1478" t="s">
        <v>67</v>
      </c>
      <c r="D1478" t="s">
        <v>3285</v>
      </c>
      <c r="E1478">
        <v>1</v>
      </c>
      <c r="F1478" t="s">
        <v>3286</v>
      </c>
      <c r="G1478" s="10">
        <v>45194</v>
      </c>
      <c r="H1478">
        <v>26775</v>
      </c>
      <c r="I1478">
        <v>6775</v>
      </c>
      <c r="J1478" t="s">
        <v>2255</v>
      </c>
      <c r="K1478">
        <v>6</v>
      </c>
      <c r="L1478" t="s">
        <v>24</v>
      </c>
      <c r="M1478" t="s">
        <v>29</v>
      </c>
    </row>
    <row r="1479" spans="1:13">
      <c r="A1479" t="s">
        <v>2941</v>
      </c>
      <c r="B1479" t="s">
        <v>160</v>
      </c>
      <c r="C1479" t="s">
        <v>67</v>
      </c>
      <c r="D1479" t="s">
        <v>3287</v>
      </c>
      <c r="E1479">
        <v>2</v>
      </c>
      <c r="F1479" t="s">
        <v>3288</v>
      </c>
      <c r="G1479" s="10">
        <v>45181</v>
      </c>
      <c r="H1479">
        <v>17700</v>
      </c>
      <c r="I1479">
        <v>2700</v>
      </c>
      <c r="J1479" t="s">
        <v>193</v>
      </c>
      <c r="K1479">
        <v>6</v>
      </c>
      <c r="L1479" t="s">
        <v>35</v>
      </c>
      <c r="M1479" t="s">
        <v>27</v>
      </c>
    </row>
    <row r="1480" spans="1:13">
      <c r="A1480" t="s">
        <v>1029</v>
      </c>
      <c r="B1480" t="s">
        <v>1030</v>
      </c>
      <c r="C1480" t="s">
        <v>94</v>
      </c>
      <c r="D1480" t="s">
        <v>3289</v>
      </c>
      <c r="E1480">
        <v>2</v>
      </c>
      <c r="F1480" t="s">
        <v>3290</v>
      </c>
      <c r="G1480" s="10">
        <v>45181</v>
      </c>
      <c r="H1480">
        <v>100000</v>
      </c>
      <c r="I1480">
        <v>15000</v>
      </c>
      <c r="J1480" t="s">
        <v>227</v>
      </c>
      <c r="K1480">
        <v>6</v>
      </c>
      <c r="L1480" t="s">
        <v>41</v>
      </c>
      <c r="M1480" t="s">
        <v>42</v>
      </c>
    </row>
    <row r="1481" spans="1:13">
      <c r="A1481" t="s">
        <v>1658</v>
      </c>
      <c r="B1481" t="s">
        <v>160</v>
      </c>
      <c r="C1481" t="s">
        <v>67</v>
      </c>
      <c r="D1481" t="s">
        <v>3291</v>
      </c>
      <c r="E1481">
        <v>2</v>
      </c>
      <c r="F1481" t="s">
        <v>3292</v>
      </c>
      <c r="G1481" s="10">
        <v>45189</v>
      </c>
      <c r="H1481">
        <v>22420</v>
      </c>
      <c r="I1481">
        <v>3420</v>
      </c>
      <c r="J1481" t="s">
        <v>193</v>
      </c>
      <c r="K1481">
        <v>5</v>
      </c>
      <c r="L1481" t="s">
        <v>35</v>
      </c>
      <c r="M1481" t="s">
        <v>27</v>
      </c>
    </row>
    <row r="1482" spans="1:13">
      <c r="A1482" t="s">
        <v>1193</v>
      </c>
      <c r="B1482" t="s">
        <v>141</v>
      </c>
      <c r="C1482" t="s">
        <v>67</v>
      </c>
      <c r="D1482" t="s">
        <v>3293</v>
      </c>
      <c r="E1482">
        <v>4</v>
      </c>
      <c r="F1482" t="s">
        <v>3294</v>
      </c>
      <c r="G1482" s="10">
        <v>45180</v>
      </c>
      <c r="H1482">
        <v>1100</v>
      </c>
      <c r="I1482">
        <v>1034</v>
      </c>
      <c r="J1482" t="s">
        <v>2565</v>
      </c>
      <c r="K1482">
        <v>6</v>
      </c>
      <c r="L1482" t="s">
        <v>24</v>
      </c>
      <c r="M1482" t="s">
        <v>26</v>
      </c>
    </row>
    <row r="1483" spans="1:13">
      <c r="A1483" t="s">
        <v>140</v>
      </c>
      <c r="B1483" t="s">
        <v>141</v>
      </c>
      <c r="C1483" t="s">
        <v>67</v>
      </c>
      <c r="D1483" t="s">
        <v>3295</v>
      </c>
      <c r="E1483">
        <v>4</v>
      </c>
      <c r="F1483" t="s">
        <v>3296</v>
      </c>
      <c r="G1483" s="10">
        <v>45180</v>
      </c>
      <c r="H1483">
        <v>500</v>
      </c>
      <c r="I1483">
        <v>467</v>
      </c>
      <c r="J1483" t="s">
        <v>2565</v>
      </c>
      <c r="K1483">
        <v>6</v>
      </c>
      <c r="L1483" t="s">
        <v>24</v>
      </c>
      <c r="M1483" t="s">
        <v>26</v>
      </c>
    </row>
    <row r="1484" spans="1:13">
      <c r="A1484" t="s">
        <v>140</v>
      </c>
      <c r="B1484" t="s">
        <v>141</v>
      </c>
      <c r="C1484" t="s">
        <v>67</v>
      </c>
      <c r="D1484" t="s">
        <v>3297</v>
      </c>
      <c r="E1484">
        <v>4</v>
      </c>
      <c r="F1484" t="s">
        <v>3298</v>
      </c>
      <c r="G1484" s="10">
        <v>45180</v>
      </c>
      <c r="H1484">
        <v>832</v>
      </c>
      <c r="I1484">
        <v>774</v>
      </c>
      <c r="J1484" t="s">
        <v>2565</v>
      </c>
      <c r="K1484">
        <v>6</v>
      </c>
      <c r="L1484" t="s">
        <v>24</v>
      </c>
      <c r="M1484" t="s">
        <v>26</v>
      </c>
    </row>
    <row r="1485" spans="1:13">
      <c r="A1485" t="s">
        <v>2877</v>
      </c>
      <c r="B1485" t="s">
        <v>848</v>
      </c>
      <c r="C1485" t="s">
        <v>98</v>
      </c>
      <c r="D1485" t="s">
        <v>3299</v>
      </c>
      <c r="E1485">
        <v>1</v>
      </c>
      <c r="F1485" t="s">
        <v>3300</v>
      </c>
      <c r="G1485" s="10">
        <v>45194</v>
      </c>
      <c r="H1485">
        <v>26775</v>
      </c>
      <c r="I1485">
        <v>6775</v>
      </c>
      <c r="J1485" t="s">
        <v>250</v>
      </c>
      <c r="K1485">
        <v>6</v>
      </c>
      <c r="L1485" t="s">
        <v>24</v>
      </c>
      <c r="M1485" t="s">
        <v>29</v>
      </c>
    </row>
    <row r="1486" spans="1:13">
      <c r="A1486" t="s">
        <v>2654</v>
      </c>
      <c r="B1486" t="s">
        <v>52</v>
      </c>
      <c r="C1486" t="s">
        <v>741</v>
      </c>
      <c r="D1486" t="s">
        <v>3301</v>
      </c>
      <c r="E1486">
        <v>4</v>
      </c>
      <c r="F1486" t="s">
        <v>3302</v>
      </c>
      <c r="G1486" s="10">
        <v>45104</v>
      </c>
      <c r="H1486">
        <v>29900</v>
      </c>
      <c r="I1486">
        <v>8900</v>
      </c>
      <c r="J1486" t="s">
        <v>1573</v>
      </c>
      <c r="K1486">
        <v>6</v>
      </c>
      <c r="L1486" t="s">
        <v>44</v>
      </c>
      <c r="M1486" s="3" t="s">
        <v>46</v>
      </c>
    </row>
    <row r="1487" spans="1:13">
      <c r="A1487" t="s">
        <v>261</v>
      </c>
      <c r="B1487" t="s">
        <v>160</v>
      </c>
      <c r="C1487" t="s">
        <v>67</v>
      </c>
      <c r="D1487" t="s">
        <v>3303</v>
      </c>
      <c r="E1487">
        <v>2</v>
      </c>
      <c r="F1487" t="s">
        <v>3304</v>
      </c>
      <c r="G1487" s="10">
        <v>45182</v>
      </c>
      <c r="H1487">
        <v>42000</v>
      </c>
      <c r="I1487">
        <v>7000</v>
      </c>
      <c r="J1487" t="s">
        <v>163</v>
      </c>
      <c r="K1487">
        <v>5</v>
      </c>
      <c r="L1487" t="s">
        <v>35</v>
      </c>
      <c r="M1487" t="s">
        <v>27</v>
      </c>
    </row>
    <row r="1488" spans="1:13">
      <c r="A1488" t="s">
        <v>251</v>
      </c>
      <c r="B1488" t="s">
        <v>160</v>
      </c>
      <c r="C1488" t="s">
        <v>67</v>
      </c>
      <c r="D1488" t="s">
        <v>3305</v>
      </c>
      <c r="E1488">
        <v>2</v>
      </c>
      <c r="F1488" t="s">
        <v>3306</v>
      </c>
      <c r="G1488" s="10">
        <v>45182</v>
      </c>
      <c r="H1488">
        <v>32500</v>
      </c>
      <c r="I1488">
        <v>7500</v>
      </c>
      <c r="J1488" t="s">
        <v>193</v>
      </c>
      <c r="K1488">
        <v>5</v>
      </c>
      <c r="L1488" t="s">
        <v>35</v>
      </c>
      <c r="M1488" t="s">
        <v>27</v>
      </c>
    </row>
    <row r="1489" spans="1:13">
      <c r="A1489" t="s">
        <v>223</v>
      </c>
      <c r="B1489" t="s">
        <v>224</v>
      </c>
      <c r="C1489" t="s">
        <v>94</v>
      </c>
      <c r="D1489" t="s">
        <v>3307</v>
      </c>
      <c r="E1489">
        <v>2</v>
      </c>
      <c r="F1489" t="s">
        <v>3308</v>
      </c>
      <c r="G1489" s="10">
        <v>45183</v>
      </c>
      <c r="H1489">
        <v>37500</v>
      </c>
      <c r="I1489">
        <v>7500</v>
      </c>
      <c r="J1489" t="s">
        <v>227</v>
      </c>
      <c r="K1489">
        <v>6</v>
      </c>
      <c r="L1489" t="s">
        <v>41</v>
      </c>
      <c r="M1489" t="s">
        <v>42</v>
      </c>
    </row>
    <row r="1490" spans="1:13">
      <c r="A1490" t="s">
        <v>3309</v>
      </c>
      <c r="B1490" t="s">
        <v>52</v>
      </c>
      <c r="C1490" t="s">
        <v>741</v>
      </c>
      <c r="D1490" t="s">
        <v>3310</v>
      </c>
      <c r="E1490">
        <v>4</v>
      </c>
      <c r="F1490" t="s">
        <v>3311</v>
      </c>
      <c r="G1490" s="10">
        <v>45104</v>
      </c>
      <c r="H1490">
        <v>29900</v>
      </c>
      <c r="I1490">
        <v>5900</v>
      </c>
      <c r="J1490" t="s">
        <v>1573</v>
      </c>
      <c r="K1490">
        <v>6</v>
      </c>
      <c r="L1490" t="s">
        <v>44</v>
      </c>
      <c r="M1490" s="3" t="s">
        <v>46</v>
      </c>
    </row>
    <row r="1491" spans="1:13">
      <c r="A1491" t="s">
        <v>261</v>
      </c>
      <c r="B1491" t="s">
        <v>160</v>
      </c>
      <c r="C1491" t="s">
        <v>67</v>
      </c>
      <c r="D1491" t="s">
        <v>3312</v>
      </c>
      <c r="E1491">
        <v>1</v>
      </c>
      <c r="F1491" t="s">
        <v>3313</v>
      </c>
      <c r="G1491" s="10">
        <v>45182</v>
      </c>
      <c r="H1491">
        <v>42000</v>
      </c>
      <c r="I1491">
        <v>7000</v>
      </c>
      <c r="J1491" t="s">
        <v>163</v>
      </c>
      <c r="K1491">
        <v>5</v>
      </c>
      <c r="L1491" t="s">
        <v>35</v>
      </c>
      <c r="M1491" t="s">
        <v>27</v>
      </c>
    </row>
    <row r="1492" spans="1:13">
      <c r="A1492" t="s">
        <v>2488</v>
      </c>
      <c r="B1492" t="s">
        <v>916</v>
      </c>
      <c r="C1492" t="s">
        <v>741</v>
      </c>
      <c r="D1492" t="s">
        <v>3314</v>
      </c>
      <c r="E1492">
        <v>4</v>
      </c>
      <c r="F1492" t="s">
        <v>3315</v>
      </c>
      <c r="G1492" s="10">
        <v>45104</v>
      </c>
      <c r="H1492">
        <v>27300</v>
      </c>
      <c r="I1492">
        <v>7300</v>
      </c>
      <c r="J1492" t="s">
        <v>1573</v>
      </c>
      <c r="K1492">
        <v>6</v>
      </c>
      <c r="L1492" t="s">
        <v>44</v>
      </c>
      <c r="M1492" s="3" t="s">
        <v>46</v>
      </c>
    </row>
    <row r="1493" spans="1:13">
      <c r="A1493" t="s">
        <v>208</v>
      </c>
      <c r="B1493" t="s">
        <v>93</v>
      </c>
      <c r="C1493" t="s">
        <v>94</v>
      </c>
      <c r="D1493" t="s">
        <v>3316</v>
      </c>
      <c r="E1493">
        <v>2</v>
      </c>
      <c r="F1493" t="s">
        <v>3317</v>
      </c>
      <c r="G1493" s="10">
        <v>45189</v>
      </c>
      <c r="H1493">
        <v>145950</v>
      </c>
      <c r="I1493">
        <v>4284</v>
      </c>
      <c r="J1493" t="s">
        <v>97</v>
      </c>
      <c r="K1493">
        <v>5</v>
      </c>
      <c r="L1493" t="s">
        <v>41</v>
      </c>
      <c r="M1493" t="s">
        <v>42</v>
      </c>
    </row>
    <row r="1494" spans="1:13">
      <c r="A1494" t="s">
        <v>2877</v>
      </c>
      <c r="B1494" t="s">
        <v>848</v>
      </c>
      <c r="C1494" t="s">
        <v>98</v>
      </c>
      <c r="D1494" t="s">
        <v>3318</v>
      </c>
      <c r="E1494">
        <v>1</v>
      </c>
      <c r="F1494" t="s">
        <v>3319</v>
      </c>
      <c r="G1494" s="10">
        <v>45194</v>
      </c>
      <c r="H1494">
        <v>26775</v>
      </c>
      <c r="I1494">
        <v>6775</v>
      </c>
      <c r="J1494" t="s">
        <v>250</v>
      </c>
      <c r="K1494">
        <v>6</v>
      </c>
      <c r="L1494" t="s">
        <v>24</v>
      </c>
      <c r="M1494" t="s">
        <v>29</v>
      </c>
    </row>
    <row r="1495" spans="1:13">
      <c r="A1495" t="s">
        <v>361</v>
      </c>
      <c r="B1495" t="s">
        <v>72</v>
      </c>
      <c r="C1495" t="s">
        <v>67</v>
      </c>
      <c r="D1495" t="s">
        <v>3320</v>
      </c>
      <c r="E1495">
        <v>1</v>
      </c>
      <c r="F1495" t="s">
        <v>3321</v>
      </c>
      <c r="G1495" s="10">
        <v>45194</v>
      </c>
      <c r="H1495">
        <v>26775</v>
      </c>
      <c r="I1495">
        <v>6775</v>
      </c>
      <c r="J1495" t="s">
        <v>250</v>
      </c>
      <c r="K1495">
        <v>5</v>
      </c>
      <c r="L1495" t="s">
        <v>24</v>
      </c>
      <c r="M1495" t="s">
        <v>29</v>
      </c>
    </row>
    <row r="1496" spans="1:13">
      <c r="A1496" t="s">
        <v>602</v>
      </c>
      <c r="B1496" t="s">
        <v>224</v>
      </c>
      <c r="C1496" t="s">
        <v>94</v>
      </c>
      <c r="D1496" t="s">
        <v>3322</v>
      </c>
      <c r="E1496">
        <v>2</v>
      </c>
      <c r="F1496" t="s">
        <v>3323</v>
      </c>
      <c r="G1496" s="10">
        <v>45189</v>
      </c>
      <c r="H1496">
        <v>36000</v>
      </c>
      <c r="I1496">
        <v>6834</v>
      </c>
      <c r="J1496" t="s">
        <v>227</v>
      </c>
      <c r="K1496">
        <v>6</v>
      </c>
      <c r="L1496" t="s">
        <v>41</v>
      </c>
      <c r="M1496" t="s">
        <v>42</v>
      </c>
    </row>
    <row r="1497" spans="1:13">
      <c r="A1497" t="s">
        <v>431</v>
      </c>
      <c r="B1497" t="s">
        <v>160</v>
      </c>
      <c r="C1497" t="s">
        <v>67</v>
      </c>
      <c r="D1497" t="s">
        <v>3324</v>
      </c>
      <c r="E1497">
        <v>2</v>
      </c>
      <c r="F1497" t="s">
        <v>3325</v>
      </c>
      <c r="G1497" s="10">
        <v>45189</v>
      </c>
      <c r="H1497">
        <v>22420</v>
      </c>
      <c r="I1497">
        <v>3420</v>
      </c>
      <c r="J1497" t="s">
        <v>193</v>
      </c>
      <c r="K1497">
        <v>5</v>
      </c>
      <c r="L1497" t="s">
        <v>35</v>
      </c>
      <c r="M1497" t="s">
        <v>27</v>
      </c>
    </row>
    <row r="1498" spans="1:13">
      <c r="A1498" t="s">
        <v>3326</v>
      </c>
      <c r="B1498" t="s">
        <v>179</v>
      </c>
      <c r="C1498" t="s">
        <v>45</v>
      </c>
      <c r="D1498" t="s">
        <v>3327</v>
      </c>
      <c r="E1498">
        <v>2</v>
      </c>
      <c r="F1498" t="s">
        <v>3328</v>
      </c>
      <c r="G1498" s="10">
        <v>45188</v>
      </c>
      <c r="H1498">
        <v>98332.08</v>
      </c>
      <c r="I1498">
        <v>14999.08</v>
      </c>
      <c r="J1498" t="s">
        <v>2077</v>
      </c>
      <c r="K1498">
        <v>5</v>
      </c>
      <c r="L1498" t="s">
        <v>44</v>
      </c>
      <c r="M1498" t="s">
        <v>45</v>
      </c>
    </row>
    <row r="1499" spans="1:13">
      <c r="A1499" t="s">
        <v>915</v>
      </c>
      <c r="B1499" t="s">
        <v>916</v>
      </c>
      <c r="C1499" t="s">
        <v>741</v>
      </c>
      <c r="D1499" t="s">
        <v>3329</v>
      </c>
      <c r="E1499">
        <v>4</v>
      </c>
      <c r="F1499" t="s">
        <v>3330</v>
      </c>
      <c r="G1499" s="10">
        <v>45104</v>
      </c>
      <c r="H1499">
        <v>29025</v>
      </c>
      <c r="I1499">
        <v>7025</v>
      </c>
      <c r="J1499" t="s">
        <v>1573</v>
      </c>
      <c r="K1499">
        <v>6</v>
      </c>
      <c r="L1499" t="s">
        <v>44</v>
      </c>
      <c r="M1499" s="3" t="s">
        <v>46</v>
      </c>
    </row>
    <row r="1500" spans="1:13">
      <c r="A1500" t="s">
        <v>190</v>
      </c>
      <c r="B1500" t="s">
        <v>160</v>
      </c>
      <c r="C1500" t="s">
        <v>67</v>
      </c>
      <c r="D1500" t="s">
        <v>3331</v>
      </c>
      <c r="E1500">
        <v>2</v>
      </c>
      <c r="F1500" t="s">
        <v>3332</v>
      </c>
      <c r="G1500" s="10">
        <v>45187</v>
      </c>
      <c r="H1500">
        <v>48000</v>
      </c>
      <c r="I1500">
        <v>8000</v>
      </c>
      <c r="J1500" t="s">
        <v>163</v>
      </c>
      <c r="K1500">
        <v>6</v>
      </c>
      <c r="L1500" t="s">
        <v>35</v>
      </c>
      <c r="M1500" t="s">
        <v>27</v>
      </c>
    </row>
    <row r="1501" spans="1:13">
      <c r="A1501" t="s">
        <v>1772</v>
      </c>
      <c r="B1501" t="s">
        <v>1030</v>
      </c>
      <c r="C1501" t="s">
        <v>94</v>
      </c>
      <c r="D1501" t="s">
        <v>3333</v>
      </c>
      <c r="E1501">
        <v>2</v>
      </c>
      <c r="F1501" t="s">
        <v>3334</v>
      </c>
      <c r="G1501" s="10">
        <v>45190</v>
      </c>
      <c r="H1501">
        <v>58800</v>
      </c>
      <c r="I1501">
        <v>13800</v>
      </c>
      <c r="J1501" t="s">
        <v>1357</v>
      </c>
      <c r="K1501">
        <v>6</v>
      </c>
      <c r="L1501" t="s">
        <v>41</v>
      </c>
      <c r="M1501" t="s">
        <v>25</v>
      </c>
    </row>
    <row r="1502" spans="1:13">
      <c r="A1502" t="s">
        <v>76</v>
      </c>
      <c r="B1502" t="s">
        <v>72</v>
      </c>
      <c r="C1502" t="s">
        <v>67</v>
      </c>
      <c r="D1502" t="s">
        <v>3335</v>
      </c>
      <c r="E1502">
        <v>1</v>
      </c>
      <c r="F1502" t="s">
        <v>3336</v>
      </c>
      <c r="G1502" s="10">
        <v>45194</v>
      </c>
      <c r="H1502">
        <v>26775</v>
      </c>
      <c r="I1502">
        <v>6775</v>
      </c>
      <c r="J1502" t="s">
        <v>250</v>
      </c>
      <c r="K1502">
        <v>6</v>
      </c>
      <c r="L1502" t="s">
        <v>24</v>
      </c>
      <c r="M1502" t="s">
        <v>29</v>
      </c>
    </row>
    <row r="1503" spans="1:13">
      <c r="A1503" t="s">
        <v>190</v>
      </c>
      <c r="B1503" t="s">
        <v>160</v>
      </c>
      <c r="C1503" t="s">
        <v>67</v>
      </c>
      <c r="D1503" t="s">
        <v>3337</v>
      </c>
      <c r="E1503">
        <v>2</v>
      </c>
      <c r="F1503" t="s">
        <v>3338</v>
      </c>
      <c r="G1503" s="10">
        <v>45195</v>
      </c>
      <c r="H1503">
        <v>17700</v>
      </c>
      <c r="I1503">
        <v>2700</v>
      </c>
      <c r="J1503" t="s">
        <v>193</v>
      </c>
      <c r="K1503">
        <v>6</v>
      </c>
      <c r="L1503" t="s">
        <v>35</v>
      </c>
      <c r="M1503" t="s">
        <v>27</v>
      </c>
    </row>
    <row r="1504" spans="1:13">
      <c r="A1504" t="s">
        <v>190</v>
      </c>
      <c r="B1504" t="s">
        <v>160</v>
      </c>
      <c r="C1504" t="s">
        <v>67</v>
      </c>
      <c r="D1504" t="s">
        <v>3339</v>
      </c>
      <c r="E1504">
        <v>2</v>
      </c>
      <c r="F1504" t="s">
        <v>3340</v>
      </c>
      <c r="G1504" s="10">
        <v>45195</v>
      </c>
      <c r="H1504">
        <v>17700</v>
      </c>
      <c r="I1504">
        <v>2700</v>
      </c>
      <c r="J1504" t="s">
        <v>193</v>
      </c>
      <c r="K1504">
        <v>6</v>
      </c>
      <c r="L1504" t="s">
        <v>35</v>
      </c>
      <c r="M1504" t="s">
        <v>27</v>
      </c>
    </row>
    <row r="1505" spans="1:13">
      <c r="A1505" t="s">
        <v>1092</v>
      </c>
      <c r="B1505" t="s">
        <v>123</v>
      </c>
      <c r="C1505" t="s">
        <v>146</v>
      </c>
      <c r="D1505" t="s">
        <v>3341</v>
      </c>
      <c r="E1505">
        <v>4</v>
      </c>
      <c r="F1505" t="s">
        <v>3342</v>
      </c>
      <c r="G1505" s="10">
        <v>45196</v>
      </c>
      <c r="H1505">
        <v>800</v>
      </c>
      <c r="I1505">
        <v>747</v>
      </c>
      <c r="J1505" t="s">
        <v>2565</v>
      </c>
      <c r="K1505">
        <v>6</v>
      </c>
      <c r="L1505" t="s">
        <v>24</v>
      </c>
      <c r="M1505" t="s">
        <v>26</v>
      </c>
    </row>
    <row r="1506" spans="1:13">
      <c r="A1506" t="s">
        <v>190</v>
      </c>
      <c r="B1506" t="s">
        <v>160</v>
      </c>
      <c r="C1506" t="s">
        <v>67</v>
      </c>
      <c r="D1506" t="s">
        <v>3343</v>
      </c>
      <c r="E1506">
        <v>2</v>
      </c>
      <c r="F1506" t="s">
        <v>3344</v>
      </c>
      <c r="G1506" s="10">
        <v>45191</v>
      </c>
      <c r="H1506">
        <v>48000</v>
      </c>
      <c r="I1506">
        <v>8000</v>
      </c>
      <c r="J1506" t="s">
        <v>163</v>
      </c>
      <c r="K1506">
        <v>5</v>
      </c>
      <c r="L1506" t="s">
        <v>35</v>
      </c>
      <c r="M1506" t="s">
        <v>27</v>
      </c>
    </row>
    <row r="1507" spans="1:13">
      <c r="A1507" t="s">
        <v>117</v>
      </c>
      <c r="B1507" t="s">
        <v>118</v>
      </c>
      <c r="C1507" t="s">
        <v>98</v>
      </c>
      <c r="D1507" t="s">
        <v>3345</v>
      </c>
      <c r="E1507">
        <v>1</v>
      </c>
      <c r="F1507" t="s">
        <v>3346</v>
      </c>
      <c r="G1507" s="10">
        <v>45187</v>
      </c>
      <c r="H1507">
        <v>338916.26</v>
      </c>
      <c r="I1507">
        <v>38916.26</v>
      </c>
      <c r="J1507" t="s">
        <v>121</v>
      </c>
      <c r="K1507">
        <v>5</v>
      </c>
      <c r="L1507" t="s">
        <v>24</v>
      </c>
      <c r="M1507" t="s">
        <v>30</v>
      </c>
    </row>
    <row r="1508" spans="1:13">
      <c r="A1508" t="s">
        <v>3182</v>
      </c>
      <c r="B1508" t="s">
        <v>123</v>
      </c>
      <c r="C1508" t="s">
        <v>146</v>
      </c>
      <c r="D1508" t="s">
        <v>3347</v>
      </c>
      <c r="E1508">
        <v>4</v>
      </c>
      <c r="F1508" t="s">
        <v>3348</v>
      </c>
      <c r="G1508" s="10">
        <v>45208</v>
      </c>
      <c r="H1508">
        <v>500</v>
      </c>
      <c r="I1508">
        <v>467</v>
      </c>
      <c r="J1508" t="s">
        <v>2565</v>
      </c>
      <c r="K1508">
        <v>6</v>
      </c>
      <c r="L1508" t="s">
        <v>24</v>
      </c>
      <c r="M1508" t="s">
        <v>26</v>
      </c>
    </row>
    <row r="1509" spans="1:13">
      <c r="A1509" t="s">
        <v>915</v>
      </c>
      <c r="B1509" t="s">
        <v>916</v>
      </c>
      <c r="C1509" t="s">
        <v>741</v>
      </c>
      <c r="D1509" t="s">
        <v>3349</v>
      </c>
      <c r="E1509">
        <v>4</v>
      </c>
      <c r="F1509" t="s">
        <v>3350</v>
      </c>
      <c r="G1509" s="10">
        <v>45104</v>
      </c>
      <c r="H1509">
        <v>28350</v>
      </c>
      <c r="I1509">
        <v>7350</v>
      </c>
      <c r="J1509" t="s">
        <v>1573</v>
      </c>
      <c r="K1509">
        <v>6</v>
      </c>
      <c r="L1509" t="s">
        <v>44</v>
      </c>
      <c r="M1509" s="3" t="s">
        <v>46</v>
      </c>
    </row>
    <row r="1510" spans="1:13">
      <c r="A1510" t="s">
        <v>159</v>
      </c>
      <c r="B1510" t="s">
        <v>160</v>
      </c>
      <c r="C1510" t="s">
        <v>67</v>
      </c>
      <c r="D1510" t="s">
        <v>3351</v>
      </c>
      <c r="E1510">
        <v>2</v>
      </c>
      <c r="F1510" t="s">
        <v>3352</v>
      </c>
      <c r="G1510" s="10">
        <v>45187</v>
      </c>
      <c r="H1510">
        <v>29500</v>
      </c>
      <c r="I1510">
        <v>4500</v>
      </c>
      <c r="J1510" t="s">
        <v>193</v>
      </c>
      <c r="K1510">
        <v>5</v>
      </c>
      <c r="L1510" t="s">
        <v>35</v>
      </c>
      <c r="M1510" t="s">
        <v>27</v>
      </c>
    </row>
    <row r="1511" spans="1:13">
      <c r="A1511" t="s">
        <v>2877</v>
      </c>
      <c r="B1511" t="s">
        <v>848</v>
      </c>
      <c r="C1511" t="s">
        <v>98</v>
      </c>
      <c r="D1511" t="s">
        <v>3353</v>
      </c>
      <c r="E1511">
        <v>1</v>
      </c>
      <c r="F1511" t="s">
        <v>3354</v>
      </c>
      <c r="G1511" s="10">
        <v>45194</v>
      </c>
      <c r="H1511">
        <v>26775</v>
      </c>
      <c r="I1511">
        <v>6775</v>
      </c>
      <c r="J1511" t="s">
        <v>250</v>
      </c>
      <c r="K1511">
        <v>6</v>
      </c>
      <c r="L1511" t="s">
        <v>24</v>
      </c>
      <c r="M1511" t="s">
        <v>29</v>
      </c>
    </row>
    <row r="1512" spans="1:13">
      <c r="A1512" t="s">
        <v>2877</v>
      </c>
      <c r="B1512" t="s">
        <v>848</v>
      </c>
      <c r="C1512" t="s">
        <v>98</v>
      </c>
      <c r="D1512" t="s">
        <v>3355</v>
      </c>
      <c r="E1512">
        <v>1</v>
      </c>
      <c r="F1512" t="s">
        <v>3356</v>
      </c>
      <c r="G1512" s="10">
        <v>45194</v>
      </c>
      <c r="H1512">
        <v>26775</v>
      </c>
      <c r="I1512">
        <v>6775</v>
      </c>
      <c r="J1512" t="s">
        <v>250</v>
      </c>
      <c r="K1512">
        <v>6</v>
      </c>
      <c r="L1512" t="s">
        <v>24</v>
      </c>
      <c r="M1512" t="s">
        <v>29</v>
      </c>
    </row>
    <row r="1513" spans="1:13">
      <c r="A1513" t="s">
        <v>491</v>
      </c>
      <c r="B1513" t="s">
        <v>93</v>
      </c>
      <c r="C1513" t="s">
        <v>94</v>
      </c>
      <c r="D1513" t="s">
        <v>3357</v>
      </c>
      <c r="E1513">
        <v>2</v>
      </c>
      <c r="F1513" t="s">
        <v>3358</v>
      </c>
      <c r="G1513" s="10">
        <v>45226</v>
      </c>
      <c r="H1513">
        <v>151200</v>
      </c>
      <c r="I1513">
        <v>34534</v>
      </c>
      <c r="J1513" t="s">
        <v>97</v>
      </c>
      <c r="K1513">
        <v>5</v>
      </c>
      <c r="L1513" t="s">
        <v>41</v>
      </c>
      <c r="M1513" t="s">
        <v>42</v>
      </c>
    </row>
    <row r="1514" spans="1:13">
      <c r="A1514" t="s">
        <v>522</v>
      </c>
      <c r="B1514" t="s">
        <v>72</v>
      </c>
      <c r="C1514" t="s">
        <v>67</v>
      </c>
      <c r="D1514" t="s">
        <v>3359</v>
      </c>
      <c r="E1514">
        <v>1</v>
      </c>
      <c r="F1514" t="s">
        <v>3360</v>
      </c>
      <c r="G1514" s="10">
        <v>45194</v>
      </c>
      <c r="H1514">
        <v>26775</v>
      </c>
      <c r="I1514">
        <v>6775</v>
      </c>
      <c r="J1514" t="s">
        <v>250</v>
      </c>
      <c r="K1514">
        <v>6</v>
      </c>
      <c r="L1514" t="s">
        <v>24</v>
      </c>
      <c r="M1514" t="s">
        <v>29</v>
      </c>
    </row>
    <row r="1515" spans="1:13">
      <c r="A1515" t="s">
        <v>76</v>
      </c>
      <c r="B1515" t="s">
        <v>72</v>
      </c>
      <c r="C1515" t="s">
        <v>67</v>
      </c>
      <c r="D1515" t="s">
        <v>3361</v>
      </c>
      <c r="E1515">
        <v>1</v>
      </c>
      <c r="F1515" t="s">
        <v>3362</v>
      </c>
      <c r="G1515" s="10">
        <v>45202</v>
      </c>
      <c r="H1515">
        <v>45517</v>
      </c>
      <c r="I1515">
        <v>6350.33</v>
      </c>
      <c r="J1515" t="s">
        <v>75</v>
      </c>
      <c r="K1515">
        <v>6</v>
      </c>
      <c r="L1515" t="s">
        <v>35</v>
      </c>
      <c r="M1515" t="s">
        <v>29</v>
      </c>
    </row>
    <row r="1516" spans="1:13">
      <c r="A1516" t="s">
        <v>251</v>
      </c>
      <c r="B1516" t="s">
        <v>160</v>
      </c>
      <c r="C1516" t="s">
        <v>67</v>
      </c>
      <c r="D1516" t="s">
        <v>3363</v>
      </c>
      <c r="E1516">
        <v>2</v>
      </c>
      <c r="F1516" t="s">
        <v>3364</v>
      </c>
      <c r="G1516" s="10">
        <v>45187</v>
      </c>
      <c r="H1516">
        <v>22420</v>
      </c>
      <c r="I1516">
        <v>3420</v>
      </c>
      <c r="J1516" t="s">
        <v>193</v>
      </c>
      <c r="K1516">
        <v>5</v>
      </c>
      <c r="L1516" t="s">
        <v>35</v>
      </c>
      <c r="M1516" t="s">
        <v>27</v>
      </c>
    </row>
    <row r="1517" spans="1:13">
      <c r="A1517" t="s">
        <v>275</v>
      </c>
      <c r="B1517" t="s">
        <v>160</v>
      </c>
      <c r="C1517" t="s">
        <v>67</v>
      </c>
      <c r="D1517" t="s">
        <v>3365</v>
      </c>
      <c r="E1517">
        <v>2</v>
      </c>
      <c r="F1517" t="s">
        <v>3366</v>
      </c>
      <c r="G1517" s="10">
        <v>45191</v>
      </c>
      <c r="H1517">
        <v>32500</v>
      </c>
      <c r="I1517">
        <v>7500</v>
      </c>
      <c r="J1517" t="s">
        <v>163</v>
      </c>
      <c r="K1517">
        <v>5</v>
      </c>
      <c r="L1517" t="s">
        <v>35</v>
      </c>
      <c r="M1517" t="s">
        <v>27</v>
      </c>
    </row>
    <row r="1518" spans="1:13">
      <c r="A1518" t="s">
        <v>275</v>
      </c>
      <c r="B1518" t="s">
        <v>160</v>
      </c>
      <c r="C1518" t="s">
        <v>67</v>
      </c>
      <c r="D1518" t="s">
        <v>3367</v>
      </c>
      <c r="E1518">
        <v>2</v>
      </c>
      <c r="F1518" t="s">
        <v>3368</v>
      </c>
      <c r="G1518" s="10">
        <v>45194</v>
      </c>
      <c r="H1518">
        <v>48000</v>
      </c>
      <c r="I1518">
        <v>8000</v>
      </c>
      <c r="J1518" t="s">
        <v>163</v>
      </c>
      <c r="K1518">
        <v>6</v>
      </c>
      <c r="L1518" t="s">
        <v>35</v>
      </c>
      <c r="M1518" t="s">
        <v>27</v>
      </c>
    </row>
    <row r="1519" spans="1:13">
      <c r="A1519" t="s">
        <v>2321</v>
      </c>
      <c r="B1519" t="s">
        <v>916</v>
      </c>
      <c r="C1519" t="s">
        <v>51</v>
      </c>
      <c r="D1519" t="s">
        <v>3369</v>
      </c>
      <c r="E1519">
        <v>4</v>
      </c>
      <c r="F1519" t="s">
        <v>3370</v>
      </c>
      <c r="G1519" s="10">
        <v>45189</v>
      </c>
      <c r="H1519">
        <v>800</v>
      </c>
      <c r="I1519">
        <v>745</v>
      </c>
      <c r="J1519" t="s">
        <v>3193</v>
      </c>
      <c r="K1519">
        <v>6</v>
      </c>
      <c r="L1519" t="s">
        <v>52</v>
      </c>
      <c r="M1519" t="s">
        <v>26</v>
      </c>
    </row>
    <row r="1520" spans="1:13">
      <c r="A1520" t="s">
        <v>741</v>
      </c>
      <c r="B1520" t="s">
        <v>46</v>
      </c>
      <c r="C1520" t="s">
        <v>741</v>
      </c>
      <c r="D1520" t="s">
        <v>3371</v>
      </c>
      <c r="E1520">
        <v>4</v>
      </c>
      <c r="F1520" t="s">
        <v>3372</v>
      </c>
      <c r="G1520" s="10">
        <v>45105</v>
      </c>
      <c r="H1520">
        <v>27000</v>
      </c>
      <c r="I1520">
        <v>7000</v>
      </c>
      <c r="J1520" t="s">
        <v>1573</v>
      </c>
      <c r="K1520">
        <v>6</v>
      </c>
      <c r="L1520" t="s">
        <v>44</v>
      </c>
      <c r="M1520" s="3" t="s">
        <v>46</v>
      </c>
    </row>
    <row r="1521" spans="1:13">
      <c r="A1521" t="s">
        <v>214</v>
      </c>
      <c r="B1521" t="s">
        <v>215</v>
      </c>
      <c r="C1521" t="s">
        <v>94</v>
      </c>
      <c r="D1521" t="s">
        <v>3373</v>
      </c>
      <c r="E1521">
        <v>2</v>
      </c>
      <c r="F1521" t="s">
        <v>3374</v>
      </c>
      <c r="G1521" s="10">
        <v>45195</v>
      </c>
      <c r="H1521">
        <v>160000</v>
      </c>
      <c r="I1521">
        <v>26667</v>
      </c>
      <c r="J1521" t="s">
        <v>227</v>
      </c>
      <c r="K1521">
        <v>6</v>
      </c>
      <c r="L1521" t="s">
        <v>41</v>
      </c>
      <c r="M1521" t="s">
        <v>42</v>
      </c>
    </row>
    <row r="1522" spans="1:13">
      <c r="A1522" t="s">
        <v>628</v>
      </c>
      <c r="B1522" t="s">
        <v>66</v>
      </c>
      <c r="C1522" t="s">
        <v>67</v>
      </c>
      <c r="D1522" t="s">
        <v>3375</v>
      </c>
      <c r="E1522">
        <v>2</v>
      </c>
      <c r="F1522" t="s">
        <v>3376</v>
      </c>
      <c r="G1522" s="10">
        <v>45191</v>
      </c>
      <c r="H1522">
        <v>48000</v>
      </c>
      <c r="I1522">
        <v>8000</v>
      </c>
      <c r="J1522" t="s">
        <v>163</v>
      </c>
      <c r="K1522">
        <v>5</v>
      </c>
      <c r="L1522" t="s">
        <v>35</v>
      </c>
      <c r="M1522" t="s">
        <v>27</v>
      </c>
    </row>
    <row r="1523" spans="1:13">
      <c r="A1523" t="s">
        <v>319</v>
      </c>
      <c r="B1523" t="s">
        <v>179</v>
      </c>
      <c r="C1523" t="s">
        <v>45</v>
      </c>
      <c r="D1523" t="s">
        <v>3377</v>
      </c>
      <c r="E1523">
        <v>2</v>
      </c>
      <c r="F1523" t="s">
        <v>3378</v>
      </c>
      <c r="G1523" s="10">
        <v>45198</v>
      </c>
      <c r="H1523">
        <v>535162.54</v>
      </c>
      <c r="I1523">
        <v>126829.54</v>
      </c>
      <c r="J1523" t="s">
        <v>322</v>
      </c>
      <c r="K1523">
        <v>5</v>
      </c>
      <c r="L1523" t="s">
        <v>44</v>
      </c>
      <c r="M1523" t="s">
        <v>45</v>
      </c>
    </row>
    <row r="1524" spans="1:13">
      <c r="A1524" t="s">
        <v>140</v>
      </c>
      <c r="B1524" t="s">
        <v>141</v>
      </c>
      <c r="C1524" t="s">
        <v>67</v>
      </c>
      <c r="D1524" t="s">
        <v>3379</v>
      </c>
      <c r="E1524">
        <v>2</v>
      </c>
      <c r="F1524" t="s">
        <v>3380</v>
      </c>
      <c r="G1524" s="10">
        <v>45198</v>
      </c>
      <c r="H1524">
        <v>110000</v>
      </c>
      <c r="I1524">
        <v>33000</v>
      </c>
      <c r="J1524" t="s">
        <v>3381</v>
      </c>
      <c r="K1524">
        <v>5</v>
      </c>
      <c r="L1524" t="s">
        <v>24</v>
      </c>
      <c r="M1524" t="s">
        <v>32</v>
      </c>
    </row>
    <row r="1525" spans="1:13">
      <c r="A1525" t="s">
        <v>235</v>
      </c>
      <c r="B1525" t="s">
        <v>215</v>
      </c>
      <c r="C1525" t="s">
        <v>94</v>
      </c>
      <c r="D1525" t="s">
        <v>3382</v>
      </c>
      <c r="E1525">
        <v>2</v>
      </c>
      <c r="F1525" t="s">
        <v>3383</v>
      </c>
      <c r="G1525" s="10">
        <v>45191</v>
      </c>
      <c r="H1525">
        <v>130000</v>
      </c>
      <c r="I1525">
        <v>46667</v>
      </c>
      <c r="J1525" t="s">
        <v>227</v>
      </c>
      <c r="K1525">
        <v>5</v>
      </c>
      <c r="L1525" t="s">
        <v>41</v>
      </c>
      <c r="M1525" t="s">
        <v>42</v>
      </c>
    </row>
    <row r="1526" spans="1:13">
      <c r="A1526" t="s">
        <v>1193</v>
      </c>
      <c r="B1526" t="s">
        <v>141</v>
      </c>
      <c r="C1526" t="s">
        <v>67</v>
      </c>
      <c r="D1526" t="s">
        <v>3384</v>
      </c>
      <c r="E1526">
        <v>2</v>
      </c>
      <c r="F1526" t="s">
        <v>3385</v>
      </c>
      <c r="G1526" s="10">
        <v>45196</v>
      </c>
      <c r="H1526">
        <v>39530</v>
      </c>
      <c r="I1526">
        <v>6030</v>
      </c>
      <c r="J1526" t="s">
        <v>193</v>
      </c>
      <c r="K1526">
        <v>5</v>
      </c>
      <c r="L1526" t="s">
        <v>35</v>
      </c>
      <c r="M1526" t="s">
        <v>27</v>
      </c>
    </row>
    <row r="1527" spans="1:13">
      <c r="A1527" t="s">
        <v>1193</v>
      </c>
      <c r="B1527" t="s">
        <v>141</v>
      </c>
      <c r="C1527" t="s">
        <v>67</v>
      </c>
      <c r="D1527" t="s">
        <v>3386</v>
      </c>
      <c r="E1527">
        <v>1</v>
      </c>
      <c r="F1527" t="s">
        <v>3387</v>
      </c>
      <c r="G1527" s="10">
        <v>45194</v>
      </c>
      <c r="H1527">
        <v>26775</v>
      </c>
      <c r="I1527">
        <v>6775</v>
      </c>
      <c r="J1527" t="s">
        <v>250</v>
      </c>
      <c r="K1527">
        <v>6</v>
      </c>
      <c r="L1527" t="s">
        <v>24</v>
      </c>
      <c r="M1527" t="s">
        <v>29</v>
      </c>
    </row>
    <row r="1528" spans="1:13">
      <c r="A1528" t="s">
        <v>140</v>
      </c>
      <c r="B1528" t="s">
        <v>141</v>
      </c>
      <c r="C1528" t="s">
        <v>67</v>
      </c>
      <c r="D1528" t="s">
        <v>3388</v>
      </c>
      <c r="E1528">
        <v>1</v>
      </c>
      <c r="F1528" t="s">
        <v>3389</v>
      </c>
      <c r="G1528" s="10">
        <v>45194</v>
      </c>
      <c r="H1528">
        <v>26775</v>
      </c>
      <c r="I1528">
        <v>6775</v>
      </c>
      <c r="J1528" t="s">
        <v>250</v>
      </c>
      <c r="K1528">
        <v>5</v>
      </c>
      <c r="L1528" t="s">
        <v>24</v>
      </c>
      <c r="M1528" t="s">
        <v>29</v>
      </c>
    </row>
    <row r="1529" spans="1:13">
      <c r="A1529" t="s">
        <v>140</v>
      </c>
      <c r="B1529" t="s">
        <v>141</v>
      </c>
      <c r="C1529" t="s">
        <v>67</v>
      </c>
      <c r="D1529" t="s">
        <v>3390</v>
      </c>
      <c r="E1529">
        <v>1</v>
      </c>
      <c r="F1529" t="s">
        <v>3391</v>
      </c>
      <c r="G1529" s="10">
        <v>45194</v>
      </c>
      <c r="H1529">
        <v>26775</v>
      </c>
      <c r="I1529">
        <v>6775</v>
      </c>
      <c r="J1529" t="s">
        <v>250</v>
      </c>
      <c r="K1529">
        <v>6</v>
      </c>
      <c r="L1529" t="s">
        <v>24</v>
      </c>
      <c r="M1529" t="s">
        <v>29</v>
      </c>
    </row>
    <row r="1530" spans="1:13">
      <c r="A1530" t="s">
        <v>522</v>
      </c>
      <c r="B1530" t="s">
        <v>72</v>
      </c>
      <c r="C1530" t="s">
        <v>67</v>
      </c>
      <c r="D1530" t="s">
        <v>3392</v>
      </c>
      <c r="E1530">
        <v>1</v>
      </c>
      <c r="F1530" t="s">
        <v>3393</v>
      </c>
      <c r="G1530" s="10">
        <v>45194</v>
      </c>
      <c r="H1530">
        <v>26775</v>
      </c>
      <c r="I1530">
        <v>6775</v>
      </c>
      <c r="J1530" t="s">
        <v>250</v>
      </c>
      <c r="K1530">
        <v>5</v>
      </c>
      <c r="L1530" t="s">
        <v>24</v>
      </c>
      <c r="M1530" t="s">
        <v>29</v>
      </c>
    </row>
    <row r="1531" spans="1:13">
      <c r="A1531" t="s">
        <v>1983</v>
      </c>
      <c r="B1531" t="s">
        <v>179</v>
      </c>
      <c r="C1531" t="s">
        <v>45</v>
      </c>
      <c r="D1531" t="s">
        <v>3394</v>
      </c>
      <c r="E1531">
        <v>1</v>
      </c>
      <c r="F1531" t="s">
        <v>3395</v>
      </c>
      <c r="G1531" s="10">
        <v>45194</v>
      </c>
      <c r="H1531">
        <v>436800</v>
      </c>
      <c r="I1531">
        <v>107634</v>
      </c>
      <c r="J1531" t="s">
        <v>189</v>
      </c>
      <c r="K1531">
        <v>6</v>
      </c>
      <c r="L1531" t="s">
        <v>44</v>
      </c>
      <c r="M1531" t="s">
        <v>45</v>
      </c>
    </row>
    <row r="1532" spans="1:13">
      <c r="A1532" t="s">
        <v>190</v>
      </c>
      <c r="B1532" t="s">
        <v>160</v>
      </c>
      <c r="C1532" t="s">
        <v>67</v>
      </c>
      <c r="D1532" t="s">
        <v>3396</v>
      </c>
      <c r="E1532">
        <v>2</v>
      </c>
      <c r="F1532" t="s">
        <v>3397</v>
      </c>
      <c r="G1532" s="10">
        <v>45196</v>
      </c>
      <c r="H1532">
        <v>21889</v>
      </c>
      <c r="I1532">
        <v>3339</v>
      </c>
      <c r="J1532" t="s">
        <v>193</v>
      </c>
      <c r="K1532">
        <v>5</v>
      </c>
      <c r="L1532" t="s">
        <v>35</v>
      </c>
      <c r="M1532" t="s">
        <v>27</v>
      </c>
    </row>
    <row r="1533" spans="1:13">
      <c r="A1533" t="s">
        <v>261</v>
      </c>
      <c r="B1533" t="s">
        <v>160</v>
      </c>
      <c r="C1533" t="s">
        <v>67</v>
      </c>
      <c r="D1533" t="s">
        <v>3398</v>
      </c>
      <c r="E1533">
        <v>1</v>
      </c>
      <c r="F1533" t="s">
        <v>3399</v>
      </c>
      <c r="G1533" s="10">
        <v>45194</v>
      </c>
      <c r="H1533">
        <v>26775</v>
      </c>
      <c r="I1533">
        <v>6775</v>
      </c>
      <c r="J1533" t="s">
        <v>2255</v>
      </c>
      <c r="K1533">
        <v>6</v>
      </c>
      <c r="L1533" t="s">
        <v>24</v>
      </c>
      <c r="M1533" t="s">
        <v>29</v>
      </c>
    </row>
    <row r="1534" spans="1:13">
      <c r="A1534" t="s">
        <v>3182</v>
      </c>
      <c r="B1534" t="s">
        <v>123</v>
      </c>
      <c r="C1534" t="s">
        <v>146</v>
      </c>
      <c r="D1534" t="s">
        <v>3400</v>
      </c>
      <c r="E1534">
        <v>1</v>
      </c>
      <c r="F1534" t="s">
        <v>3401</v>
      </c>
      <c r="G1534" s="10">
        <v>45204</v>
      </c>
      <c r="H1534">
        <v>67200</v>
      </c>
      <c r="I1534">
        <v>8867</v>
      </c>
      <c r="J1534" t="s">
        <v>834</v>
      </c>
      <c r="K1534">
        <v>5</v>
      </c>
      <c r="L1534" t="s">
        <v>37</v>
      </c>
      <c r="M1534" t="s">
        <v>25</v>
      </c>
    </row>
    <row r="1535" spans="1:13">
      <c r="A1535" t="s">
        <v>491</v>
      </c>
      <c r="B1535" t="s">
        <v>93</v>
      </c>
      <c r="C1535" t="s">
        <v>94</v>
      </c>
      <c r="D1535" t="s">
        <v>3402</v>
      </c>
      <c r="E1535">
        <v>7</v>
      </c>
      <c r="F1535" t="s">
        <v>3403</v>
      </c>
      <c r="G1535" s="10">
        <v>45194</v>
      </c>
      <c r="H1535">
        <v>93046.8</v>
      </c>
      <c r="I1535">
        <v>4006.8</v>
      </c>
      <c r="J1535" t="s">
        <v>313</v>
      </c>
      <c r="K1535">
        <v>5</v>
      </c>
      <c r="L1535" t="s">
        <v>41</v>
      </c>
      <c r="M1535" t="s">
        <v>42</v>
      </c>
    </row>
    <row r="1536" spans="1:13">
      <c r="A1536" t="s">
        <v>140</v>
      </c>
      <c r="B1536" t="s">
        <v>141</v>
      </c>
      <c r="C1536" t="s">
        <v>67</v>
      </c>
      <c r="D1536" t="s">
        <v>3404</v>
      </c>
      <c r="E1536">
        <v>1</v>
      </c>
      <c r="F1536" t="s">
        <v>3405</v>
      </c>
      <c r="G1536" s="10">
        <v>45194</v>
      </c>
      <c r="H1536">
        <v>26775</v>
      </c>
      <c r="I1536">
        <v>6775</v>
      </c>
      <c r="J1536" t="s">
        <v>250</v>
      </c>
      <c r="K1536">
        <v>6</v>
      </c>
      <c r="L1536" t="s">
        <v>24</v>
      </c>
      <c r="M1536" t="s">
        <v>29</v>
      </c>
    </row>
    <row r="1537" spans="1:13">
      <c r="A1537" t="s">
        <v>431</v>
      </c>
      <c r="B1537" t="s">
        <v>160</v>
      </c>
      <c r="C1537" t="s">
        <v>67</v>
      </c>
      <c r="D1537" t="s">
        <v>3406</v>
      </c>
      <c r="E1537">
        <v>2</v>
      </c>
      <c r="F1537" t="s">
        <v>3407</v>
      </c>
      <c r="G1537" s="10">
        <v>45197</v>
      </c>
      <c r="H1537">
        <v>22420</v>
      </c>
      <c r="I1537">
        <v>3420</v>
      </c>
      <c r="J1537" t="s">
        <v>193</v>
      </c>
      <c r="K1537">
        <v>5</v>
      </c>
      <c r="L1537" t="s">
        <v>35</v>
      </c>
      <c r="M1537" t="s">
        <v>27</v>
      </c>
    </row>
    <row r="1538" spans="1:13">
      <c r="A1538" t="s">
        <v>431</v>
      </c>
      <c r="B1538" t="s">
        <v>160</v>
      </c>
      <c r="C1538" t="s">
        <v>67</v>
      </c>
      <c r="D1538" t="s">
        <v>3408</v>
      </c>
      <c r="E1538">
        <v>2</v>
      </c>
      <c r="F1538" t="s">
        <v>3409</v>
      </c>
      <c r="G1538" s="10">
        <v>45197</v>
      </c>
      <c r="H1538">
        <v>32500</v>
      </c>
      <c r="I1538">
        <v>7500</v>
      </c>
      <c r="J1538" t="s">
        <v>193</v>
      </c>
      <c r="K1538">
        <v>5</v>
      </c>
      <c r="L1538" t="s">
        <v>35</v>
      </c>
      <c r="M1538" t="s">
        <v>27</v>
      </c>
    </row>
    <row r="1539" spans="1:13">
      <c r="A1539" t="s">
        <v>361</v>
      </c>
      <c r="B1539" t="s">
        <v>72</v>
      </c>
      <c r="C1539" t="s">
        <v>67</v>
      </c>
      <c r="D1539" t="s">
        <v>3410</v>
      </c>
      <c r="E1539">
        <v>1</v>
      </c>
      <c r="F1539" t="s">
        <v>3411</v>
      </c>
      <c r="G1539" s="10">
        <v>45202</v>
      </c>
      <c r="H1539">
        <v>26775</v>
      </c>
      <c r="I1539">
        <v>6775</v>
      </c>
      <c r="J1539" t="s">
        <v>250</v>
      </c>
      <c r="K1539">
        <v>6</v>
      </c>
      <c r="L1539" t="s">
        <v>24</v>
      </c>
      <c r="M1539" t="s">
        <v>29</v>
      </c>
    </row>
    <row r="1540" spans="1:13">
      <c r="A1540" t="s">
        <v>361</v>
      </c>
      <c r="B1540" t="s">
        <v>72</v>
      </c>
      <c r="C1540" t="s">
        <v>67</v>
      </c>
      <c r="D1540" t="s">
        <v>3412</v>
      </c>
      <c r="E1540">
        <v>1</v>
      </c>
      <c r="F1540" t="s">
        <v>3413</v>
      </c>
      <c r="G1540" s="10">
        <v>45194</v>
      </c>
      <c r="H1540">
        <v>26775</v>
      </c>
      <c r="I1540">
        <v>6775</v>
      </c>
      <c r="J1540" t="s">
        <v>250</v>
      </c>
      <c r="K1540">
        <v>6</v>
      </c>
      <c r="L1540" t="s">
        <v>24</v>
      </c>
      <c r="M1540" t="s">
        <v>29</v>
      </c>
    </row>
    <row r="1541" spans="1:13">
      <c r="A1541" t="s">
        <v>361</v>
      </c>
      <c r="B1541" t="s">
        <v>72</v>
      </c>
      <c r="C1541" t="s">
        <v>67</v>
      </c>
      <c r="D1541" t="s">
        <v>3414</v>
      </c>
      <c r="E1541">
        <v>1</v>
      </c>
      <c r="F1541" t="s">
        <v>3415</v>
      </c>
      <c r="G1541" s="10">
        <v>45194</v>
      </c>
      <c r="H1541">
        <v>26775</v>
      </c>
      <c r="I1541">
        <v>6775</v>
      </c>
      <c r="J1541" t="s">
        <v>250</v>
      </c>
      <c r="K1541">
        <v>6</v>
      </c>
      <c r="L1541" t="s">
        <v>24</v>
      </c>
      <c r="M1541" t="s">
        <v>29</v>
      </c>
    </row>
    <row r="1542" spans="1:13">
      <c r="A1542" t="s">
        <v>361</v>
      </c>
      <c r="B1542" t="s">
        <v>72</v>
      </c>
      <c r="C1542" t="s">
        <v>67</v>
      </c>
      <c r="D1542" t="s">
        <v>3416</v>
      </c>
      <c r="E1542">
        <v>1</v>
      </c>
      <c r="F1542" t="s">
        <v>3417</v>
      </c>
      <c r="G1542" s="10">
        <v>45194</v>
      </c>
      <c r="H1542">
        <v>26775</v>
      </c>
      <c r="I1542">
        <v>6775</v>
      </c>
      <c r="J1542" t="s">
        <v>250</v>
      </c>
      <c r="K1542">
        <v>6</v>
      </c>
      <c r="L1542" t="s">
        <v>24</v>
      </c>
      <c r="M1542" t="s">
        <v>29</v>
      </c>
    </row>
    <row r="1543" spans="1:13">
      <c r="A1543" t="s">
        <v>361</v>
      </c>
      <c r="B1543" t="s">
        <v>72</v>
      </c>
      <c r="C1543" t="s">
        <v>67</v>
      </c>
      <c r="D1543" t="s">
        <v>3418</v>
      </c>
      <c r="E1543">
        <v>1</v>
      </c>
      <c r="F1543" t="s">
        <v>3419</v>
      </c>
      <c r="G1543" s="10">
        <v>45194</v>
      </c>
      <c r="H1543">
        <v>26775</v>
      </c>
      <c r="I1543">
        <v>6775</v>
      </c>
      <c r="J1543" t="s">
        <v>250</v>
      </c>
      <c r="K1543">
        <v>6</v>
      </c>
      <c r="L1543" t="s">
        <v>24</v>
      </c>
      <c r="M1543" t="s">
        <v>29</v>
      </c>
    </row>
    <row r="1544" spans="1:13">
      <c r="A1544" t="s">
        <v>197</v>
      </c>
      <c r="B1544" t="s">
        <v>160</v>
      </c>
      <c r="C1544" t="s">
        <v>67</v>
      </c>
      <c r="D1544" t="s">
        <v>3420</v>
      </c>
      <c r="E1544">
        <v>1</v>
      </c>
      <c r="F1544" t="s">
        <v>3421</v>
      </c>
      <c r="G1544" s="10">
        <v>45202</v>
      </c>
      <c r="H1544">
        <v>26775</v>
      </c>
      <c r="I1544">
        <v>6775</v>
      </c>
      <c r="J1544" t="s">
        <v>250</v>
      </c>
      <c r="K1544">
        <v>6</v>
      </c>
      <c r="L1544" t="s">
        <v>24</v>
      </c>
      <c r="M1544" t="s">
        <v>29</v>
      </c>
    </row>
    <row r="1545" spans="1:13">
      <c r="A1545" t="s">
        <v>915</v>
      </c>
      <c r="B1545" t="s">
        <v>916</v>
      </c>
      <c r="C1545" t="s">
        <v>741</v>
      </c>
      <c r="D1545" t="s">
        <v>3422</v>
      </c>
      <c r="E1545">
        <v>4</v>
      </c>
      <c r="F1545" t="s">
        <v>3423</v>
      </c>
      <c r="G1545" s="10">
        <v>45107</v>
      </c>
      <c r="H1545">
        <v>29700</v>
      </c>
      <c r="I1545">
        <v>7700</v>
      </c>
      <c r="J1545" t="s">
        <v>1573</v>
      </c>
      <c r="K1545">
        <v>6</v>
      </c>
      <c r="L1545" t="s">
        <v>44</v>
      </c>
      <c r="M1545" s="3" t="s">
        <v>46</v>
      </c>
    </row>
    <row r="1546" spans="1:13">
      <c r="A1546" t="s">
        <v>3424</v>
      </c>
      <c r="B1546" t="s">
        <v>179</v>
      </c>
      <c r="C1546" t="s">
        <v>45</v>
      </c>
      <c r="D1546" t="s">
        <v>3425</v>
      </c>
      <c r="E1546">
        <v>2</v>
      </c>
      <c r="F1546" t="s">
        <v>3426</v>
      </c>
      <c r="G1546" s="10">
        <v>45198</v>
      </c>
      <c r="H1546">
        <v>192000</v>
      </c>
      <c r="I1546">
        <v>50334</v>
      </c>
      <c r="J1546" t="s">
        <v>714</v>
      </c>
      <c r="K1546">
        <v>5</v>
      </c>
      <c r="L1546" t="s">
        <v>44</v>
      </c>
      <c r="M1546" t="s">
        <v>45</v>
      </c>
    </row>
    <row r="1547" spans="1:13">
      <c r="A1547" t="s">
        <v>65</v>
      </c>
      <c r="B1547" t="s">
        <v>66</v>
      </c>
      <c r="C1547" t="s">
        <v>67</v>
      </c>
      <c r="D1547" t="s">
        <v>3427</v>
      </c>
      <c r="E1547">
        <v>6</v>
      </c>
      <c r="F1547" t="s">
        <v>3428</v>
      </c>
      <c r="G1547" s="10">
        <v>45195</v>
      </c>
      <c r="H1547">
        <v>34375</v>
      </c>
      <c r="I1547">
        <v>6875</v>
      </c>
      <c r="J1547" t="s">
        <v>70</v>
      </c>
      <c r="K1547">
        <v>5</v>
      </c>
      <c r="L1547" t="s">
        <v>35</v>
      </c>
      <c r="M1547" t="s">
        <v>36</v>
      </c>
    </row>
    <row r="1548" spans="1:13">
      <c r="A1548" t="s">
        <v>1868</v>
      </c>
      <c r="B1548" t="s">
        <v>66</v>
      </c>
      <c r="C1548" t="s">
        <v>67</v>
      </c>
      <c r="D1548" t="s">
        <v>3429</v>
      </c>
      <c r="E1548">
        <v>6</v>
      </c>
      <c r="F1548" t="s">
        <v>3430</v>
      </c>
      <c r="G1548" s="10">
        <v>45195</v>
      </c>
      <c r="H1548">
        <v>34375</v>
      </c>
      <c r="I1548">
        <v>6875</v>
      </c>
      <c r="J1548" t="s">
        <v>70</v>
      </c>
      <c r="K1548">
        <v>6</v>
      </c>
      <c r="L1548" t="s">
        <v>35</v>
      </c>
      <c r="M1548" t="s">
        <v>36</v>
      </c>
    </row>
    <row r="1549" spans="1:13">
      <c r="A1549" t="s">
        <v>628</v>
      </c>
      <c r="B1549" t="s">
        <v>66</v>
      </c>
      <c r="C1549" t="s">
        <v>67</v>
      </c>
      <c r="D1549" t="s">
        <v>3431</v>
      </c>
      <c r="E1549">
        <v>6</v>
      </c>
      <c r="F1549" t="s">
        <v>3432</v>
      </c>
      <c r="G1549" s="10">
        <v>45195</v>
      </c>
      <c r="H1549">
        <v>34375</v>
      </c>
      <c r="I1549">
        <v>6875</v>
      </c>
      <c r="J1549" t="s">
        <v>70</v>
      </c>
      <c r="K1549">
        <v>5</v>
      </c>
      <c r="L1549" t="s">
        <v>35</v>
      </c>
      <c r="M1549" t="s">
        <v>36</v>
      </c>
    </row>
    <row r="1550" spans="1:13">
      <c r="A1550" t="s">
        <v>65</v>
      </c>
      <c r="B1550" t="s">
        <v>66</v>
      </c>
      <c r="C1550" t="s">
        <v>67</v>
      </c>
      <c r="D1550" t="s">
        <v>3433</v>
      </c>
      <c r="E1550">
        <v>6</v>
      </c>
      <c r="F1550" t="s">
        <v>3434</v>
      </c>
      <c r="G1550" s="10">
        <v>45195</v>
      </c>
      <c r="H1550">
        <v>34375</v>
      </c>
      <c r="I1550">
        <v>6875</v>
      </c>
      <c r="J1550" t="s">
        <v>70</v>
      </c>
      <c r="K1550">
        <v>5</v>
      </c>
      <c r="L1550" t="s">
        <v>35</v>
      </c>
      <c r="M1550" t="s">
        <v>36</v>
      </c>
    </row>
    <row r="1551" spans="1:13">
      <c r="A1551" t="s">
        <v>1193</v>
      </c>
      <c r="B1551" t="s">
        <v>141</v>
      </c>
      <c r="C1551" t="s">
        <v>67</v>
      </c>
      <c r="D1551" t="s">
        <v>3435</v>
      </c>
      <c r="E1551">
        <v>1</v>
      </c>
      <c r="F1551" t="s">
        <v>3436</v>
      </c>
      <c r="G1551" s="10">
        <v>45194</v>
      </c>
      <c r="H1551">
        <v>26775</v>
      </c>
      <c r="I1551">
        <v>6775</v>
      </c>
      <c r="J1551" t="s">
        <v>250</v>
      </c>
      <c r="K1551">
        <v>6</v>
      </c>
      <c r="L1551" t="s">
        <v>24</v>
      </c>
      <c r="M1551" t="s">
        <v>29</v>
      </c>
    </row>
    <row r="1552" spans="1:13">
      <c r="A1552" t="s">
        <v>1193</v>
      </c>
      <c r="B1552" t="s">
        <v>141</v>
      </c>
      <c r="C1552" t="s">
        <v>67</v>
      </c>
      <c r="D1552" t="s">
        <v>3437</v>
      </c>
      <c r="E1552">
        <v>1</v>
      </c>
      <c r="F1552" t="s">
        <v>3438</v>
      </c>
      <c r="G1552" s="10">
        <v>45194</v>
      </c>
      <c r="H1552">
        <v>26775</v>
      </c>
      <c r="I1552">
        <v>6775</v>
      </c>
      <c r="J1552" t="s">
        <v>250</v>
      </c>
      <c r="K1552">
        <v>5</v>
      </c>
      <c r="L1552" t="s">
        <v>24</v>
      </c>
      <c r="M1552" t="s">
        <v>29</v>
      </c>
    </row>
    <row r="1553" spans="1:13">
      <c r="A1553" t="s">
        <v>71</v>
      </c>
      <c r="B1553" t="s">
        <v>72</v>
      </c>
      <c r="C1553" t="s">
        <v>67</v>
      </c>
      <c r="D1553" t="s">
        <v>3439</v>
      </c>
      <c r="E1553">
        <v>1</v>
      </c>
      <c r="F1553" t="s">
        <v>3440</v>
      </c>
      <c r="G1553" s="10">
        <v>45194</v>
      </c>
      <c r="H1553">
        <v>26775</v>
      </c>
      <c r="I1553">
        <v>6775</v>
      </c>
      <c r="J1553" t="s">
        <v>250</v>
      </c>
      <c r="K1553">
        <v>6</v>
      </c>
      <c r="L1553" t="s">
        <v>24</v>
      </c>
      <c r="M1553" t="s">
        <v>29</v>
      </c>
    </row>
    <row r="1554" spans="1:13">
      <c r="A1554" t="s">
        <v>1817</v>
      </c>
      <c r="B1554" t="s">
        <v>224</v>
      </c>
      <c r="C1554" t="s">
        <v>94</v>
      </c>
      <c r="D1554" t="s">
        <v>3441</v>
      </c>
      <c r="E1554">
        <v>2</v>
      </c>
      <c r="F1554" t="s">
        <v>3442</v>
      </c>
      <c r="G1554" s="10">
        <v>45210</v>
      </c>
      <c r="H1554">
        <v>135000</v>
      </c>
      <c r="I1554">
        <v>10000</v>
      </c>
      <c r="J1554" t="s">
        <v>227</v>
      </c>
      <c r="K1554">
        <v>5</v>
      </c>
      <c r="L1554" t="s">
        <v>41</v>
      </c>
      <c r="M1554" t="s">
        <v>42</v>
      </c>
    </row>
    <row r="1555" spans="1:13">
      <c r="A1555" t="s">
        <v>71</v>
      </c>
      <c r="B1555" t="s">
        <v>72</v>
      </c>
      <c r="C1555" t="s">
        <v>67</v>
      </c>
      <c r="D1555" t="s">
        <v>3443</v>
      </c>
      <c r="E1555">
        <v>1</v>
      </c>
      <c r="F1555" t="s">
        <v>3444</v>
      </c>
      <c r="G1555" s="10">
        <v>45194</v>
      </c>
      <c r="H1555">
        <v>26775</v>
      </c>
      <c r="I1555">
        <v>6775</v>
      </c>
      <c r="J1555" t="s">
        <v>250</v>
      </c>
      <c r="K1555">
        <v>6</v>
      </c>
      <c r="L1555" t="s">
        <v>24</v>
      </c>
      <c r="M1555" t="s">
        <v>29</v>
      </c>
    </row>
    <row r="1556" spans="1:13">
      <c r="A1556" t="s">
        <v>197</v>
      </c>
      <c r="B1556" t="s">
        <v>160</v>
      </c>
      <c r="C1556" t="s">
        <v>67</v>
      </c>
      <c r="D1556" t="s">
        <v>3445</v>
      </c>
      <c r="E1556">
        <v>2</v>
      </c>
      <c r="F1556" t="s">
        <v>3446</v>
      </c>
      <c r="G1556" s="10">
        <v>45197</v>
      </c>
      <c r="H1556">
        <v>21889</v>
      </c>
      <c r="I1556">
        <v>3339</v>
      </c>
      <c r="J1556" t="s">
        <v>193</v>
      </c>
      <c r="K1556">
        <v>5</v>
      </c>
      <c r="L1556" t="s">
        <v>35</v>
      </c>
      <c r="M1556" t="s">
        <v>27</v>
      </c>
    </row>
    <row r="1557" spans="1:13">
      <c r="A1557" t="s">
        <v>197</v>
      </c>
      <c r="B1557" t="s">
        <v>160</v>
      </c>
      <c r="C1557" t="s">
        <v>67</v>
      </c>
      <c r="D1557" t="s">
        <v>3447</v>
      </c>
      <c r="E1557">
        <v>2</v>
      </c>
      <c r="F1557" t="s">
        <v>3448</v>
      </c>
      <c r="G1557" s="10">
        <v>45198</v>
      </c>
      <c r="H1557">
        <v>21889</v>
      </c>
      <c r="I1557">
        <v>3339</v>
      </c>
      <c r="J1557" t="s">
        <v>193</v>
      </c>
      <c r="K1557">
        <v>5</v>
      </c>
      <c r="L1557" t="s">
        <v>35</v>
      </c>
      <c r="M1557" t="s">
        <v>27</v>
      </c>
    </row>
    <row r="1558" spans="1:13">
      <c r="A1558" t="s">
        <v>197</v>
      </c>
      <c r="B1558" t="s">
        <v>160</v>
      </c>
      <c r="C1558" t="s">
        <v>67</v>
      </c>
      <c r="D1558" t="s">
        <v>3449</v>
      </c>
      <c r="E1558">
        <v>2</v>
      </c>
      <c r="F1558" t="s">
        <v>3450</v>
      </c>
      <c r="G1558" s="10">
        <v>45196</v>
      </c>
      <c r="H1558">
        <v>21889</v>
      </c>
      <c r="I1558">
        <v>3339</v>
      </c>
      <c r="J1558" t="s">
        <v>193</v>
      </c>
      <c r="K1558">
        <v>5</v>
      </c>
      <c r="L1558" t="s">
        <v>35</v>
      </c>
      <c r="M1558" t="s">
        <v>27</v>
      </c>
    </row>
    <row r="1559" spans="1:13">
      <c r="A1559" t="s">
        <v>190</v>
      </c>
      <c r="B1559" t="s">
        <v>160</v>
      </c>
      <c r="C1559" t="s">
        <v>67</v>
      </c>
      <c r="D1559" t="s">
        <v>3451</v>
      </c>
      <c r="E1559">
        <v>2</v>
      </c>
      <c r="F1559" t="s">
        <v>3452</v>
      </c>
      <c r="G1559" s="10">
        <v>45196</v>
      </c>
      <c r="H1559">
        <v>22420</v>
      </c>
      <c r="I1559">
        <v>3420</v>
      </c>
      <c r="J1559" t="s">
        <v>193</v>
      </c>
      <c r="K1559">
        <v>6</v>
      </c>
      <c r="L1559" t="s">
        <v>35</v>
      </c>
      <c r="M1559" t="s">
        <v>27</v>
      </c>
    </row>
    <row r="1560" spans="1:13">
      <c r="A1560" t="s">
        <v>376</v>
      </c>
      <c r="B1560" t="s">
        <v>66</v>
      </c>
      <c r="C1560" t="s">
        <v>67</v>
      </c>
      <c r="D1560" t="s">
        <v>3453</v>
      </c>
      <c r="E1560">
        <v>6</v>
      </c>
      <c r="F1560" t="s">
        <v>3454</v>
      </c>
      <c r="G1560" s="10">
        <v>45195</v>
      </c>
      <c r="H1560">
        <v>34375</v>
      </c>
      <c r="I1560">
        <v>6875</v>
      </c>
      <c r="J1560" t="s">
        <v>70</v>
      </c>
      <c r="K1560">
        <v>5</v>
      </c>
      <c r="L1560" t="s">
        <v>35</v>
      </c>
      <c r="M1560" t="s">
        <v>36</v>
      </c>
    </row>
    <row r="1561" spans="1:13">
      <c r="A1561" t="s">
        <v>1193</v>
      </c>
      <c r="B1561" t="s">
        <v>141</v>
      </c>
      <c r="C1561" t="s">
        <v>67</v>
      </c>
      <c r="D1561" t="s">
        <v>3455</v>
      </c>
      <c r="E1561">
        <v>1</v>
      </c>
      <c r="F1561" t="s">
        <v>3456</v>
      </c>
      <c r="G1561" s="10">
        <v>45202</v>
      </c>
      <c r="H1561">
        <v>52500</v>
      </c>
      <c r="I1561">
        <v>15000</v>
      </c>
      <c r="J1561" t="s">
        <v>144</v>
      </c>
      <c r="K1561">
        <v>6</v>
      </c>
      <c r="L1561" t="s">
        <v>38</v>
      </c>
      <c r="M1561" t="s">
        <v>25</v>
      </c>
    </row>
    <row r="1562" spans="1:13">
      <c r="A1562" t="s">
        <v>1193</v>
      </c>
      <c r="B1562" t="s">
        <v>141</v>
      </c>
      <c r="C1562" t="s">
        <v>67</v>
      </c>
      <c r="D1562" t="s">
        <v>3457</v>
      </c>
      <c r="E1562">
        <v>2</v>
      </c>
      <c r="F1562" t="s">
        <v>3458</v>
      </c>
      <c r="G1562" s="10">
        <v>45198</v>
      </c>
      <c r="H1562">
        <v>53100</v>
      </c>
      <c r="I1562">
        <v>8100</v>
      </c>
      <c r="J1562" t="s">
        <v>193</v>
      </c>
      <c r="K1562">
        <v>5</v>
      </c>
      <c r="L1562" t="s">
        <v>35</v>
      </c>
      <c r="M1562" t="s">
        <v>27</v>
      </c>
    </row>
    <row r="1563" spans="1:13">
      <c r="A1563" t="s">
        <v>3284</v>
      </c>
      <c r="B1563" t="s">
        <v>160</v>
      </c>
      <c r="C1563" t="s">
        <v>67</v>
      </c>
      <c r="D1563" t="s">
        <v>3459</v>
      </c>
      <c r="E1563">
        <v>1</v>
      </c>
      <c r="F1563" t="s">
        <v>3460</v>
      </c>
      <c r="G1563" s="10">
        <v>45194</v>
      </c>
      <c r="H1563">
        <v>26775</v>
      </c>
      <c r="I1563">
        <v>6775</v>
      </c>
      <c r="J1563" t="s">
        <v>2255</v>
      </c>
      <c r="K1563">
        <v>5</v>
      </c>
      <c r="L1563" t="s">
        <v>24</v>
      </c>
      <c r="M1563" t="s">
        <v>29</v>
      </c>
    </row>
    <row r="1564" spans="1:13">
      <c r="A1564" t="s">
        <v>628</v>
      </c>
      <c r="B1564" t="s">
        <v>66</v>
      </c>
      <c r="C1564" t="s">
        <v>67</v>
      </c>
      <c r="D1564" t="s">
        <v>3461</v>
      </c>
      <c r="E1564">
        <v>6</v>
      </c>
      <c r="F1564" t="s">
        <v>3462</v>
      </c>
      <c r="G1564" s="10">
        <v>45195</v>
      </c>
      <c r="H1564">
        <v>50000</v>
      </c>
      <c r="I1564">
        <v>8334</v>
      </c>
      <c r="J1564" t="s">
        <v>70</v>
      </c>
      <c r="K1564">
        <v>6</v>
      </c>
      <c r="L1564" t="s">
        <v>35</v>
      </c>
      <c r="M1564" t="s">
        <v>36</v>
      </c>
    </row>
    <row r="1565" spans="1:13">
      <c r="A1565" t="s">
        <v>223</v>
      </c>
      <c r="B1565" t="s">
        <v>224</v>
      </c>
      <c r="C1565" t="s">
        <v>94</v>
      </c>
      <c r="D1565" t="s">
        <v>3463</v>
      </c>
      <c r="E1565">
        <v>2</v>
      </c>
      <c r="F1565" t="s">
        <v>3464</v>
      </c>
      <c r="G1565" s="10">
        <v>45215</v>
      </c>
      <c r="H1565">
        <v>37000</v>
      </c>
      <c r="I1565">
        <v>7000</v>
      </c>
      <c r="J1565" t="s">
        <v>227</v>
      </c>
      <c r="K1565">
        <v>5</v>
      </c>
      <c r="L1565" t="s">
        <v>41</v>
      </c>
      <c r="M1565" t="s">
        <v>42</v>
      </c>
    </row>
    <row r="1566" spans="1:13">
      <c r="A1566" t="s">
        <v>256</v>
      </c>
      <c r="B1566" t="s">
        <v>160</v>
      </c>
      <c r="C1566" t="s">
        <v>67</v>
      </c>
      <c r="D1566" t="s">
        <v>3465</v>
      </c>
      <c r="E1566">
        <v>1</v>
      </c>
      <c r="F1566" t="s">
        <v>3466</v>
      </c>
      <c r="G1566" s="10">
        <v>45194</v>
      </c>
      <c r="H1566">
        <v>26775</v>
      </c>
      <c r="I1566">
        <v>6775</v>
      </c>
      <c r="J1566" t="s">
        <v>2255</v>
      </c>
      <c r="K1566">
        <v>6</v>
      </c>
      <c r="L1566" t="s">
        <v>24</v>
      </c>
      <c r="M1566" t="s">
        <v>29</v>
      </c>
    </row>
    <row r="1567" spans="1:13">
      <c r="A1567" t="s">
        <v>76</v>
      </c>
      <c r="B1567" t="s">
        <v>72</v>
      </c>
      <c r="C1567" t="s">
        <v>67</v>
      </c>
      <c r="D1567" t="s">
        <v>3467</v>
      </c>
      <c r="E1567">
        <v>1</v>
      </c>
      <c r="F1567" t="s">
        <v>3468</v>
      </c>
      <c r="G1567" s="10">
        <v>45194</v>
      </c>
      <c r="H1567">
        <v>26775</v>
      </c>
      <c r="I1567">
        <v>6775</v>
      </c>
      <c r="J1567" t="s">
        <v>250</v>
      </c>
      <c r="K1567">
        <v>6</v>
      </c>
      <c r="L1567" t="s">
        <v>24</v>
      </c>
      <c r="M1567" t="s">
        <v>29</v>
      </c>
    </row>
    <row r="1568" spans="1:13">
      <c r="A1568" t="s">
        <v>71</v>
      </c>
      <c r="B1568" t="s">
        <v>72</v>
      </c>
      <c r="C1568" t="s">
        <v>67</v>
      </c>
      <c r="D1568" t="s">
        <v>3469</v>
      </c>
      <c r="E1568">
        <v>1</v>
      </c>
      <c r="F1568" t="s">
        <v>3470</v>
      </c>
      <c r="G1568" s="10">
        <v>45194</v>
      </c>
      <c r="H1568">
        <v>26775</v>
      </c>
      <c r="I1568">
        <v>6775</v>
      </c>
      <c r="J1568" t="s">
        <v>250</v>
      </c>
      <c r="K1568">
        <v>6</v>
      </c>
      <c r="L1568" t="s">
        <v>24</v>
      </c>
      <c r="M1568" t="s">
        <v>29</v>
      </c>
    </row>
    <row r="1569" spans="1:13">
      <c r="A1569" t="s">
        <v>136</v>
      </c>
      <c r="B1569" t="s">
        <v>117</v>
      </c>
      <c r="C1569" t="s">
        <v>137</v>
      </c>
      <c r="D1569" t="s">
        <v>3471</v>
      </c>
      <c r="E1569">
        <v>1</v>
      </c>
      <c r="F1569" t="s">
        <v>3472</v>
      </c>
      <c r="G1569" s="10">
        <v>45203</v>
      </c>
      <c r="H1569">
        <v>236453.2</v>
      </c>
      <c r="I1569">
        <v>69787.199999999997</v>
      </c>
      <c r="J1569" t="s">
        <v>121</v>
      </c>
      <c r="K1569">
        <v>6</v>
      </c>
      <c r="L1569" t="s">
        <v>24</v>
      </c>
      <c r="M1569" t="s">
        <v>30</v>
      </c>
    </row>
    <row r="1570" spans="1:13">
      <c r="A1570" t="s">
        <v>1658</v>
      </c>
      <c r="B1570" t="s">
        <v>160</v>
      </c>
      <c r="C1570" t="s">
        <v>67</v>
      </c>
      <c r="D1570" t="s">
        <v>3473</v>
      </c>
      <c r="E1570">
        <v>1</v>
      </c>
      <c r="F1570" t="s">
        <v>3474</v>
      </c>
      <c r="G1570" s="10">
        <v>45194</v>
      </c>
      <c r="H1570">
        <v>26775</v>
      </c>
      <c r="I1570">
        <v>6775</v>
      </c>
      <c r="J1570" t="s">
        <v>250</v>
      </c>
      <c r="K1570">
        <v>6</v>
      </c>
      <c r="L1570" t="s">
        <v>24</v>
      </c>
      <c r="M1570" t="s">
        <v>29</v>
      </c>
    </row>
    <row r="1571" spans="1:13">
      <c r="A1571" t="s">
        <v>71</v>
      </c>
      <c r="B1571" t="s">
        <v>72</v>
      </c>
      <c r="C1571" t="s">
        <v>67</v>
      </c>
      <c r="D1571" t="s">
        <v>3475</v>
      </c>
      <c r="E1571">
        <v>1</v>
      </c>
      <c r="F1571" t="s">
        <v>3476</v>
      </c>
      <c r="G1571" s="10">
        <v>45194</v>
      </c>
      <c r="H1571">
        <v>26775</v>
      </c>
      <c r="I1571">
        <v>6775</v>
      </c>
      <c r="J1571" t="s">
        <v>250</v>
      </c>
      <c r="K1571">
        <v>5</v>
      </c>
      <c r="L1571" t="s">
        <v>24</v>
      </c>
      <c r="M1571" t="s">
        <v>29</v>
      </c>
    </row>
    <row r="1572" spans="1:13">
      <c r="A1572" t="s">
        <v>527</v>
      </c>
      <c r="B1572" t="s">
        <v>93</v>
      </c>
      <c r="C1572" t="s">
        <v>94</v>
      </c>
      <c r="D1572" t="s">
        <v>3477</v>
      </c>
      <c r="E1572">
        <v>2</v>
      </c>
      <c r="F1572" t="s">
        <v>3478</v>
      </c>
      <c r="G1572" s="10">
        <v>45196</v>
      </c>
      <c r="H1572">
        <v>136500</v>
      </c>
      <c r="I1572">
        <v>44834</v>
      </c>
      <c r="J1572" t="s">
        <v>97</v>
      </c>
      <c r="K1572">
        <v>6</v>
      </c>
      <c r="L1572" t="s">
        <v>41</v>
      </c>
      <c r="M1572" t="s">
        <v>42</v>
      </c>
    </row>
    <row r="1573" spans="1:13">
      <c r="A1573" t="s">
        <v>261</v>
      </c>
      <c r="B1573" t="s">
        <v>160</v>
      </c>
      <c r="C1573" t="s">
        <v>67</v>
      </c>
      <c r="D1573" t="s">
        <v>3479</v>
      </c>
      <c r="E1573">
        <v>2</v>
      </c>
      <c r="F1573" t="s">
        <v>3480</v>
      </c>
      <c r="G1573" s="10">
        <v>45197</v>
      </c>
      <c r="H1573">
        <v>22420</v>
      </c>
      <c r="I1573">
        <v>3420</v>
      </c>
      <c r="J1573" t="s">
        <v>193</v>
      </c>
      <c r="K1573">
        <v>6</v>
      </c>
      <c r="L1573" t="s">
        <v>35</v>
      </c>
      <c r="M1573" t="s">
        <v>27</v>
      </c>
    </row>
    <row r="1574" spans="1:13">
      <c r="A1574" t="s">
        <v>261</v>
      </c>
      <c r="B1574" t="s">
        <v>160</v>
      </c>
      <c r="C1574" t="s">
        <v>67</v>
      </c>
      <c r="D1574" t="s">
        <v>3481</v>
      </c>
      <c r="E1574">
        <v>2</v>
      </c>
      <c r="F1574" t="s">
        <v>3482</v>
      </c>
      <c r="G1574" s="10">
        <v>45196</v>
      </c>
      <c r="H1574">
        <v>32500</v>
      </c>
      <c r="I1574">
        <v>7500</v>
      </c>
      <c r="J1574" t="s">
        <v>163</v>
      </c>
      <c r="K1574">
        <v>5</v>
      </c>
      <c r="L1574" t="s">
        <v>35</v>
      </c>
      <c r="M1574" t="s">
        <v>27</v>
      </c>
    </row>
    <row r="1575" spans="1:13">
      <c r="A1575" t="s">
        <v>251</v>
      </c>
      <c r="B1575" t="s">
        <v>160</v>
      </c>
      <c r="C1575" t="s">
        <v>67</v>
      </c>
      <c r="D1575" t="s">
        <v>3483</v>
      </c>
      <c r="E1575">
        <v>2</v>
      </c>
      <c r="F1575" t="s">
        <v>3484</v>
      </c>
      <c r="G1575" s="10">
        <v>45196</v>
      </c>
      <c r="H1575">
        <v>22420</v>
      </c>
      <c r="I1575">
        <v>3420</v>
      </c>
      <c r="J1575" t="s">
        <v>193</v>
      </c>
      <c r="K1575">
        <v>5</v>
      </c>
      <c r="L1575" t="s">
        <v>35</v>
      </c>
      <c r="M1575" t="s">
        <v>27</v>
      </c>
    </row>
    <row r="1576" spans="1:13">
      <c r="A1576" t="s">
        <v>1772</v>
      </c>
      <c r="B1576" t="s">
        <v>1030</v>
      </c>
      <c r="C1576" t="s">
        <v>94</v>
      </c>
      <c r="D1576" t="s">
        <v>3485</v>
      </c>
      <c r="E1576">
        <v>2</v>
      </c>
      <c r="F1576" t="s">
        <v>3486</v>
      </c>
      <c r="G1576" s="10">
        <v>45190</v>
      </c>
      <c r="H1576">
        <v>58800</v>
      </c>
      <c r="I1576">
        <v>17134</v>
      </c>
      <c r="J1576" t="s">
        <v>1357</v>
      </c>
      <c r="K1576">
        <v>5</v>
      </c>
      <c r="L1576" t="s">
        <v>41</v>
      </c>
      <c r="M1576" t="s">
        <v>25</v>
      </c>
    </row>
    <row r="1577" spans="1:13">
      <c r="A1577" t="s">
        <v>159</v>
      </c>
      <c r="B1577" t="s">
        <v>160</v>
      </c>
      <c r="C1577" t="s">
        <v>67</v>
      </c>
      <c r="D1577" t="s">
        <v>3487</v>
      </c>
      <c r="E1577">
        <v>2</v>
      </c>
      <c r="F1577" t="s">
        <v>3488</v>
      </c>
      <c r="G1577" s="10">
        <v>45197</v>
      </c>
      <c r="H1577">
        <v>21889</v>
      </c>
      <c r="I1577">
        <v>3339</v>
      </c>
      <c r="J1577" t="s">
        <v>193</v>
      </c>
      <c r="K1577">
        <v>6</v>
      </c>
      <c r="L1577" t="s">
        <v>35</v>
      </c>
      <c r="M1577" t="s">
        <v>27</v>
      </c>
    </row>
    <row r="1578" spans="1:13">
      <c r="A1578" t="s">
        <v>261</v>
      </c>
      <c r="B1578" t="s">
        <v>160</v>
      </c>
      <c r="C1578" t="s">
        <v>67</v>
      </c>
      <c r="D1578" t="s">
        <v>3489</v>
      </c>
      <c r="E1578">
        <v>2</v>
      </c>
      <c r="F1578" t="s">
        <v>3490</v>
      </c>
      <c r="G1578" s="10">
        <v>45197</v>
      </c>
      <c r="H1578">
        <v>42000</v>
      </c>
      <c r="I1578">
        <v>7000</v>
      </c>
      <c r="J1578" t="s">
        <v>163</v>
      </c>
      <c r="K1578">
        <v>5</v>
      </c>
      <c r="L1578" t="s">
        <v>35</v>
      </c>
      <c r="M1578" t="s">
        <v>27</v>
      </c>
    </row>
    <row r="1579" spans="1:13">
      <c r="A1579" t="s">
        <v>251</v>
      </c>
      <c r="B1579" t="s">
        <v>160</v>
      </c>
      <c r="C1579" t="s">
        <v>67</v>
      </c>
      <c r="D1579" t="s">
        <v>3491</v>
      </c>
      <c r="E1579">
        <v>2</v>
      </c>
      <c r="F1579" t="s">
        <v>3492</v>
      </c>
      <c r="G1579" s="10">
        <v>45197</v>
      </c>
      <c r="H1579">
        <v>22420</v>
      </c>
      <c r="I1579">
        <v>3420</v>
      </c>
      <c r="J1579" t="s">
        <v>193</v>
      </c>
      <c r="K1579">
        <v>5</v>
      </c>
      <c r="L1579" t="s">
        <v>35</v>
      </c>
      <c r="M1579" t="s">
        <v>27</v>
      </c>
    </row>
    <row r="1580" spans="1:13">
      <c r="A1580" t="s">
        <v>251</v>
      </c>
      <c r="B1580" t="s">
        <v>160</v>
      </c>
      <c r="C1580" t="s">
        <v>67</v>
      </c>
      <c r="D1580" t="s">
        <v>3493</v>
      </c>
      <c r="E1580">
        <v>2</v>
      </c>
      <c r="F1580" t="s">
        <v>3494</v>
      </c>
      <c r="G1580" s="10">
        <v>45196</v>
      </c>
      <c r="H1580">
        <v>22420</v>
      </c>
      <c r="I1580">
        <v>3420</v>
      </c>
      <c r="J1580" t="s">
        <v>163</v>
      </c>
      <c r="K1580">
        <v>6</v>
      </c>
      <c r="L1580" t="s">
        <v>35</v>
      </c>
      <c r="M1580" t="s">
        <v>27</v>
      </c>
    </row>
    <row r="1581" spans="1:13">
      <c r="A1581" t="s">
        <v>190</v>
      </c>
      <c r="B1581" t="s">
        <v>160</v>
      </c>
      <c r="C1581" t="s">
        <v>67</v>
      </c>
      <c r="D1581" t="s">
        <v>3495</v>
      </c>
      <c r="E1581">
        <v>2</v>
      </c>
      <c r="F1581" t="s">
        <v>3496</v>
      </c>
      <c r="G1581" s="10">
        <v>45198</v>
      </c>
      <c r="H1581">
        <v>22420</v>
      </c>
      <c r="I1581">
        <v>3420</v>
      </c>
      <c r="J1581" t="s">
        <v>193</v>
      </c>
      <c r="K1581">
        <v>5</v>
      </c>
      <c r="L1581" t="s">
        <v>35</v>
      </c>
      <c r="M1581" t="s">
        <v>27</v>
      </c>
    </row>
    <row r="1582" spans="1:13">
      <c r="A1582" t="s">
        <v>140</v>
      </c>
      <c r="B1582" t="s">
        <v>141</v>
      </c>
      <c r="C1582" t="s">
        <v>67</v>
      </c>
      <c r="D1582" t="s">
        <v>3497</v>
      </c>
      <c r="E1582">
        <v>1</v>
      </c>
      <c r="F1582" t="s">
        <v>3498</v>
      </c>
      <c r="G1582" s="10">
        <v>45194</v>
      </c>
      <c r="H1582">
        <v>26775</v>
      </c>
      <c r="I1582">
        <v>6775</v>
      </c>
      <c r="J1582" t="s">
        <v>250</v>
      </c>
      <c r="K1582">
        <v>6</v>
      </c>
      <c r="L1582" t="s">
        <v>24</v>
      </c>
      <c r="M1582" t="s">
        <v>29</v>
      </c>
    </row>
    <row r="1583" spans="1:13">
      <c r="A1583" t="s">
        <v>628</v>
      </c>
      <c r="B1583" t="s">
        <v>66</v>
      </c>
      <c r="C1583" t="s">
        <v>67</v>
      </c>
      <c r="D1583" t="s">
        <v>3499</v>
      </c>
      <c r="E1583">
        <v>6</v>
      </c>
      <c r="F1583" t="s">
        <v>3500</v>
      </c>
      <c r="G1583" s="10">
        <v>45195</v>
      </c>
      <c r="H1583">
        <v>47500</v>
      </c>
      <c r="I1583">
        <v>7917</v>
      </c>
      <c r="J1583" t="s">
        <v>70</v>
      </c>
      <c r="K1583">
        <v>6</v>
      </c>
      <c r="L1583" t="s">
        <v>35</v>
      </c>
      <c r="M1583" t="s">
        <v>36</v>
      </c>
    </row>
    <row r="1584" spans="1:13">
      <c r="A1584" t="s">
        <v>256</v>
      </c>
      <c r="B1584" t="s">
        <v>160</v>
      </c>
      <c r="C1584" t="s">
        <v>67</v>
      </c>
      <c r="D1584" t="s">
        <v>3501</v>
      </c>
      <c r="E1584">
        <v>2</v>
      </c>
      <c r="F1584" t="s">
        <v>3502</v>
      </c>
      <c r="G1584" s="10">
        <v>45197</v>
      </c>
      <c r="H1584">
        <v>40120</v>
      </c>
      <c r="I1584">
        <v>6120</v>
      </c>
      <c r="J1584" t="s">
        <v>193</v>
      </c>
      <c r="K1584">
        <v>6</v>
      </c>
      <c r="L1584" t="s">
        <v>35</v>
      </c>
      <c r="M1584" t="s">
        <v>27</v>
      </c>
    </row>
    <row r="1585" spans="1:13">
      <c r="A1585" t="s">
        <v>266</v>
      </c>
      <c r="B1585" t="s">
        <v>160</v>
      </c>
      <c r="C1585" t="s">
        <v>67</v>
      </c>
      <c r="D1585" t="s">
        <v>3503</v>
      </c>
      <c r="E1585">
        <v>2</v>
      </c>
      <c r="F1585" t="s">
        <v>3504</v>
      </c>
      <c r="G1585" s="10">
        <v>45196</v>
      </c>
      <c r="H1585">
        <v>159300</v>
      </c>
      <c r="I1585">
        <v>24300</v>
      </c>
      <c r="J1585" t="s">
        <v>193</v>
      </c>
      <c r="K1585">
        <v>5</v>
      </c>
      <c r="L1585" t="s">
        <v>35</v>
      </c>
      <c r="M1585" t="s">
        <v>27</v>
      </c>
    </row>
    <row r="1586" spans="1:13">
      <c r="A1586" t="s">
        <v>854</v>
      </c>
      <c r="B1586" t="s">
        <v>93</v>
      </c>
      <c r="C1586" t="s">
        <v>94</v>
      </c>
      <c r="D1586" t="s">
        <v>3505</v>
      </c>
      <c r="E1586">
        <v>2</v>
      </c>
      <c r="F1586" t="s">
        <v>3506</v>
      </c>
      <c r="G1586" s="10">
        <v>45196</v>
      </c>
      <c r="H1586">
        <v>151200</v>
      </c>
      <c r="I1586">
        <v>67867</v>
      </c>
      <c r="J1586" t="s">
        <v>97</v>
      </c>
      <c r="K1586">
        <v>6</v>
      </c>
      <c r="L1586" t="s">
        <v>41</v>
      </c>
      <c r="M1586" t="s">
        <v>42</v>
      </c>
    </row>
    <row r="1587" spans="1:13">
      <c r="A1587" t="s">
        <v>197</v>
      </c>
      <c r="B1587" t="s">
        <v>160</v>
      </c>
      <c r="C1587" t="s">
        <v>67</v>
      </c>
      <c r="D1587" t="s">
        <v>3507</v>
      </c>
      <c r="E1587">
        <v>2</v>
      </c>
      <c r="F1587" t="s">
        <v>3508</v>
      </c>
      <c r="G1587" s="10">
        <v>45198</v>
      </c>
      <c r="H1587">
        <v>22420</v>
      </c>
      <c r="I1587">
        <v>3420</v>
      </c>
      <c r="J1587" t="s">
        <v>193</v>
      </c>
      <c r="K1587">
        <v>5</v>
      </c>
      <c r="L1587" t="s">
        <v>35</v>
      </c>
      <c r="M1587" t="s">
        <v>27</v>
      </c>
    </row>
    <row r="1588" spans="1:13">
      <c r="A1588" t="s">
        <v>197</v>
      </c>
      <c r="B1588" t="s">
        <v>160</v>
      </c>
      <c r="C1588" t="s">
        <v>67</v>
      </c>
      <c r="D1588" t="s">
        <v>3509</v>
      </c>
      <c r="E1588">
        <v>2</v>
      </c>
      <c r="F1588" t="s">
        <v>3510</v>
      </c>
      <c r="G1588" s="10">
        <v>45204</v>
      </c>
      <c r="H1588">
        <v>22420</v>
      </c>
      <c r="I1588">
        <v>3420</v>
      </c>
      <c r="J1588" t="s">
        <v>193</v>
      </c>
      <c r="K1588">
        <v>6</v>
      </c>
      <c r="L1588" t="s">
        <v>35</v>
      </c>
      <c r="M1588" t="s">
        <v>27</v>
      </c>
    </row>
    <row r="1589" spans="1:13">
      <c r="A1589" t="s">
        <v>256</v>
      </c>
      <c r="B1589" t="s">
        <v>160</v>
      </c>
      <c r="C1589" t="s">
        <v>67</v>
      </c>
      <c r="D1589" t="s">
        <v>3511</v>
      </c>
      <c r="E1589">
        <v>2</v>
      </c>
      <c r="F1589" t="s">
        <v>3512</v>
      </c>
      <c r="G1589" s="10">
        <v>45195</v>
      </c>
      <c r="H1589">
        <v>35400</v>
      </c>
      <c r="I1589">
        <v>5400</v>
      </c>
      <c r="J1589" t="s">
        <v>193</v>
      </c>
      <c r="K1589">
        <v>5</v>
      </c>
      <c r="L1589" t="s">
        <v>35</v>
      </c>
      <c r="M1589" t="s">
        <v>27</v>
      </c>
    </row>
    <row r="1590" spans="1:13">
      <c r="A1590" t="s">
        <v>319</v>
      </c>
      <c r="B1590" t="s">
        <v>179</v>
      </c>
      <c r="C1590" t="s">
        <v>45</v>
      </c>
      <c r="D1590" t="s">
        <v>3513</v>
      </c>
      <c r="E1590">
        <v>2</v>
      </c>
      <c r="F1590" t="s">
        <v>3514</v>
      </c>
      <c r="G1590" s="10">
        <v>45197</v>
      </c>
      <c r="H1590">
        <v>336000</v>
      </c>
      <c r="I1590">
        <v>177667</v>
      </c>
      <c r="J1590" t="s">
        <v>189</v>
      </c>
      <c r="K1590">
        <v>5</v>
      </c>
      <c r="L1590" t="s">
        <v>44</v>
      </c>
      <c r="M1590" t="s">
        <v>45</v>
      </c>
    </row>
    <row r="1591" spans="1:13">
      <c r="A1591" t="s">
        <v>65</v>
      </c>
      <c r="B1591" t="s">
        <v>66</v>
      </c>
      <c r="C1591" t="s">
        <v>67</v>
      </c>
      <c r="D1591" t="s">
        <v>3515</v>
      </c>
      <c r="E1591">
        <v>6</v>
      </c>
      <c r="F1591" t="s">
        <v>3516</v>
      </c>
      <c r="G1591" s="10">
        <v>45195</v>
      </c>
      <c r="H1591">
        <v>42000</v>
      </c>
      <c r="I1591">
        <v>7000</v>
      </c>
      <c r="J1591" t="s">
        <v>70</v>
      </c>
      <c r="K1591">
        <v>5</v>
      </c>
      <c r="L1591" t="s">
        <v>35</v>
      </c>
      <c r="M1591" t="s">
        <v>36</v>
      </c>
    </row>
    <row r="1592" spans="1:13">
      <c r="A1592" t="s">
        <v>71</v>
      </c>
      <c r="B1592" t="s">
        <v>72</v>
      </c>
      <c r="C1592" t="s">
        <v>67</v>
      </c>
      <c r="D1592" t="s">
        <v>3517</v>
      </c>
      <c r="E1592">
        <v>1</v>
      </c>
      <c r="F1592" t="s">
        <v>3518</v>
      </c>
      <c r="G1592" s="10">
        <v>45194</v>
      </c>
      <c r="H1592">
        <v>26775</v>
      </c>
      <c r="I1592">
        <v>6775</v>
      </c>
      <c r="J1592" t="s">
        <v>250</v>
      </c>
      <c r="K1592">
        <v>6</v>
      </c>
      <c r="L1592" t="s">
        <v>24</v>
      </c>
      <c r="M1592" t="s">
        <v>29</v>
      </c>
    </row>
    <row r="1593" spans="1:13">
      <c r="A1593" t="s">
        <v>3519</v>
      </c>
      <c r="B1593" t="s">
        <v>93</v>
      </c>
      <c r="C1593" t="s">
        <v>94</v>
      </c>
      <c r="D1593" t="s">
        <v>3520</v>
      </c>
      <c r="E1593">
        <v>7</v>
      </c>
      <c r="F1593" t="s">
        <v>3521</v>
      </c>
      <c r="G1593" s="10">
        <v>45224</v>
      </c>
      <c r="H1593">
        <v>60860.800000000003</v>
      </c>
      <c r="I1593">
        <v>2620.8000000000002</v>
      </c>
      <c r="J1593" t="s">
        <v>313</v>
      </c>
      <c r="K1593">
        <v>6</v>
      </c>
      <c r="L1593" t="s">
        <v>41</v>
      </c>
      <c r="M1593" t="s">
        <v>42</v>
      </c>
    </row>
    <row r="1594" spans="1:13">
      <c r="A1594" t="s">
        <v>431</v>
      </c>
      <c r="B1594" t="s">
        <v>160</v>
      </c>
      <c r="C1594" t="s">
        <v>67</v>
      </c>
      <c r="D1594" t="s">
        <v>3522</v>
      </c>
      <c r="E1594">
        <v>2</v>
      </c>
      <c r="F1594" t="s">
        <v>3523</v>
      </c>
      <c r="G1594" s="10">
        <v>45196</v>
      </c>
      <c r="H1594">
        <v>21889</v>
      </c>
      <c r="I1594">
        <v>3339</v>
      </c>
      <c r="J1594" t="s">
        <v>193</v>
      </c>
      <c r="K1594">
        <v>5</v>
      </c>
      <c r="L1594" t="s">
        <v>35</v>
      </c>
      <c r="M1594" t="s">
        <v>27</v>
      </c>
    </row>
    <row r="1595" spans="1:13">
      <c r="A1595" t="s">
        <v>431</v>
      </c>
      <c r="B1595" t="s">
        <v>160</v>
      </c>
      <c r="C1595" t="s">
        <v>67</v>
      </c>
      <c r="D1595" t="s">
        <v>3524</v>
      </c>
      <c r="E1595">
        <v>2</v>
      </c>
      <c r="F1595" t="s">
        <v>3525</v>
      </c>
      <c r="G1595" s="10">
        <v>45198</v>
      </c>
      <c r="H1595">
        <v>21889</v>
      </c>
      <c r="I1595">
        <v>3339</v>
      </c>
      <c r="J1595" t="s">
        <v>193</v>
      </c>
      <c r="K1595">
        <v>6</v>
      </c>
      <c r="L1595" t="s">
        <v>35</v>
      </c>
      <c r="M1595" t="s">
        <v>27</v>
      </c>
    </row>
    <row r="1596" spans="1:13">
      <c r="A1596" t="s">
        <v>305</v>
      </c>
      <c r="B1596" t="s">
        <v>118</v>
      </c>
      <c r="C1596" t="s">
        <v>98</v>
      </c>
      <c r="D1596" t="s">
        <v>3526</v>
      </c>
      <c r="E1596">
        <v>1</v>
      </c>
      <c r="F1596" t="s">
        <v>3527</v>
      </c>
      <c r="G1596" s="10">
        <v>45202</v>
      </c>
      <c r="H1596">
        <v>275862.07</v>
      </c>
      <c r="I1596">
        <v>75862.070000000007</v>
      </c>
      <c r="J1596" t="s">
        <v>121</v>
      </c>
      <c r="K1596">
        <v>6</v>
      </c>
      <c r="L1596" t="s">
        <v>24</v>
      </c>
      <c r="M1596" t="s">
        <v>30</v>
      </c>
    </row>
    <row r="1597" spans="1:13">
      <c r="A1597" t="s">
        <v>2617</v>
      </c>
      <c r="B1597" t="s">
        <v>2267</v>
      </c>
      <c r="C1597" t="s">
        <v>94</v>
      </c>
      <c r="D1597" t="s">
        <v>3528</v>
      </c>
      <c r="E1597">
        <v>2</v>
      </c>
      <c r="F1597" t="s">
        <v>3529</v>
      </c>
      <c r="G1597" s="10">
        <v>45226</v>
      </c>
      <c r="H1597">
        <v>135450</v>
      </c>
      <c r="I1597">
        <v>60450</v>
      </c>
      <c r="J1597" t="s">
        <v>97</v>
      </c>
      <c r="K1597">
        <v>6</v>
      </c>
      <c r="L1597" t="s">
        <v>41</v>
      </c>
      <c r="M1597" t="s">
        <v>42</v>
      </c>
    </row>
    <row r="1598" spans="1:13">
      <c r="A1598" t="s">
        <v>794</v>
      </c>
      <c r="B1598" t="s">
        <v>118</v>
      </c>
      <c r="C1598" t="s">
        <v>98</v>
      </c>
      <c r="D1598" t="s">
        <v>3530</v>
      </c>
      <c r="E1598">
        <v>1</v>
      </c>
      <c r="F1598" t="s">
        <v>3531</v>
      </c>
      <c r="G1598" s="10">
        <v>45218</v>
      </c>
      <c r="H1598">
        <v>334320</v>
      </c>
      <c r="I1598">
        <v>75987</v>
      </c>
      <c r="J1598" t="s">
        <v>744</v>
      </c>
      <c r="K1598">
        <v>5</v>
      </c>
      <c r="L1598" t="s">
        <v>24</v>
      </c>
      <c r="M1598" t="s">
        <v>31</v>
      </c>
    </row>
    <row r="1599" spans="1:13">
      <c r="A1599" t="s">
        <v>522</v>
      </c>
      <c r="B1599" t="s">
        <v>72</v>
      </c>
      <c r="C1599" t="s">
        <v>67</v>
      </c>
      <c r="D1599" t="s">
        <v>3532</v>
      </c>
      <c r="E1599">
        <v>1</v>
      </c>
      <c r="F1599" t="s">
        <v>3533</v>
      </c>
      <c r="G1599" s="10">
        <v>45194</v>
      </c>
      <c r="H1599">
        <v>26775</v>
      </c>
      <c r="I1599">
        <v>6775</v>
      </c>
      <c r="J1599" t="s">
        <v>250</v>
      </c>
      <c r="K1599">
        <v>6</v>
      </c>
      <c r="L1599" t="s">
        <v>24</v>
      </c>
      <c r="M1599" t="s">
        <v>29</v>
      </c>
    </row>
    <row r="1600" spans="1:13">
      <c r="A1600" t="s">
        <v>197</v>
      </c>
      <c r="B1600" t="s">
        <v>160</v>
      </c>
      <c r="C1600" t="s">
        <v>67</v>
      </c>
      <c r="D1600" t="s">
        <v>3534</v>
      </c>
      <c r="E1600">
        <v>2</v>
      </c>
      <c r="F1600" t="s">
        <v>3535</v>
      </c>
      <c r="G1600" s="10">
        <v>45202</v>
      </c>
      <c r="H1600">
        <v>21889</v>
      </c>
      <c r="I1600">
        <v>3339</v>
      </c>
      <c r="J1600" t="s">
        <v>193</v>
      </c>
      <c r="K1600">
        <v>5</v>
      </c>
      <c r="L1600" t="s">
        <v>35</v>
      </c>
      <c r="M1600" t="s">
        <v>27</v>
      </c>
    </row>
    <row r="1601" spans="1:13">
      <c r="A1601" t="s">
        <v>197</v>
      </c>
      <c r="B1601" t="s">
        <v>160</v>
      </c>
      <c r="C1601" t="s">
        <v>67</v>
      </c>
      <c r="D1601" t="s">
        <v>3536</v>
      </c>
      <c r="E1601">
        <v>2</v>
      </c>
      <c r="F1601" t="s">
        <v>3537</v>
      </c>
      <c r="G1601" s="10">
        <v>45198</v>
      </c>
      <c r="H1601">
        <v>29500</v>
      </c>
      <c r="I1601">
        <v>4500</v>
      </c>
      <c r="J1601" t="s">
        <v>193</v>
      </c>
      <c r="K1601">
        <v>5</v>
      </c>
      <c r="L1601" t="s">
        <v>35</v>
      </c>
      <c r="M1601" t="s">
        <v>27</v>
      </c>
    </row>
    <row r="1602" spans="1:13">
      <c r="A1602" t="s">
        <v>140</v>
      </c>
      <c r="B1602" t="s">
        <v>141</v>
      </c>
      <c r="C1602" t="s">
        <v>67</v>
      </c>
      <c r="D1602" t="s">
        <v>3538</v>
      </c>
      <c r="E1602">
        <v>2</v>
      </c>
      <c r="F1602" t="s">
        <v>3539</v>
      </c>
      <c r="G1602" s="10">
        <v>45196</v>
      </c>
      <c r="H1602">
        <v>55460</v>
      </c>
      <c r="I1602">
        <v>8460</v>
      </c>
      <c r="J1602" t="s">
        <v>193</v>
      </c>
      <c r="K1602">
        <v>5</v>
      </c>
      <c r="L1602" t="s">
        <v>35</v>
      </c>
      <c r="M1602" t="s">
        <v>27</v>
      </c>
    </row>
    <row r="1603" spans="1:13">
      <c r="A1603" t="s">
        <v>3424</v>
      </c>
      <c r="B1603" t="s">
        <v>179</v>
      </c>
      <c r="C1603" t="s">
        <v>45</v>
      </c>
      <c r="D1603" t="s">
        <v>3540</v>
      </c>
      <c r="E1603">
        <v>2</v>
      </c>
      <c r="F1603" t="s">
        <v>3541</v>
      </c>
      <c r="G1603" s="10">
        <v>45198</v>
      </c>
      <c r="H1603">
        <v>250000</v>
      </c>
      <c r="I1603">
        <v>25000</v>
      </c>
      <c r="J1603" t="s">
        <v>884</v>
      </c>
      <c r="K1603">
        <v>5</v>
      </c>
      <c r="L1603" t="s">
        <v>44</v>
      </c>
      <c r="M1603" t="s">
        <v>45</v>
      </c>
    </row>
    <row r="1604" spans="1:13">
      <c r="A1604" t="s">
        <v>1658</v>
      </c>
      <c r="B1604" t="s">
        <v>160</v>
      </c>
      <c r="C1604" t="s">
        <v>67</v>
      </c>
      <c r="D1604" t="s">
        <v>3542</v>
      </c>
      <c r="E1604">
        <v>2</v>
      </c>
      <c r="F1604" t="s">
        <v>3543</v>
      </c>
      <c r="G1604" s="10">
        <v>45197</v>
      </c>
      <c r="H1604">
        <v>21889</v>
      </c>
      <c r="I1604">
        <v>3339</v>
      </c>
      <c r="J1604" t="s">
        <v>193</v>
      </c>
      <c r="K1604">
        <v>5</v>
      </c>
      <c r="L1604" t="s">
        <v>35</v>
      </c>
      <c r="M1604" t="s">
        <v>27</v>
      </c>
    </row>
    <row r="1605" spans="1:13">
      <c r="A1605" t="s">
        <v>628</v>
      </c>
      <c r="B1605" t="s">
        <v>66</v>
      </c>
      <c r="C1605" t="s">
        <v>67</v>
      </c>
      <c r="D1605" t="s">
        <v>3544</v>
      </c>
      <c r="E1605">
        <v>6</v>
      </c>
      <c r="F1605" t="s">
        <v>3545</v>
      </c>
      <c r="G1605" s="10">
        <v>45195</v>
      </c>
      <c r="H1605">
        <v>34375</v>
      </c>
      <c r="I1605">
        <v>6875</v>
      </c>
      <c r="J1605" t="s">
        <v>70</v>
      </c>
      <c r="K1605">
        <v>5</v>
      </c>
      <c r="L1605" t="s">
        <v>35</v>
      </c>
      <c r="M1605" t="s">
        <v>36</v>
      </c>
    </row>
    <row r="1606" spans="1:13">
      <c r="A1606" t="s">
        <v>2300</v>
      </c>
      <c r="B1606" t="s">
        <v>2301</v>
      </c>
      <c r="C1606" t="s">
        <v>3546</v>
      </c>
      <c r="D1606" t="s">
        <v>3547</v>
      </c>
      <c r="E1606">
        <v>2</v>
      </c>
      <c r="F1606" t="s">
        <v>3548</v>
      </c>
      <c r="G1606" s="10">
        <v>45194</v>
      </c>
      <c r="H1606">
        <v>24570</v>
      </c>
      <c r="I1606">
        <v>3737</v>
      </c>
      <c r="J1606" t="s">
        <v>976</v>
      </c>
      <c r="K1606">
        <v>6</v>
      </c>
      <c r="L1606" t="s">
        <v>39</v>
      </c>
      <c r="M1606" t="s">
        <v>977</v>
      </c>
    </row>
    <row r="1607" spans="1:13">
      <c r="A1607" t="s">
        <v>130</v>
      </c>
      <c r="B1607" t="s">
        <v>82</v>
      </c>
      <c r="C1607" t="s">
        <v>28</v>
      </c>
      <c r="D1607" t="s">
        <v>3549</v>
      </c>
      <c r="E1607">
        <v>2</v>
      </c>
      <c r="F1607" t="s">
        <v>3550</v>
      </c>
      <c r="G1607" s="10">
        <v>45204</v>
      </c>
      <c r="H1607">
        <v>124824</v>
      </c>
      <c r="I1607">
        <v>41491</v>
      </c>
      <c r="J1607" t="s">
        <v>126</v>
      </c>
      <c r="K1607">
        <v>6</v>
      </c>
      <c r="L1607" t="s">
        <v>24</v>
      </c>
      <c r="M1607" t="s">
        <v>26</v>
      </c>
    </row>
    <row r="1608" spans="1:13">
      <c r="A1608" t="s">
        <v>2266</v>
      </c>
      <c r="B1608" t="s">
        <v>2267</v>
      </c>
      <c r="C1608" t="s">
        <v>94</v>
      </c>
      <c r="D1608" t="s">
        <v>3551</v>
      </c>
      <c r="E1608">
        <v>2</v>
      </c>
      <c r="F1608" t="s">
        <v>3552</v>
      </c>
      <c r="G1608" s="10">
        <v>45194</v>
      </c>
      <c r="H1608">
        <v>24570</v>
      </c>
      <c r="I1608">
        <v>2737</v>
      </c>
      <c r="J1608" t="s">
        <v>976</v>
      </c>
      <c r="K1608">
        <v>6</v>
      </c>
      <c r="L1608" t="s">
        <v>39</v>
      </c>
      <c r="M1608" t="s">
        <v>977</v>
      </c>
    </row>
    <row r="1609" spans="1:13">
      <c r="A1609" t="s">
        <v>261</v>
      </c>
      <c r="B1609" t="s">
        <v>160</v>
      </c>
      <c r="C1609" t="s">
        <v>67</v>
      </c>
      <c r="D1609" t="s">
        <v>3553</v>
      </c>
      <c r="E1609">
        <v>2</v>
      </c>
      <c r="F1609" t="s">
        <v>3554</v>
      </c>
      <c r="G1609" s="10">
        <v>45197</v>
      </c>
      <c r="H1609">
        <v>38400</v>
      </c>
      <c r="I1609">
        <v>6400</v>
      </c>
      <c r="J1609" t="s">
        <v>163</v>
      </c>
      <c r="K1609">
        <v>5</v>
      </c>
      <c r="L1609" t="s">
        <v>35</v>
      </c>
      <c r="M1609" t="s">
        <v>27</v>
      </c>
    </row>
    <row r="1610" spans="1:13">
      <c r="A1610" t="s">
        <v>183</v>
      </c>
      <c r="B1610" t="s">
        <v>112</v>
      </c>
      <c r="C1610" t="s">
        <v>113</v>
      </c>
      <c r="D1610" t="s">
        <v>3555</v>
      </c>
      <c r="E1610">
        <v>2</v>
      </c>
      <c r="F1610" t="s">
        <v>3556</v>
      </c>
      <c r="G1610" s="10">
        <v>45195</v>
      </c>
      <c r="H1610">
        <v>24570</v>
      </c>
      <c r="I1610">
        <v>4570</v>
      </c>
      <c r="J1610" t="s">
        <v>976</v>
      </c>
      <c r="K1610">
        <v>5</v>
      </c>
      <c r="L1610" t="s">
        <v>39</v>
      </c>
      <c r="M1610" t="s">
        <v>977</v>
      </c>
    </row>
    <row r="1611" spans="1:13">
      <c r="A1611" t="s">
        <v>266</v>
      </c>
      <c r="B1611" t="s">
        <v>160</v>
      </c>
      <c r="C1611" t="s">
        <v>67</v>
      </c>
      <c r="D1611" t="s">
        <v>3557</v>
      </c>
      <c r="E1611">
        <v>2</v>
      </c>
      <c r="F1611" t="s">
        <v>3558</v>
      </c>
      <c r="G1611" s="10">
        <v>45197</v>
      </c>
      <c r="H1611">
        <v>35400</v>
      </c>
      <c r="I1611">
        <v>5400</v>
      </c>
      <c r="J1611" t="s">
        <v>193</v>
      </c>
      <c r="K1611">
        <v>5</v>
      </c>
      <c r="L1611" t="s">
        <v>35</v>
      </c>
      <c r="M1611" t="s">
        <v>27</v>
      </c>
    </row>
    <row r="1612" spans="1:13">
      <c r="A1612" t="s">
        <v>984</v>
      </c>
      <c r="B1612" t="s">
        <v>28</v>
      </c>
      <c r="C1612" t="s">
        <v>238</v>
      </c>
      <c r="D1612" t="s">
        <v>3559</v>
      </c>
      <c r="E1612">
        <v>2</v>
      </c>
      <c r="F1612" t="s">
        <v>3560</v>
      </c>
      <c r="G1612" s="10">
        <v>45208</v>
      </c>
      <c r="H1612">
        <v>122327.52</v>
      </c>
      <c r="I1612">
        <v>34827.519999999997</v>
      </c>
      <c r="J1612" t="s">
        <v>126</v>
      </c>
      <c r="K1612">
        <v>5</v>
      </c>
      <c r="L1612" t="s">
        <v>24</v>
      </c>
      <c r="M1612" t="s">
        <v>26</v>
      </c>
    </row>
    <row r="1613" spans="1:13">
      <c r="A1613" t="s">
        <v>645</v>
      </c>
      <c r="B1613" t="s">
        <v>28</v>
      </c>
      <c r="C1613" t="s">
        <v>238</v>
      </c>
      <c r="D1613" t="s">
        <v>3561</v>
      </c>
      <c r="E1613">
        <v>2</v>
      </c>
      <c r="F1613" t="s">
        <v>3562</v>
      </c>
      <c r="G1613" s="10">
        <v>45208</v>
      </c>
      <c r="H1613">
        <v>135408</v>
      </c>
      <c r="I1613">
        <v>27075</v>
      </c>
      <c r="J1613" t="s">
        <v>126</v>
      </c>
      <c r="K1613">
        <v>6</v>
      </c>
      <c r="L1613" t="s">
        <v>24</v>
      </c>
      <c r="M1613" t="s">
        <v>26</v>
      </c>
    </row>
    <row r="1614" spans="1:13">
      <c r="A1614" t="s">
        <v>431</v>
      </c>
      <c r="B1614" t="s">
        <v>160</v>
      </c>
      <c r="C1614" t="s">
        <v>67</v>
      </c>
      <c r="D1614" t="s">
        <v>3563</v>
      </c>
      <c r="E1614">
        <v>2</v>
      </c>
      <c r="F1614" t="s">
        <v>3564</v>
      </c>
      <c r="G1614" s="10">
        <v>45198</v>
      </c>
      <c r="H1614">
        <v>21889</v>
      </c>
      <c r="I1614">
        <v>3339</v>
      </c>
      <c r="J1614" t="s">
        <v>163</v>
      </c>
      <c r="K1614">
        <v>6</v>
      </c>
      <c r="L1614" t="s">
        <v>35</v>
      </c>
      <c r="M1614" t="s">
        <v>27</v>
      </c>
    </row>
    <row r="1615" spans="1:13">
      <c r="A1615" t="s">
        <v>190</v>
      </c>
      <c r="B1615" t="s">
        <v>160</v>
      </c>
      <c r="C1615" t="s">
        <v>67</v>
      </c>
      <c r="D1615" t="s">
        <v>3565</v>
      </c>
      <c r="E1615">
        <v>1</v>
      </c>
      <c r="F1615" t="s">
        <v>3566</v>
      </c>
      <c r="G1615" s="10">
        <v>45170</v>
      </c>
      <c r="H1615">
        <v>0</v>
      </c>
      <c r="I1615">
        <v>-20000</v>
      </c>
      <c r="J1615" t="s">
        <v>250</v>
      </c>
      <c r="K1615">
        <v>6</v>
      </c>
      <c r="L1615" t="s">
        <v>24</v>
      </c>
      <c r="M1615" t="s">
        <v>29</v>
      </c>
    </row>
    <row r="1616" spans="1:13">
      <c r="A1616" t="s">
        <v>159</v>
      </c>
      <c r="B1616" t="s">
        <v>160</v>
      </c>
      <c r="C1616" t="s">
        <v>67</v>
      </c>
      <c r="D1616" t="s">
        <v>3567</v>
      </c>
      <c r="E1616">
        <v>1</v>
      </c>
      <c r="F1616" t="s">
        <v>3568</v>
      </c>
      <c r="G1616" s="10">
        <v>45194</v>
      </c>
      <c r="H1616">
        <v>26775</v>
      </c>
      <c r="I1616">
        <v>6775</v>
      </c>
      <c r="J1616" t="s">
        <v>250</v>
      </c>
      <c r="K1616">
        <v>6</v>
      </c>
      <c r="L1616" t="s">
        <v>24</v>
      </c>
      <c r="M1616" t="s">
        <v>29</v>
      </c>
    </row>
    <row r="1617" spans="1:13">
      <c r="A1617" t="s">
        <v>256</v>
      </c>
      <c r="B1617" t="s">
        <v>160</v>
      </c>
      <c r="C1617" t="s">
        <v>67</v>
      </c>
      <c r="D1617" t="s">
        <v>1797</v>
      </c>
      <c r="E1617">
        <v>1</v>
      </c>
      <c r="F1617" t="s">
        <v>3569</v>
      </c>
      <c r="G1617" s="10">
        <v>45170</v>
      </c>
      <c r="H1617">
        <v>32130</v>
      </c>
      <c r="I1617">
        <v>12130</v>
      </c>
      <c r="J1617" t="s">
        <v>250</v>
      </c>
      <c r="K1617">
        <v>6</v>
      </c>
      <c r="L1617" t="s">
        <v>24</v>
      </c>
      <c r="M1617" t="s">
        <v>29</v>
      </c>
    </row>
    <row r="1618" spans="1:13">
      <c r="A1618" t="s">
        <v>779</v>
      </c>
      <c r="B1618" t="s">
        <v>215</v>
      </c>
      <c r="C1618" t="s">
        <v>94</v>
      </c>
      <c r="D1618" t="s">
        <v>3570</v>
      </c>
      <c r="E1618">
        <v>2</v>
      </c>
      <c r="F1618" t="s">
        <v>3571</v>
      </c>
      <c r="G1618" s="10">
        <v>45204</v>
      </c>
      <c r="H1618">
        <v>135000</v>
      </c>
      <c r="I1618">
        <v>26667</v>
      </c>
      <c r="J1618" t="s">
        <v>227</v>
      </c>
      <c r="K1618">
        <v>6</v>
      </c>
      <c r="L1618" t="s">
        <v>41</v>
      </c>
      <c r="M1618" t="s">
        <v>42</v>
      </c>
    </row>
    <row r="1619" spans="1:13">
      <c r="A1619" t="s">
        <v>305</v>
      </c>
      <c r="B1619" t="s">
        <v>118</v>
      </c>
      <c r="C1619" t="s">
        <v>98</v>
      </c>
      <c r="D1619" t="s">
        <v>3572</v>
      </c>
      <c r="E1619">
        <v>4</v>
      </c>
      <c r="F1619" t="s">
        <v>3573</v>
      </c>
      <c r="G1619" s="10">
        <v>45197</v>
      </c>
      <c r="H1619">
        <v>266009.84999999998</v>
      </c>
      <c r="I1619">
        <v>32676.85</v>
      </c>
      <c r="J1619" t="s">
        <v>121</v>
      </c>
      <c r="K1619">
        <v>5</v>
      </c>
      <c r="L1619" t="s">
        <v>24</v>
      </c>
      <c r="M1619" t="s">
        <v>30</v>
      </c>
    </row>
    <row r="1620" spans="1:13">
      <c r="A1620" t="s">
        <v>1228</v>
      </c>
      <c r="B1620" t="s">
        <v>224</v>
      </c>
      <c r="C1620" t="s">
        <v>94</v>
      </c>
      <c r="D1620" t="s">
        <v>3574</v>
      </c>
      <c r="E1620">
        <v>2</v>
      </c>
      <c r="F1620" t="s">
        <v>3575</v>
      </c>
      <c r="G1620" s="10">
        <v>45202</v>
      </c>
      <c r="H1620">
        <v>150000</v>
      </c>
      <c r="I1620">
        <v>40000</v>
      </c>
      <c r="J1620" t="s">
        <v>227</v>
      </c>
      <c r="K1620">
        <v>6</v>
      </c>
      <c r="L1620" t="s">
        <v>41</v>
      </c>
      <c r="M1620" t="s">
        <v>42</v>
      </c>
    </row>
    <row r="1621" spans="1:13">
      <c r="A1621" t="s">
        <v>3120</v>
      </c>
      <c r="B1621" t="s">
        <v>179</v>
      </c>
      <c r="C1621" t="s">
        <v>45</v>
      </c>
      <c r="D1621" t="s">
        <v>3576</v>
      </c>
      <c r="E1621">
        <v>2</v>
      </c>
      <c r="F1621" t="s">
        <v>3577</v>
      </c>
      <c r="G1621" s="10">
        <v>45198</v>
      </c>
      <c r="H1621">
        <v>285600</v>
      </c>
      <c r="I1621">
        <v>118934</v>
      </c>
      <c r="J1621" t="s">
        <v>189</v>
      </c>
      <c r="K1621">
        <v>5</v>
      </c>
      <c r="L1621" t="s">
        <v>44</v>
      </c>
      <c r="M1621" t="s">
        <v>45</v>
      </c>
    </row>
    <row r="1622" spans="1:13">
      <c r="A1622" t="s">
        <v>117</v>
      </c>
      <c r="B1622" t="s">
        <v>118</v>
      </c>
      <c r="C1622" t="s">
        <v>98</v>
      </c>
      <c r="D1622" t="s">
        <v>3578</v>
      </c>
      <c r="E1622">
        <v>1</v>
      </c>
      <c r="F1622" t="s">
        <v>3579</v>
      </c>
      <c r="G1622" s="10">
        <v>45197</v>
      </c>
      <c r="H1622">
        <v>236453.2</v>
      </c>
      <c r="I1622">
        <v>28120.2</v>
      </c>
      <c r="J1622" t="s">
        <v>121</v>
      </c>
      <c r="K1622">
        <v>6</v>
      </c>
      <c r="L1622" t="s">
        <v>24</v>
      </c>
      <c r="M1622" t="s">
        <v>30</v>
      </c>
    </row>
    <row r="1623" spans="1:13">
      <c r="A1623" t="s">
        <v>2141</v>
      </c>
      <c r="B1623" t="s">
        <v>66</v>
      </c>
      <c r="C1623" t="s">
        <v>67</v>
      </c>
      <c r="D1623" t="s">
        <v>3580</v>
      </c>
      <c r="E1623">
        <v>2</v>
      </c>
      <c r="F1623" t="s">
        <v>3581</v>
      </c>
      <c r="G1623" s="10">
        <v>45204</v>
      </c>
      <c r="H1623">
        <v>48000</v>
      </c>
      <c r="I1623">
        <v>8000</v>
      </c>
      <c r="J1623" t="s">
        <v>163</v>
      </c>
      <c r="K1623">
        <v>6</v>
      </c>
      <c r="L1623" t="s">
        <v>35</v>
      </c>
      <c r="M1623" t="s">
        <v>27</v>
      </c>
    </row>
    <row r="1624" spans="1:13">
      <c r="A1624" t="s">
        <v>261</v>
      </c>
      <c r="B1624" t="s">
        <v>160</v>
      </c>
      <c r="C1624" t="s">
        <v>67</v>
      </c>
      <c r="D1624" t="s">
        <v>3582</v>
      </c>
      <c r="E1624">
        <v>2</v>
      </c>
      <c r="F1624" t="s">
        <v>3583</v>
      </c>
      <c r="G1624" s="10">
        <v>45204</v>
      </c>
      <c r="H1624">
        <v>42000</v>
      </c>
      <c r="I1624">
        <v>7000</v>
      </c>
      <c r="J1624" t="s">
        <v>163</v>
      </c>
      <c r="K1624">
        <v>5</v>
      </c>
      <c r="L1624" t="s">
        <v>35</v>
      </c>
      <c r="M1624" t="s">
        <v>27</v>
      </c>
    </row>
    <row r="1625" spans="1:13">
      <c r="A1625" t="s">
        <v>1447</v>
      </c>
      <c r="B1625" t="s">
        <v>179</v>
      </c>
      <c r="C1625" t="s">
        <v>45</v>
      </c>
      <c r="D1625" t="s">
        <v>3584</v>
      </c>
      <c r="E1625">
        <v>4</v>
      </c>
      <c r="F1625" t="s">
        <v>3585</v>
      </c>
      <c r="G1625" s="10">
        <v>45222</v>
      </c>
      <c r="H1625">
        <v>350000</v>
      </c>
      <c r="I1625">
        <v>50000</v>
      </c>
      <c r="J1625" t="s">
        <v>189</v>
      </c>
      <c r="K1625">
        <v>6</v>
      </c>
      <c r="L1625" t="s">
        <v>44</v>
      </c>
      <c r="M1625" t="s">
        <v>45</v>
      </c>
    </row>
    <row r="1626" spans="1:13">
      <c r="A1626" t="s">
        <v>3586</v>
      </c>
      <c r="B1626" t="s">
        <v>118</v>
      </c>
      <c r="C1626" t="s">
        <v>98</v>
      </c>
      <c r="D1626" t="s">
        <v>3587</v>
      </c>
      <c r="E1626">
        <v>2</v>
      </c>
      <c r="F1626" t="s">
        <v>3588</v>
      </c>
      <c r="G1626" s="10">
        <v>45202</v>
      </c>
      <c r="H1626">
        <v>33333.33</v>
      </c>
      <c r="I1626">
        <v>4167.33</v>
      </c>
      <c r="J1626" t="s">
        <v>308</v>
      </c>
      <c r="K1626">
        <v>6</v>
      </c>
      <c r="L1626" t="s">
        <v>24</v>
      </c>
      <c r="M1626" t="s">
        <v>32</v>
      </c>
    </row>
    <row r="1627" spans="1:13">
      <c r="A1627" t="s">
        <v>76</v>
      </c>
      <c r="B1627" t="s">
        <v>72</v>
      </c>
      <c r="C1627" t="s">
        <v>67</v>
      </c>
      <c r="D1627" t="s">
        <v>3589</v>
      </c>
      <c r="E1627">
        <v>1</v>
      </c>
      <c r="F1627" t="s">
        <v>3590</v>
      </c>
      <c r="G1627" s="10">
        <v>45231</v>
      </c>
      <c r="H1627">
        <v>45517.5</v>
      </c>
      <c r="I1627">
        <v>8017.5</v>
      </c>
      <c r="J1627" t="s">
        <v>75</v>
      </c>
      <c r="K1627">
        <v>5</v>
      </c>
      <c r="L1627" t="s">
        <v>35</v>
      </c>
      <c r="M1627" t="s">
        <v>29</v>
      </c>
    </row>
    <row r="1628" spans="1:13">
      <c r="A1628" t="s">
        <v>3591</v>
      </c>
      <c r="B1628" t="s">
        <v>44</v>
      </c>
      <c r="C1628" t="s">
        <v>3591</v>
      </c>
      <c r="D1628" t="s">
        <v>3592</v>
      </c>
      <c r="E1628">
        <v>2</v>
      </c>
      <c r="F1628" t="s">
        <v>3593</v>
      </c>
      <c r="G1628" s="10">
        <v>45202</v>
      </c>
      <c r="H1628">
        <v>70091.7</v>
      </c>
      <c r="I1628">
        <v>15925.7</v>
      </c>
      <c r="J1628" t="s">
        <v>1414</v>
      </c>
      <c r="K1628">
        <v>5</v>
      </c>
      <c r="L1628" t="s">
        <v>44</v>
      </c>
      <c r="M1628" t="s">
        <v>49</v>
      </c>
    </row>
    <row r="1629" spans="1:13">
      <c r="A1629" t="s">
        <v>251</v>
      </c>
      <c r="B1629" t="s">
        <v>160</v>
      </c>
      <c r="C1629" t="s">
        <v>67</v>
      </c>
      <c r="D1629" t="s">
        <v>3594</v>
      </c>
      <c r="E1629">
        <v>2</v>
      </c>
      <c r="F1629" t="s">
        <v>3595</v>
      </c>
      <c r="G1629" s="10">
        <v>45202</v>
      </c>
      <c r="H1629">
        <v>21889</v>
      </c>
      <c r="I1629">
        <v>3339</v>
      </c>
      <c r="J1629" t="s">
        <v>193</v>
      </c>
      <c r="K1629">
        <v>5</v>
      </c>
      <c r="L1629" t="s">
        <v>35</v>
      </c>
      <c r="M1629" t="s">
        <v>27</v>
      </c>
    </row>
    <row r="1630" spans="1:13">
      <c r="A1630" t="s">
        <v>1658</v>
      </c>
      <c r="B1630" t="s">
        <v>160</v>
      </c>
      <c r="C1630" t="s">
        <v>67</v>
      </c>
      <c r="D1630" t="s">
        <v>3596</v>
      </c>
      <c r="E1630">
        <v>2</v>
      </c>
      <c r="F1630" t="s">
        <v>3597</v>
      </c>
      <c r="G1630" s="10">
        <v>45205</v>
      </c>
      <c r="H1630">
        <v>21889</v>
      </c>
      <c r="I1630">
        <v>3339</v>
      </c>
      <c r="J1630" t="s">
        <v>193</v>
      </c>
      <c r="K1630">
        <v>5</v>
      </c>
      <c r="L1630" t="s">
        <v>35</v>
      </c>
      <c r="M1630" t="s">
        <v>27</v>
      </c>
    </row>
    <row r="1631" spans="1:13">
      <c r="A1631" t="s">
        <v>117</v>
      </c>
      <c r="B1631" t="s">
        <v>118</v>
      </c>
      <c r="C1631" t="s">
        <v>98</v>
      </c>
      <c r="D1631" t="s">
        <v>3598</v>
      </c>
      <c r="E1631">
        <v>1</v>
      </c>
      <c r="F1631" t="s">
        <v>3599</v>
      </c>
      <c r="G1631" s="10">
        <v>45202</v>
      </c>
      <c r="H1631">
        <v>285714.28999999998</v>
      </c>
      <c r="I1631">
        <v>35714.29</v>
      </c>
      <c r="J1631" t="s">
        <v>121</v>
      </c>
      <c r="K1631">
        <v>6</v>
      </c>
      <c r="L1631" t="s">
        <v>24</v>
      </c>
      <c r="M1631" t="s">
        <v>30</v>
      </c>
    </row>
    <row r="1632" spans="1:13">
      <c r="A1632" t="s">
        <v>130</v>
      </c>
      <c r="B1632" t="s">
        <v>82</v>
      </c>
      <c r="C1632" t="s">
        <v>28</v>
      </c>
      <c r="D1632" t="s">
        <v>3600</v>
      </c>
      <c r="E1632">
        <v>2</v>
      </c>
      <c r="F1632" t="s">
        <v>3601</v>
      </c>
      <c r="G1632" s="10">
        <v>45202</v>
      </c>
      <c r="H1632">
        <v>68040</v>
      </c>
      <c r="I1632">
        <v>22207</v>
      </c>
      <c r="J1632" t="s">
        <v>126</v>
      </c>
      <c r="K1632">
        <v>6</v>
      </c>
      <c r="L1632" t="s">
        <v>24</v>
      </c>
      <c r="M1632" t="s">
        <v>26</v>
      </c>
    </row>
    <row r="1633" spans="1:13">
      <c r="A1633" t="s">
        <v>159</v>
      </c>
      <c r="B1633" t="s">
        <v>160</v>
      </c>
      <c r="C1633" t="s">
        <v>67</v>
      </c>
      <c r="D1633" t="s">
        <v>3602</v>
      </c>
      <c r="E1633">
        <v>2</v>
      </c>
      <c r="F1633" t="s">
        <v>3603</v>
      </c>
      <c r="G1633" s="10">
        <v>45204</v>
      </c>
      <c r="H1633">
        <v>48000</v>
      </c>
      <c r="I1633">
        <v>8000</v>
      </c>
      <c r="J1633" t="s">
        <v>163</v>
      </c>
      <c r="K1633">
        <v>6</v>
      </c>
      <c r="L1633" t="s">
        <v>35</v>
      </c>
      <c r="M1633" t="s">
        <v>27</v>
      </c>
    </row>
    <row r="1634" spans="1:13">
      <c r="A1634" t="s">
        <v>361</v>
      </c>
      <c r="B1634" t="s">
        <v>72</v>
      </c>
      <c r="C1634" t="s">
        <v>67</v>
      </c>
      <c r="D1634" t="s">
        <v>3604</v>
      </c>
      <c r="E1634">
        <v>1</v>
      </c>
      <c r="F1634" t="s">
        <v>3605</v>
      </c>
      <c r="G1634" s="10">
        <v>45231</v>
      </c>
      <c r="H1634">
        <v>45517.5</v>
      </c>
      <c r="I1634">
        <v>6351.5</v>
      </c>
      <c r="J1634" t="s">
        <v>75</v>
      </c>
      <c r="K1634">
        <v>5</v>
      </c>
      <c r="L1634" t="s">
        <v>35</v>
      </c>
      <c r="M1634" t="s">
        <v>29</v>
      </c>
    </row>
    <row r="1635" spans="1:13">
      <c r="A1635" t="s">
        <v>431</v>
      </c>
      <c r="B1635" t="s">
        <v>160</v>
      </c>
      <c r="C1635" t="s">
        <v>67</v>
      </c>
      <c r="D1635" t="s">
        <v>3606</v>
      </c>
      <c r="E1635">
        <v>2</v>
      </c>
      <c r="F1635" t="s">
        <v>3607</v>
      </c>
      <c r="G1635" s="10">
        <v>45208</v>
      </c>
      <c r="H1635">
        <v>24898</v>
      </c>
      <c r="I1635">
        <v>3798</v>
      </c>
      <c r="J1635" t="s">
        <v>193</v>
      </c>
      <c r="K1635">
        <v>5</v>
      </c>
      <c r="L1635" t="s">
        <v>35</v>
      </c>
      <c r="M1635" t="s">
        <v>27</v>
      </c>
    </row>
    <row r="1636" spans="1:13">
      <c r="A1636" t="s">
        <v>266</v>
      </c>
      <c r="B1636" t="s">
        <v>160</v>
      </c>
      <c r="C1636" t="s">
        <v>67</v>
      </c>
      <c r="D1636" t="s">
        <v>3608</v>
      </c>
      <c r="E1636">
        <v>2</v>
      </c>
      <c r="F1636" t="s">
        <v>3609</v>
      </c>
      <c r="G1636" s="10">
        <v>45072</v>
      </c>
      <c r="H1636">
        <v>39900</v>
      </c>
      <c r="I1636">
        <v>9484</v>
      </c>
      <c r="J1636" t="s">
        <v>3610</v>
      </c>
      <c r="K1636">
        <v>5</v>
      </c>
      <c r="L1636" t="s">
        <v>24</v>
      </c>
      <c r="M1636" t="s">
        <v>24</v>
      </c>
    </row>
    <row r="1637" spans="1:13">
      <c r="A1637" t="s">
        <v>431</v>
      </c>
      <c r="B1637" t="s">
        <v>160</v>
      </c>
      <c r="C1637" t="s">
        <v>67</v>
      </c>
      <c r="D1637" t="s">
        <v>3611</v>
      </c>
      <c r="E1637">
        <v>2</v>
      </c>
      <c r="F1637" t="s">
        <v>3612</v>
      </c>
      <c r="G1637" s="10">
        <v>45208</v>
      </c>
      <c r="H1637">
        <v>24898</v>
      </c>
      <c r="I1637">
        <v>3798</v>
      </c>
      <c r="J1637" t="s">
        <v>193</v>
      </c>
      <c r="K1637">
        <v>5</v>
      </c>
      <c r="L1637" t="s">
        <v>35</v>
      </c>
      <c r="M1637" t="s">
        <v>27</v>
      </c>
    </row>
    <row r="1638" spans="1:13">
      <c r="A1638" t="s">
        <v>261</v>
      </c>
      <c r="B1638" t="s">
        <v>160</v>
      </c>
      <c r="C1638" t="s">
        <v>67</v>
      </c>
      <c r="D1638" t="s">
        <v>3613</v>
      </c>
      <c r="E1638">
        <v>2</v>
      </c>
      <c r="F1638" t="s">
        <v>3614</v>
      </c>
      <c r="G1638" s="10">
        <v>45204</v>
      </c>
      <c r="H1638">
        <v>32500</v>
      </c>
      <c r="I1638">
        <v>7500</v>
      </c>
      <c r="J1638" t="s">
        <v>163</v>
      </c>
      <c r="K1638">
        <v>5</v>
      </c>
      <c r="L1638" t="s">
        <v>35</v>
      </c>
      <c r="M1638" t="s">
        <v>27</v>
      </c>
    </row>
    <row r="1639" spans="1:13">
      <c r="A1639" t="s">
        <v>190</v>
      </c>
      <c r="B1639" t="s">
        <v>160</v>
      </c>
      <c r="C1639" t="s">
        <v>67</v>
      </c>
      <c r="D1639" t="s">
        <v>3615</v>
      </c>
      <c r="E1639">
        <v>2</v>
      </c>
      <c r="F1639" t="s">
        <v>3616</v>
      </c>
      <c r="G1639" s="10">
        <v>45204</v>
      </c>
      <c r="H1639">
        <v>22420</v>
      </c>
      <c r="I1639">
        <v>3420</v>
      </c>
      <c r="J1639" t="s">
        <v>193</v>
      </c>
      <c r="K1639">
        <v>6</v>
      </c>
      <c r="L1639" t="s">
        <v>35</v>
      </c>
      <c r="M1639" t="s">
        <v>27</v>
      </c>
    </row>
    <row r="1640" spans="1:13">
      <c r="A1640" t="s">
        <v>133</v>
      </c>
      <c r="B1640" t="s">
        <v>82</v>
      </c>
      <c r="C1640" t="s">
        <v>28</v>
      </c>
      <c r="D1640" t="s">
        <v>3617</v>
      </c>
      <c r="E1640">
        <v>2</v>
      </c>
      <c r="F1640" t="s">
        <v>3618</v>
      </c>
      <c r="G1640" s="10">
        <v>45212</v>
      </c>
      <c r="H1640">
        <v>84131.04</v>
      </c>
      <c r="I1640">
        <v>25798.04</v>
      </c>
      <c r="J1640" t="s">
        <v>126</v>
      </c>
      <c r="K1640">
        <v>5</v>
      </c>
      <c r="L1640" t="s">
        <v>24</v>
      </c>
      <c r="M1640" t="s">
        <v>26</v>
      </c>
    </row>
    <row r="1641" spans="1:13">
      <c r="A1641" t="s">
        <v>194</v>
      </c>
      <c r="B1641" t="s">
        <v>160</v>
      </c>
      <c r="C1641" t="s">
        <v>67</v>
      </c>
      <c r="D1641" t="s">
        <v>3619</v>
      </c>
      <c r="E1641">
        <v>2</v>
      </c>
      <c r="F1641" t="s">
        <v>3620</v>
      </c>
      <c r="G1641" s="10">
        <v>45204</v>
      </c>
      <c r="H1641">
        <v>42000</v>
      </c>
      <c r="I1641">
        <v>7000</v>
      </c>
      <c r="J1641" t="s">
        <v>163</v>
      </c>
      <c r="K1641">
        <v>5</v>
      </c>
      <c r="L1641" t="s">
        <v>35</v>
      </c>
      <c r="M1641" t="s">
        <v>27</v>
      </c>
    </row>
    <row r="1642" spans="1:13">
      <c r="A1642" t="s">
        <v>1658</v>
      </c>
      <c r="B1642" t="s">
        <v>160</v>
      </c>
      <c r="C1642" t="s">
        <v>67</v>
      </c>
      <c r="D1642" t="s">
        <v>3621</v>
      </c>
      <c r="E1642">
        <v>2</v>
      </c>
      <c r="F1642" t="s">
        <v>3622</v>
      </c>
      <c r="G1642" s="10">
        <v>45204</v>
      </c>
      <c r="H1642">
        <v>22420</v>
      </c>
      <c r="I1642">
        <v>3420</v>
      </c>
      <c r="J1642" t="s">
        <v>193</v>
      </c>
      <c r="K1642">
        <v>6</v>
      </c>
      <c r="L1642" t="s">
        <v>35</v>
      </c>
      <c r="M1642" t="s">
        <v>27</v>
      </c>
    </row>
    <row r="1643" spans="1:13">
      <c r="A1643" t="s">
        <v>431</v>
      </c>
      <c r="B1643" t="s">
        <v>160</v>
      </c>
      <c r="C1643" t="s">
        <v>67</v>
      </c>
      <c r="D1643" t="s">
        <v>3623</v>
      </c>
      <c r="E1643">
        <v>2</v>
      </c>
      <c r="F1643" t="s">
        <v>3624</v>
      </c>
      <c r="G1643" s="10">
        <v>45212</v>
      </c>
      <c r="H1643">
        <v>21889</v>
      </c>
      <c r="I1643">
        <v>3339</v>
      </c>
      <c r="J1643" t="s">
        <v>193</v>
      </c>
      <c r="K1643">
        <v>6</v>
      </c>
      <c r="L1643" t="s">
        <v>35</v>
      </c>
      <c r="M1643" t="s">
        <v>27</v>
      </c>
    </row>
    <row r="1644" spans="1:13">
      <c r="A1644" t="s">
        <v>399</v>
      </c>
      <c r="B1644" t="s">
        <v>231</v>
      </c>
      <c r="C1644" t="s">
        <v>400</v>
      </c>
      <c r="D1644" t="s">
        <v>3625</v>
      </c>
      <c r="E1644">
        <v>2</v>
      </c>
      <c r="F1644" t="s">
        <v>3626</v>
      </c>
      <c r="G1644" s="10">
        <v>45230</v>
      </c>
      <c r="H1644">
        <v>200000</v>
      </c>
      <c r="I1644">
        <v>11667</v>
      </c>
      <c r="J1644" t="s">
        <v>227</v>
      </c>
      <c r="K1644">
        <v>5</v>
      </c>
      <c r="L1644" t="s">
        <v>41</v>
      </c>
      <c r="M1644" t="s">
        <v>42</v>
      </c>
    </row>
    <row r="1645" spans="1:13">
      <c r="A1645" t="s">
        <v>1039</v>
      </c>
      <c r="B1645" t="s">
        <v>28</v>
      </c>
      <c r="C1645" t="s">
        <v>238</v>
      </c>
      <c r="D1645" t="s">
        <v>3627</v>
      </c>
      <c r="E1645">
        <v>2</v>
      </c>
      <c r="F1645" t="s">
        <v>3628</v>
      </c>
      <c r="G1645" s="10">
        <v>45215</v>
      </c>
      <c r="H1645">
        <v>157500</v>
      </c>
      <c r="I1645">
        <v>28334</v>
      </c>
      <c r="J1645" t="s">
        <v>834</v>
      </c>
      <c r="K1645">
        <v>5</v>
      </c>
      <c r="L1645" t="s">
        <v>37</v>
      </c>
      <c r="M1645" t="s">
        <v>25</v>
      </c>
    </row>
    <row r="1646" spans="1:13">
      <c r="A1646" t="s">
        <v>2024</v>
      </c>
      <c r="B1646" t="s">
        <v>43</v>
      </c>
      <c r="C1646" t="s">
        <v>94</v>
      </c>
      <c r="D1646" t="s">
        <v>3629</v>
      </c>
      <c r="E1646">
        <v>2</v>
      </c>
      <c r="F1646" t="s">
        <v>3630</v>
      </c>
      <c r="G1646" s="10">
        <v>45208</v>
      </c>
      <c r="H1646">
        <v>156492</v>
      </c>
      <c r="I1646">
        <v>23159</v>
      </c>
      <c r="J1646" t="s">
        <v>458</v>
      </c>
      <c r="K1646">
        <v>6</v>
      </c>
      <c r="L1646" t="s">
        <v>37</v>
      </c>
      <c r="M1646" t="s">
        <v>33</v>
      </c>
    </row>
    <row r="1647" spans="1:13">
      <c r="A1647" t="s">
        <v>251</v>
      </c>
      <c r="B1647" t="s">
        <v>160</v>
      </c>
      <c r="C1647" t="s">
        <v>67</v>
      </c>
      <c r="D1647" t="s">
        <v>3631</v>
      </c>
      <c r="E1647">
        <v>2</v>
      </c>
      <c r="F1647" t="s">
        <v>3632</v>
      </c>
      <c r="G1647" s="10">
        <v>45208</v>
      </c>
      <c r="H1647">
        <v>22420</v>
      </c>
      <c r="I1647">
        <v>3420</v>
      </c>
      <c r="J1647" t="s">
        <v>193</v>
      </c>
      <c r="K1647">
        <v>5</v>
      </c>
      <c r="L1647" t="s">
        <v>35</v>
      </c>
      <c r="M1647" t="s">
        <v>27</v>
      </c>
    </row>
    <row r="1648" spans="1:13">
      <c r="A1648" t="s">
        <v>159</v>
      </c>
      <c r="B1648" t="s">
        <v>160</v>
      </c>
      <c r="C1648" t="s">
        <v>67</v>
      </c>
      <c r="D1648" t="s">
        <v>3633</v>
      </c>
      <c r="E1648">
        <v>2</v>
      </c>
      <c r="F1648" t="s">
        <v>3634</v>
      </c>
      <c r="G1648" s="10">
        <v>45209</v>
      </c>
      <c r="H1648">
        <v>22420</v>
      </c>
      <c r="I1648">
        <v>3420</v>
      </c>
      <c r="J1648" t="s">
        <v>193</v>
      </c>
      <c r="K1648">
        <v>6</v>
      </c>
      <c r="L1648" t="s">
        <v>35</v>
      </c>
      <c r="M1648" t="s">
        <v>27</v>
      </c>
    </row>
    <row r="1649" spans="1:13">
      <c r="A1649" t="s">
        <v>431</v>
      </c>
      <c r="B1649" t="s">
        <v>160</v>
      </c>
      <c r="C1649" t="s">
        <v>67</v>
      </c>
      <c r="D1649" t="s">
        <v>3635</v>
      </c>
      <c r="E1649">
        <v>2</v>
      </c>
      <c r="F1649" t="s">
        <v>3636</v>
      </c>
      <c r="G1649" s="10">
        <v>45209</v>
      </c>
      <c r="H1649">
        <v>17700</v>
      </c>
      <c r="I1649">
        <v>2700</v>
      </c>
      <c r="J1649" t="s">
        <v>193</v>
      </c>
      <c r="K1649">
        <v>5</v>
      </c>
      <c r="L1649" t="s">
        <v>35</v>
      </c>
      <c r="M1649" t="s">
        <v>27</v>
      </c>
    </row>
    <row r="1650" spans="1:13">
      <c r="A1650" t="s">
        <v>133</v>
      </c>
      <c r="B1650" t="s">
        <v>82</v>
      </c>
      <c r="C1650" t="s">
        <v>28</v>
      </c>
      <c r="D1650" t="s">
        <v>3637</v>
      </c>
      <c r="E1650">
        <v>1</v>
      </c>
      <c r="F1650" t="s">
        <v>3638</v>
      </c>
      <c r="G1650" s="10">
        <v>45208</v>
      </c>
      <c r="H1650">
        <v>88200</v>
      </c>
      <c r="I1650">
        <v>13200</v>
      </c>
      <c r="J1650" t="s">
        <v>834</v>
      </c>
      <c r="K1650">
        <v>5</v>
      </c>
      <c r="L1650" t="s">
        <v>37</v>
      </c>
      <c r="M1650" t="s">
        <v>25</v>
      </c>
    </row>
    <row r="1651" spans="1:13">
      <c r="A1651" t="s">
        <v>3586</v>
      </c>
      <c r="B1651" t="s">
        <v>118</v>
      </c>
      <c r="C1651" t="s">
        <v>98</v>
      </c>
      <c r="D1651" t="s">
        <v>3639</v>
      </c>
      <c r="E1651">
        <v>2</v>
      </c>
      <c r="F1651" t="s">
        <v>3640</v>
      </c>
      <c r="G1651" s="10">
        <v>45208</v>
      </c>
      <c r="H1651">
        <v>33333.33</v>
      </c>
      <c r="I1651">
        <v>4167.33</v>
      </c>
      <c r="J1651" t="s">
        <v>308</v>
      </c>
      <c r="K1651">
        <v>6</v>
      </c>
      <c r="L1651" t="s">
        <v>24</v>
      </c>
      <c r="M1651" t="s">
        <v>32</v>
      </c>
    </row>
    <row r="1652" spans="1:13">
      <c r="A1652" t="s">
        <v>197</v>
      </c>
      <c r="B1652" t="s">
        <v>160</v>
      </c>
      <c r="C1652" t="s">
        <v>67</v>
      </c>
      <c r="D1652" t="s">
        <v>3641</v>
      </c>
      <c r="E1652">
        <v>2</v>
      </c>
      <c r="F1652" t="s">
        <v>3642</v>
      </c>
      <c r="G1652" s="10">
        <v>45210</v>
      </c>
      <c r="H1652">
        <v>17700</v>
      </c>
      <c r="I1652">
        <v>2700</v>
      </c>
      <c r="J1652" t="s">
        <v>193</v>
      </c>
      <c r="K1652">
        <v>6</v>
      </c>
      <c r="L1652" t="s">
        <v>35</v>
      </c>
      <c r="M1652" t="s">
        <v>27</v>
      </c>
    </row>
    <row r="1653" spans="1:13">
      <c r="A1653" t="s">
        <v>1658</v>
      </c>
      <c r="B1653" t="s">
        <v>160</v>
      </c>
      <c r="C1653" t="s">
        <v>67</v>
      </c>
      <c r="D1653" t="s">
        <v>3643</v>
      </c>
      <c r="E1653">
        <v>2</v>
      </c>
      <c r="F1653" t="s">
        <v>3644</v>
      </c>
      <c r="G1653" s="10">
        <v>45210</v>
      </c>
      <c r="H1653">
        <v>22420</v>
      </c>
      <c r="I1653">
        <v>3420</v>
      </c>
      <c r="J1653" t="s">
        <v>193</v>
      </c>
      <c r="K1653">
        <v>5</v>
      </c>
      <c r="L1653" t="s">
        <v>35</v>
      </c>
      <c r="M1653" t="s">
        <v>27</v>
      </c>
    </row>
    <row r="1654" spans="1:13">
      <c r="A1654" t="s">
        <v>431</v>
      </c>
      <c r="B1654" t="s">
        <v>160</v>
      </c>
      <c r="C1654" t="s">
        <v>67</v>
      </c>
      <c r="D1654" t="s">
        <v>3645</v>
      </c>
      <c r="E1654">
        <v>2</v>
      </c>
      <c r="F1654" t="s">
        <v>3646</v>
      </c>
      <c r="G1654" s="10">
        <v>45215</v>
      </c>
      <c r="H1654">
        <v>22420</v>
      </c>
      <c r="I1654">
        <v>3420</v>
      </c>
      <c r="J1654" t="s">
        <v>193</v>
      </c>
      <c r="K1654">
        <v>5</v>
      </c>
      <c r="L1654" t="s">
        <v>35</v>
      </c>
      <c r="M1654" t="s">
        <v>27</v>
      </c>
    </row>
    <row r="1655" spans="1:13">
      <c r="A1655" t="s">
        <v>3647</v>
      </c>
      <c r="B1655" t="s">
        <v>1983</v>
      </c>
      <c r="C1655" t="s">
        <v>45</v>
      </c>
      <c r="D1655" t="s">
        <v>3648</v>
      </c>
      <c r="E1655">
        <v>2</v>
      </c>
      <c r="F1655" t="s">
        <v>3649</v>
      </c>
      <c r="G1655" s="10">
        <v>45215</v>
      </c>
      <c r="H1655">
        <v>200000</v>
      </c>
      <c r="I1655">
        <v>37500</v>
      </c>
      <c r="J1655" t="s">
        <v>884</v>
      </c>
      <c r="K1655">
        <v>6</v>
      </c>
      <c r="L1655" t="s">
        <v>44</v>
      </c>
      <c r="M1655" t="s">
        <v>45</v>
      </c>
    </row>
    <row r="1656" spans="1:13">
      <c r="A1656" t="s">
        <v>71</v>
      </c>
      <c r="B1656" t="s">
        <v>72</v>
      </c>
      <c r="C1656" t="s">
        <v>67</v>
      </c>
      <c r="D1656" t="s">
        <v>3650</v>
      </c>
      <c r="E1656">
        <v>1</v>
      </c>
      <c r="F1656" t="s">
        <v>3651</v>
      </c>
      <c r="G1656" s="10">
        <v>45231</v>
      </c>
      <c r="H1656">
        <v>45517.5</v>
      </c>
      <c r="I1656">
        <v>10517.5</v>
      </c>
      <c r="J1656" t="s">
        <v>75</v>
      </c>
      <c r="K1656">
        <v>5</v>
      </c>
      <c r="L1656" t="s">
        <v>35</v>
      </c>
      <c r="M1656" t="s">
        <v>29</v>
      </c>
    </row>
    <row r="1657" spans="1:13">
      <c r="A1657" t="s">
        <v>197</v>
      </c>
      <c r="B1657" t="s">
        <v>160</v>
      </c>
      <c r="C1657" t="s">
        <v>67</v>
      </c>
      <c r="D1657" t="s">
        <v>3652</v>
      </c>
      <c r="E1657">
        <v>2</v>
      </c>
      <c r="F1657" t="s">
        <v>3653</v>
      </c>
      <c r="G1657" s="10">
        <v>45209</v>
      </c>
      <c r="H1657">
        <v>22420</v>
      </c>
      <c r="I1657">
        <v>3420</v>
      </c>
      <c r="J1657" t="s">
        <v>193</v>
      </c>
      <c r="K1657">
        <v>5</v>
      </c>
      <c r="L1657" t="s">
        <v>35</v>
      </c>
      <c r="M1657" t="s">
        <v>27</v>
      </c>
    </row>
    <row r="1658" spans="1:13">
      <c r="A1658" t="s">
        <v>261</v>
      </c>
      <c r="B1658" t="s">
        <v>160</v>
      </c>
      <c r="C1658" t="s">
        <v>67</v>
      </c>
      <c r="D1658" t="s">
        <v>3654</v>
      </c>
      <c r="E1658">
        <v>2</v>
      </c>
      <c r="F1658" t="s">
        <v>3655</v>
      </c>
      <c r="G1658" s="10">
        <v>45226</v>
      </c>
      <c r="H1658">
        <v>29500</v>
      </c>
      <c r="I1658">
        <v>4500</v>
      </c>
      <c r="J1658" t="s">
        <v>193</v>
      </c>
      <c r="K1658">
        <v>5</v>
      </c>
      <c r="L1658" t="s">
        <v>35</v>
      </c>
      <c r="M1658" t="s">
        <v>27</v>
      </c>
    </row>
    <row r="1659" spans="1:13">
      <c r="A1659" t="s">
        <v>3586</v>
      </c>
      <c r="B1659" t="s">
        <v>118</v>
      </c>
      <c r="C1659" t="s">
        <v>98</v>
      </c>
      <c r="D1659" t="s">
        <v>3656</v>
      </c>
      <c r="E1659">
        <v>2</v>
      </c>
      <c r="F1659" t="s">
        <v>3657</v>
      </c>
      <c r="G1659" s="10">
        <v>45209</v>
      </c>
      <c r="H1659">
        <v>33333.33</v>
      </c>
      <c r="I1659">
        <v>4167.33</v>
      </c>
      <c r="J1659" t="s">
        <v>308</v>
      </c>
      <c r="K1659">
        <v>6</v>
      </c>
      <c r="L1659" t="s">
        <v>24</v>
      </c>
      <c r="M1659" t="s">
        <v>32</v>
      </c>
    </row>
    <row r="1660" spans="1:13">
      <c r="A1660" t="s">
        <v>3424</v>
      </c>
      <c r="B1660" t="s">
        <v>179</v>
      </c>
      <c r="C1660" t="s">
        <v>45</v>
      </c>
      <c r="D1660" t="s">
        <v>3658</v>
      </c>
      <c r="E1660">
        <v>2</v>
      </c>
      <c r="F1660" t="s">
        <v>3659</v>
      </c>
      <c r="G1660" s="10">
        <v>45210</v>
      </c>
      <c r="H1660">
        <v>280000.56</v>
      </c>
      <c r="I1660">
        <v>80000.56</v>
      </c>
      <c r="J1660" t="s">
        <v>2077</v>
      </c>
      <c r="K1660">
        <v>5</v>
      </c>
      <c r="L1660" t="s">
        <v>44</v>
      </c>
      <c r="M1660" t="s">
        <v>45</v>
      </c>
    </row>
    <row r="1661" spans="1:13">
      <c r="A1661" t="s">
        <v>194</v>
      </c>
      <c r="B1661" t="s">
        <v>160</v>
      </c>
      <c r="C1661" t="s">
        <v>67</v>
      </c>
      <c r="D1661" t="s">
        <v>3660</v>
      </c>
      <c r="E1661">
        <v>2</v>
      </c>
      <c r="F1661" t="s">
        <v>3661</v>
      </c>
      <c r="G1661" s="10">
        <v>45211</v>
      </c>
      <c r="H1661">
        <v>42000</v>
      </c>
      <c r="I1661">
        <v>7000</v>
      </c>
      <c r="J1661" t="s">
        <v>163</v>
      </c>
      <c r="K1661">
        <v>6</v>
      </c>
      <c r="L1661" t="s">
        <v>35</v>
      </c>
      <c r="M1661" t="s">
        <v>27</v>
      </c>
    </row>
    <row r="1662" spans="1:13">
      <c r="A1662" t="s">
        <v>571</v>
      </c>
      <c r="B1662" t="s">
        <v>179</v>
      </c>
      <c r="C1662" t="s">
        <v>45</v>
      </c>
      <c r="D1662" t="s">
        <v>3662</v>
      </c>
      <c r="E1662">
        <v>2</v>
      </c>
      <c r="F1662" t="s">
        <v>3663</v>
      </c>
      <c r="G1662" s="10">
        <v>45210</v>
      </c>
      <c r="H1662">
        <v>211200</v>
      </c>
      <c r="I1662">
        <v>111200</v>
      </c>
      <c r="J1662" t="s">
        <v>182</v>
      </c>
      <c r="K1662">
        <v>6</v>
      </c>
      <c r="L1662" t="s">
        <v>44</v>
      </c>
      <c r="M1662" t="s">
        <v>45</v>
      </c>
    </row>
    <row r="1663" spans="1:13">
      <c r="A1663" t="s">
        <v>1868</v>
      </c>
      <c r="B1663" t="s">
        <v>66</v>
      </c>
      <c r="C1663" t="s">
        <v>67</v>
      </c>
      <c r="D1663" t="s">
        <v>3664</v>
      </c>
      <c r="E1663">
        <v>6</v>
      </c>
      <c r="F1663" t="s">
        <v>3665</v>
      </c>
      <c r="G1663" s="10">
        <v>45210</v>
      </c>
      <c r="H1663">
        <v>25000</v>
      </c>
      <c r="I1663">
        <v>4167</v>
      </c>
      <c r="J1663" t="s">
        <v>70</v>
      </c>
      <c r="K1663">
        <v>6</v>
      </c>
      <c r="L1663" t="s">
        <v>35</v>
      </c>
      <c r="M1663" t="s">
        <v>36</v>
      </c>
    </row>
    <row r="1664" spans="1:13">
      <c r="A1664" t="s">
        <v>2141</v>
      </c>
      <c r="B1664" t="s">
        <v>66</v>
      </c>
      <c r="C1664" t="s">
        <v>67</v>
      </c>
      <c r="D1664" t="s">
        <v>3666</v>
      </c>
      <c r="E1664">
        <v>6</v>
      </c>
      <c r="F1664" t="s">
        <v>3667</v>
      </c>
      <c r="G1664" s="10">
        <v>45210</v>
      </c>
      <c r="H1664">
        <v>25000</v>
      </c>
      <c r="I1664">
        <v>4167</v>
      </c>
      <c r="J1664" t="s">
        <v>70</v>
      </c>
      <c r="K1664">
        <v>6</v>
      </c>
      <c r="L1664" t="s">
        <v>35</v>
      </c>
      <c r="M1664" t="s">
        <v>36</v>
      </c>
    </row>
    <row r="1665" spans="1:13">
      <c r="A1665" t="s">
        <v>190</v>
      </c>
      <c r="B1665" t="s">
        <v>160</v>
      </c>
      <c r="C1665" t="s">
        <v>67</v>
      </c>
      <c r="D1665" t="s">
        <v>3668</v>
      </c>
      <c r="E1665">
        <v>2</v>
      </c>
      <c r="F1665" t="s">
        <v>3669</v>
      </c>
      <c r="G1665" s="10">
        <v>45215</v>
      </c>
      <c r="H1665">
        <v>32500</v>
      </c>
      <c r="I1665">
        <v>7500</v>
      </c>
      <c r="J1665" t="s">
        <v>163</v>
      </c>
      <c r="K1665">
        <v>5</v>
      </c>
      <c r="L1665" t="s">
        <v>35</v>
      </c>
      <c r="M1665" t="s">
        <v>27</v>
      </c>
    </row>
    <row r="1666" spans="1:13">
      <c r="A1666" t="s">
        <v>1447</v>
      </c>
      <c r="B1666" t="s">
        <v>179</v>
      </c>
      <c r="C1666" t="s">
        <v>45</v>
      </c>
      <c r="D1666" t="s">
        <v>3670</v>
      </c>
      <c r="E1666">
        <v>4</v>
      </c>
      <c r="F1666" t="s">
        <v>3671</v>
      </c>
      <c r="G1666" s="10">
        <v>45212</v>
      </c>
      <c r="H1666">
        <v>268000</v>
      </c>
      <c r="I1666">
        <v>34667</v>
      </c>
      <c r="J1666" t="s">
        <v>884</v>
      </c>
      <c r="K1666">
        <v>5</v>
      </c>
      <c r="L1666" t="s">
        <v>44</v>
      </c>
      <c r="M1666" t="s">
        <v>45</v>
      </c>
    </row>
    <row r="1667" spans="1:13">
      <c r="A1667" t="s">
        <v>190</v>
      </c>
      <c r="B1667" t="s">
        <v>160</v>
      </c>
      <c r="C1667" t="s">
        <v>67</v>
      </c>
      <c r="D1667" t="s">
        <v>2102</v>
      </c>
      <c r="E1667">
        <v>2</v>
      </c>
      <c r="F1667" t="s">
        <v>3672</v>
      </c>
      <c r="G1667" s="10">
        <v>45215</v>
      </c>
      <c r="H1667">
        <v>32500</v>
      </c>
      <c r="I1667">
        <v>7500</v>
      </c>
      <c r="J1667" t="s">
        <v>163</v>
      </c>
      <c r="K1667">
        <v>5</v>
      </c>
      <c r="L1667" t="s">
        <v>35</v>
      </c>
      <c r="M1667" t="s">
        <v>27</v>
      </c>
    </row>
    <row r="1668" spans="1:13">
      <c r="A1668" t="s">
        <v>3673</v>
      </c>
      <c r="B1668" t="s">
        <v>179</v>
      </c>
      <c r="C1668" t="s">
        <v>45</v>
      </c>
      <c r="D1668" t="s">
        <v>3674</v>
      </c>
      <c r="E1668">
        <v>2</v>
      </c>
      <c r="F1668" t="s">
        <v>3675</v>
      </c>
      <c r="G1668" s="10">
        <v>45211</v>
      </c>
      <c r="H1668">
        <v>268800</v>
      </c>
      <c r="I1668">
        <v>135467</v>
      </c>
      <c r="J1668" t="s">
        <v>189</v>
      </c>
      <c r="K1668">
        <v>5</v>
      </c>
      <c r="L1668" t="s">
        <v>44</v>
      </c>
      <c r="M1668" t="s">
        <v>45</v>
      </c>
    </row>
    <row r="1669" spans="1:13">
      <c r="A1669" t="s">
        <v>527</v>
      </c>
      <c r="B1669" t="s">
        <v>93</v>
      </c>
      <c r="C1669" t="s">
        <v>94</v>
      </c>
      <c r="D1669" t="s">
        <v>3676</v>
      </c>
      <c r="E1669">
        <v>2</v>
      </c>
      <c r="F1669" t="s">
        <v>3677</v>
      </c>
      <c r="G1669" s="10">
        <v>45226</v>
      </c>
      <c r="H1669">
        <v>289800</v>
      </c>
      <c r="I1669">
        <v>6467</v>
      </c>
      <c r="J1669" t="s">
        <v>97</v>
      </c>
      <c r="K1669">
        <v>6</v>
      </c>
      <c r="L1669" t="s">
        <v>41</v>
      </c>
      <c r="M1669" t="s">
        <v>42</v>
      </c>
    </row>
    <row r="1670" spans="1:13">
      <c r="A1670" t="s">
        <v>2877</v>
      </c>
      <c r="B1670" t="s">
        <v>848</v>
      </c>
      <c r="C1670" t="s">
        <v>98</v>
      </c>
      <c r="D1670" t="s">
        <v>3678</v>
      </c>
      <c r="E1670">
        <v>1</v>
      </c>
      <c r="F1670" t="s">
        <v>3679</v>
      </c>
      <c r="G1670" s="10">
        <v>45222</v>
      </c>
      <c r="H1670">
        <v>268800</v>
      </c>
      <c r="I1670">
        <v>122967</v>
      </c>
      <c r="J1670" t="s">
        <v>3680</v>
      </c>
      <c r="K1670">
        <v>6</v>
      </c>
      <c r="L1670" t="s">
        <v>24</v>
      </c>
      <c r="M1670" t="s">
        <v>27</v>
      </c>
    </row>
    <row r="1671" spans="1:13">
      <c r="A1671" t="s">
        <v>527</v>
      </c>
      <c r="B1671" t="s">
        <v>93</v>
      </c>
      <c r="C1671" t="s">
        <v>94</v>
      </c>
      <c r="D1671" t="s">
        <v>3681</v>
      </c>
      <c r="E1671">
        <v>2</v>
      </c>
      <c r="F1671" t="s">
        <v>3682</v>
      </c>
      <c r="G1671" s="10">
        <v>45222</v>
      </c>
      <c r="H1671">
        <v>231000</v>
      </c>
      <c r="I1671">
        <v>39334</v>
      </c>
      <c r="J1671" t="s">
        <v>97</v>
      </c>
      <c r="K1671">
        <v>5</v>
      </c>
      <c r="L1671" t="s">
        <v>41</v>
      </c>
      <c r="M1671" t="s">
        <v>42</v>
      </c>
    </row>
    <row r="1672" spans="1:13">
      <c r="A1672" t="s">
        <v>794</v>
      </c>
      <c r="B1672" t="s">
        <v>118</v>
      </c>
      <c r="C1672" t="s">
        <v>98</v>
      </c>
      <c r="D1672" t="s">
        <v>3683</v>
      </c>
      <c r="E1672">
        <v>4</v>
      </c>
      <c r="F1672" t="s">
        <v>3684</v>
      </c>
      <c r="G1672" s="10">
        <v>45215</v>
      </c>
      <c r="H1672">
        <v>295566.5</v>
      </c>
      <c r="I1672">
        <v>64566.5</v>
      </c>
      <c r="J1672" t="s">
        <v>121</v>
      </c>
      <c r="K1672">
        <v>5</v>
      </c>
      <c r="L1672" t="s">
        <v>24</v>
      </c>
      <c r="M1672" t="s">
        <v>30</v>
      </c>
    </row>
    <row r="1673" spans="1:13">
      <c r="A1673" t="s">
        <v>190</v>
      </c>
      <c r="B1673" t="s">
        <v>160</v>
      </c>
      <c r="C1673" t="s">
        <v>67</v>
      </c>
      <c r="D1673" t="s">
        <v>3685</v>
      </c>
      <c r="E1673">
        <v>2</v>
      </c>
      <c r="F1673" t="s">
        <v>3686</v>
      </c>
      <c r="G1673" s="10">
        <v>45212</v>
      </c>
      <c r="H1673">
        <v>24898</v>
      </c>
      <c r="I1673">
        <v>3798</v>
      </c>
      <c r="J1673" t="s">
        <v>193</v>
      </c>
      <c r="K1673">
        <v>5</v>
      </c>
      <c r="L1673" t="s">
        <v>35</v>
      </c>
      <c r="M1673" t="s">
        <v>27</v>
      </c>
    </row>
    <row r="1674" spans="1:13">
      <c r="A1674" t="s">
        <v>527</v>
      </c>
      <c r="B1674" t="s">
        <v>93</v>
      </c>
      <c r="C1674" t="s">
        <v>94</v>
      </c>
      <c r="D1674" t="s">
        <v>3687</v>
      </c>
      <c r="E1674">
        <v>2</v>
      </c>
      <c r="F1674" t="s">
        <v>3688</v>
      </c>
      <c r="G1674" s="10">
        <v>45222</v>
      </c>
      <c r="H1674">
        <v>163800</v>
      </c>
      <c r="I1674">
        <v>5467</v>
      </c>
      <c r="J1674" t="s">
        <v>97</v>
      </c>
      <c r="K1674">
        <v>5</v>
      </c>
      <c r="L1674" t="s">
        <v>41</v>
      </c>
      <c r="M1674" t="s">
        <v>42</v>
      </c>
    </row>
    <row r="1675" spans="1:13">
      <c r="A1675" t="s">
        <v>251</v>
      </c>
      <c r="B1675" t="s">
        <v>160</v>
      </c>
      <c r="C1675" t="s">
        <v>67</v>
      </c>
      <c r="D1675" t="s">
        <v>3689</v>
      </c>
      <c r="E1675">
        <v>2</v>
      </c>
      <c r="F1675" t="s">
        <v>3690</v>
      </c>
      <c r="G1675" s="10">
        <v>45212</v>
      </c>
      <c r="H1675">
        <v>21889</v>
      </c>
      <c r="I1675">
        <v>3339</v>
      </c>
      <c r="J1675" t="s">
        <v>193</v>
      </c>
      <c r="K1675">
        <v>6</v>
      </c>
      <c r="L1675" t="s">
        <v>35</v>
      </c>
      <c r="M1675" t="s">
        <v>27</v>
      </c>
    </row>
    <row r="1676" spans="1:13">
      <c r="A1676" t="s">
        <v>431</v>
      </c>
      <c r="B1676" t="s">
        <v>160</v>
      </c>
      <c r="C1676" t="s">
        <v>67</v>
      </c>
      <c r="D1676" t="s">
        <v>3691</v>
      </c>
      <c r="E1676">
        <v>2</v>
      </c>
      <c r="F1676" t="s">
        <v>3692</v>
      </c>
      <c r="G1676" s="10">
        <v>45215</v>
      </c>
      <c r="H1676">
        <v>21889</v>
      </c>
      <c r="I1676">
        <v>3339</v>
      </c>
      <c r="J1676" t="s">
        <v>193</v>
      </c>
      <c r="K1676">
        <v>6</v>
      </c>
      <c r="L1676" t="s">
        <v>35</v>
      </c>
      <c r="M1676" t="s">
        <v>27</v>
      </c>
    </row>
    <row r="1677" spans="1:13">
      <c r="A1677" t="s">
        <v>1303</v>
      </c>
      <c r="B1677" t="s">
        <v>118</v>
      </c>
      <c r="C1677" t="s">
        <v>98</v>
      </c>
      <c r="D1677" t="s">
        <v>3693</v>
      </c>
      <c r="E1677">
        <v>1</v>
      </c>
      <c r="F1677" t="s">
        <v>3694</v>
      </c>
      <c r="G1677" s="10">
        <v>45215</v>
      </c>
      <c r="H1677">
        <v>197044.33</v>
      </c>
      <c r="I1677">
        <v>47044.33</v>
      </c>
      <c r="J1677" t="s">
        <v>121</v>
      </c>
      <c r="K1677">
        <v>6</v>
      </c>
      <c r="L1677" t="s">
        <v>24</v>
      </c>
      <c r="M1677" t="s">
        <v>30</v>
      </c>
    </row>
    <row r="1678" spans="1:13">
      <c r="A1678" t="s">
        <v>261</v>
      </c>
      <c r="B1678" t="s">
        <v>160</v>
      </c>
      <c r="C1678" t="s">
        <v>67</v>
      </c>
      <c r="D1678" t="s">
        <v>3695</v>
      </c>
      <c r="E1678">
        <v>2</v>
      </c>
      <c r="F1678" t="s">
        <v>3696</v>
      </c>
      <c r="G1678" s="10">
        <v>45215</v>
      </c>
      <c r="H1678">
        <v>42000</v>
      </c>
      <c r="I1678">
        <v>7000</v>
      </c>
      <c r="J1678" t="s">
        <v>163</v>
      </c>
      <c r="K1678">
        <v>5</v>
      </c>
      <c r="L1678" t="s">
        <v>35</v>
      </c>
      <c r="M1678" t="s">
        <v>27</v>
      </c>
    </row>
    <row r="1679" spans="1:13">
      <c r="A1679" t="s">
        <v>319</v>
      </c>
      <c r="B1679" t="s">
        <v>179</v>
      </c>
      <c r="C1679" t="s">
        <v>45</v>
      </c>
      <c r="D1679" t="s">
        <v>3697</v>
      </c>
      <c r="E1679">
        <v>4</v>
      </c>
      <c r="F1679" t="s">
        <v>3698</v>
      </c>
      <c r="G1679" s="10">
        <v>45222</v>
      </c>
      <c r="H1679">
        <v>311267.5</v>
      </c>
      <c r="I1679">
        <v>73767.5</v>
      </c>
      <c r="J1679" t="s">
        <v>322</v>
      </c>
      <c r="K1679">
        <v>6</v>
      </c>
      <c r="L1679" t="s">
        <v>44</v>
      </c>
      <c r="M1679" t="s">
        <v>45</v>
      </c>
    </row>
    <row r="1680" spans="1:13">
      <c r="A1680" t="s">
        <v>197</v>
      </c>
      <c r="B1680" t="s">
        <v>160</v>
      </c>
      <c r="C1680" t="s">
        <v>67</v>
      </c>
      <c r="D1680" t="s">
        <v>3699</v>
      </c>
      <c r="E1680">
        <v>2</v>
      </c>
      <c r="F1680" t="s">
        <v>3700</v>
      </c>
      <c r="G1680" s="10">
        <v>45215</v>
      </c>
      <c r="H1680">
        <v>24846</v>
      </c>
      <c r="I1680">
        <v>3790</v>
      </c>
      <c r="J1680" t="s">
        <v>193</v>
      </c>
      <c r="K1680">
        <v>5</v>
      </c>
      <c r="L1680" t="s">
        <v>35</v>
      </c>
      <c r="M1680" t="s">
        <v>27</v>
      </c>
    </row>
    <row r="1681" spans="1:13">
      <c r="A1681" t="s">
        <v>251</v>
      </c>
      <c r="B1681" t="s">
        <v>160</v>
      </c>
      <c r="C1681" t="s">
        <v>67</v>
      </c>
      <c r="D1681" t="s">
        <v>3701</v>
      </c>
      <c r="E1681">
        <v>2</v>
      </c>
      <c r="F1681" t="s">
        <v>3702</v>
      </c>
      <c r="G1681" s="10">
        <v>45215</v>
      </c>
      <c r="H1681">
        <v>22420</v>
      </c>
      <c r="I1681">
        <v>3420</v>
      </c>
      <c r="J1681" t="s">
        <v>193</v>
      </c>
      <c r="K1681">
        <v>5</v>
      </c>
      <c r="L1681" t="s">
        <v>35</v>
      </c>
      <c r="M1681" t="s">
        <v>27</v>
      </c>
    </row>
    <row r="1682" spans="1:13">
      <c r="A1682" t="s">
        <v>190</v>
      </c>
      <c r="B1682" t="s">
        <v>160</v>
      </c>
      <c r="C1682" t="s">
        <v>67</v>
      </c>
      <c r="D1682" t="s">
        <v>3703</v>
      </c>
      <c r="E1682">
        <v>2</v>
      </c>
      <c r="F1682" t="s">
        <v>3704</v>
      </c>
      <c r="G1682" s="10">
        <v>45217</v>
      </c>
      <c r="H1682">
        <v>32500</v>
      </c>
      <c r="I1682">
        <v>7500</v>
      </c>
      <c r="J1682" t="s">
        <v>163</v>
      </c>
      <c r="K1682">
        <v>6</v>
      </c>
      <c r="L1682" t="s">
        <v>35</v>
      </c>
      <c r="M1682" t="s">
        <v>27</v>
      </c>
    </row>
    <row r="1683" spans="1:13">
      <c r="A1683" t="s">
        <v>190</v>
      </c>
      <c r="B1683" t="s">
        <v>160</v>
      </c>
      <c r="C1683" t="s">
        <v>67</v>
      </c>
      <c r="D1683" t="s">
        <v>3705</v>
      </c>
      <c r="E1683">
        <v>2</v>
      </c>
      <c r="F1683" t="s">
        <v>3706</v>
      </c>
      <c r="G1683" s="10">
        <v>45217</v>
      </c>
      <c r="H1683">
        <v>32500</v>
      </c>
      <c r="I1683">
        <v>7500</v>
      </c>
      <c r="J1683" t="s">
        <v>163</v>
      </c>
      <c r="K1683">
        <v>5</v>
      </c>
      <c r="L1683" t="s">
        <v>35</v>
      </c>
      <c r="M1683" t="s">
        <v>27</v>
      </c>
    </row>
    <row r="1684" spans="1:13">
      <c r="A1684" t="s">
        <v>194</v>
      </c>
      <c r="B1684" t="s">
        <v>160</v>
      </c>
      <c r="C1684" t="s">
        <v>67</v>
      </c>
      <c r="D1684" t="s">
        <v>3707</v>
      </c>
      <c r="E1684">
        <v>2</v>
      </c>
      <c r="F1684" t="s">
        <v>3708</v>
      </c>
      <c r="G1684" s="10">
        <v>45215</v>
      </c>
      <c r="H1684">
        <v>42000</v>
      </c>
      <c r="I1684">
        <v>7000</v>
      </c>
      <c r="J1684" t="s">
        <v>163</v>
      </c>
      <c r="K1684">
        <v>6</v>
      </c>
      <c r="L1684" t="s">
        <v>35</v>
      </c>
      <c r="M1684" t="s">
        <v>27</v>
      </c>
    </row>
    <row r="1685" spans="1:13">
      <c r="A1685" t="s">
        <v>251</v>
      </c>
      <c r="B1685" t="s">
        <v>160</v>
      </c>
      <c r="C1685" t="s">
        <v>67</v>
      </c>
      <c r="D1685" t="s">
        <v>3709</v>
      </c>
      <c r="E1685">
        <v>2</v>
      </c>
      <c r="F1685" t="s">
        <v>3710</v>
      </c>
      <c r="G1685" s="10">
        <v>45233</v>
      </c>
      <c r="H1685">
        <v>22420</v>
      </c>
      <c r="I1685">
        <v>3420</v>
      </c>
      <c r="J1685" t="s">
        <v>193</v>
      </c>
      <c r="K1685">
        <v>6</v>
      </c>
      <c r="L1685" t="s">
        <v>35</v>
      </c>
      <c r="M1685" t="s">
        <v>27</v>
      </c>
    </row>
    <row r="1686" spans="1:13">
      <c r="A1686" t="s">
        <v>966</v>
      </c>
      <c r="B1686" t="s">
        <v>215</v>
      </c>
      <c r="C1686" t="s">
        <v>94</v>
      </c>
      <c r="D1686" t="s">
        <v>3711</v>
      </c>
      <c r="E1686">
        <v>2</v>
      </c>
      <c r="F1686" t="s">
        <v>3712</v>
      </c>
      <c r="G1686" s="10">
        <v>45225</v>
      </c>
      <c r="H1686">
        <v>90000</v>
      </c>
      <c r="I1686">
        <v>19167</v>
      </c>
      <c r="J1686" t="s">
        <v>227</v>
      </c>
      <c r="K1686">
        <v>5</v>
      </c>
      <c r="L1686" t="s">
        <v>41</v>
      </c>
      <c r="M1686" t="s">
        <v>42</v>
      </c>
    </row>
    <row r="1687" spans="1:13">
      <c r="A1687" t="s">
        <v>966</v>
      </c>
      <c r="B1687" t="s">
        <v>215</v>
      </c>
      <c r="C1687" t="s">
        <v>94</v>
      </c>
      <c r="D1687" t="s">
        <v>3713</v>
      </c>
      <c r="E1687">
        <v>2</v>
      </c>
      <c r="F1687" t="s">
        <v>3714</v>
      </c>
      <c r="G1687" s="10">
        <v>45257</v>
      </c>
      <c r="H1687">
        <v>90000</v>
      </c>
      <c r="I1687">
        <v>6666.67</v>
      </c>
      <c r="J1687" t="s">
        <v>227</v>
      </c>
      <c r="K1687">
        <v>6</v>
      </c>
      <c r="L1687" t="s">
        <v>41</v>
      </c>
      <c r="M1687" t="s">
        <v>42</v>
      </c>
    </row>
    <row r="1688" spans="1:13">
      <c r="A1688" t="s">
        <v>3715</v>
      </c>
      <c r="B1688" t="s">
        <v>93</v>
      </c>
      <c r="C1688" t="s">
        <v>94</v>
      </c>
      <c r="D1688" t="s">
        <v>3716</v>
      </c>
      <c r="E1688">
        <v>7</v>
      </c>
      <c r="F1688" t="s">
        <v>3717</v>
      </c>
      <c r="G1688" s="10">
        <v>45225</v>
      </c>
      <c r="H1688">
        <v>83746.3</v>
      </c>
      <c r="I1688">
        <v>3606.3</v>
      </c>
      <c r="J1688" t="s">
        <v>313</v>
      </c>
      <c r="K1688">
        <v>5</v>
      </c>
      <c r="L1688" t="s">
        <v>41</v>
      </c>
      <c r="M1688" t="s">
        <v>42</v>
      </c>
    </row>
    <row r="1689" spans="1:13">
      <c r="A1689" t="s">
        <v>1044</v>
      </c>
      <c r="B1689" t="s">
        <v>93</v>
      </c>
      <c r="C1689" t="s">
        <v>94</v>
      </c>
      <c r="D1689" t="s">
        <v>3718</v>
      </c>
      <c r="E1689">
        <v>2</v>
      </c>
      <c r="F1689" t="s">
        <v>3719</v>
      </c>
      <c r="G1689" s="10">
        <v>45245</v>
      </c>
      <c r="H1689">
        <v>136700</v>
      </c>
      <c r="I1689">
        <v>28367</v>
      </c>
      <c r="J1689" t="s">
        <v>227</v>
      </c>
      <c r="K1689">
        <v>5</v>
      </c>
      <c r="L1689" t="s">
        <v>41</v>
      </c>
      <c r="M1689" t="s">
        <v>42</v>
      </c>
    </row>
    <row r="1690" spans="1:13">
      <c r="A1690" t="s">
        <v>494</v>
      </c>
      <c r="B1690" t="s">
        <v>112</v>
      </c>
      <c r="C1690" t="s">
        <v>113</v>
      </c>
      <c r="D1690" t="s">
        <v>3720</v>
      </c>
      <c r="E1690">
        <v>2</v>
      </c>
      <c r="F1690" t="s">
        <v>3721</v>
      </c>
      <c r="G1690" s="10">
        <v>45219</v>
      </c>
      <c r="H1690">
        <v>156000</v>
      </c>
      <c r="I1690">
        <v>26834</v>
      </c>
      <c r="J1690" t="s">
        <v>227</v>
      </c>
      <c r="K1690">
        <v>5</v>
      </c>
      <c r="L1690" t="s">
        <v>41</v>
      </c>
      <c r="M1690" t="s">
        <v>42</v>
      </c>
    </row>
    <row r="1691" spans="1:13">
      <c r="A1691" t="s">
        <v>1067</v>
      </c>
      <c r="B1691" t="s">
        <v>93</v>
      </c>
      <c r="C1691" t="s">
        <v>94</v>
      </c>
      <c r="D1691" t="s">
        <v>3722</v>
      </c>
      <c r="E1691">
        <v>2</v>
      </c>
      <c r="F1691" t="s">
        <v>3723</v>
      </c>
      <c r="G1691" s="10">
        <v>45222</v>
      </c>
      <c r="H1691">
        <v>277200</v>
      </c>
      <c r="I1691">
        <v>2200</v>
      </c>
      <c r="J1691" t="s">
        <v>97</v>
      </c>
      <c r="K1691">
        <v>5</v>
      </c>
      <c r="L1691" t="s">
        <v>41</v>
      </c>
      <c r="M1691" t="s">
        <v>42</v>
      </c>
    </row>
    <row r="1692" spans="1:13">
      <c r="A1692" t="s">
        <v>1067</v>
      </c>
      <c r="B1692" t="s">
        <v>93</v>
      </c>
      <c r="C1692" t="s">
        <v>94</v>
      </c>
      <c r="D1692" t="s">
        <v>3724</v>
      </c>
      <c r="E1692">
        <v>2</v>
      </c>
      <c r="F1692" t="s">
        <v>3725</v>
      </c>
      <c r="G1692" s="10">
        <v>45229</v>
      </c>
      <c r="H1692">
        <v>189000</v>
      </c>
      <c r="I1692">
        <v>22334</v>
      </c>
      <c r="J1692" t="s">
        <v>97</v>
      </c>
      <c r="K1692">
        <v>6</v>
      </c>
      <c r="L1692" t="s">
        <v>41</v>
      </c>
      <c r="M1692" t="s">
        <v>42</v>
      </c>
    </row>
    <row r="1693" spans="1:13">
      <c r="A1693" t="s">
        <v>3726</v>
      </c>
      <c r="B1693" t="s">
        <v>1983</v>
      </c>
      <c r="C1693" t="s">
        <v>45</v>
      </c>
      <c r="D1693" t="s">
        <v>3727</v>
      </c>
      <c r="E1693">
        <v>2</v>
      </c>
      <c r="F1693" t="s">
        <v>3728</v>
      </c>
      <c r="G1693" s="10">
        <v>45230</v>
      </c>
      <c r="H1693">
        <v>208084</v>
      </c>
      <c r="I1693">
        <v>33084</v>
      </c>
      <c r="J1693" t="s">
        <v>189</v>
      </c>
      <c r="K1693">
        <v>5</v>
      </c>
      <c r="L1693" t="s">
        <v>44</v>
      </c>
      <c r="M1693" t="s">
        <v>45</v>
      </c>
    </row>
    <row r="1694" spans="1:13">
      <c r="A1694" t="s">
        <v>431</v>
      </c>
      <c r="B1694" t="s">
        <v>160</v>
      </c>
      <c r="C1694" t="s">
        <v>67</v>
      </c>
      <c r="D1694" t="s">
        <v>3729</v>
      </c>
      <c r="E1694">
        <v>2</v>
      </c>
      <c r="F1694" t="s">
        <v>3730</v>
      </c>
      <c r="G1694" s="10">
        <v>45225</v>
      </c>
      <c r="H1694">
        <v>22420</v>
      </c>
      <c r="I1694">
        <v>3420</v>
      </c>
      <c r="J1694" t="s">
        <v>193</v>
      </c>
      <c r="K1694">
        <v>5</v>
      </c>
      <c r="L1694" t="s">
        <v>35</v>
      </c>
      <c r="M1694" t="s">
        <v>27</v>
      </c>
    </row>
    <row r="1695" spans="1:13">
      <c r="A1695" t="s">
        <v>2110</v>
      </c>
      <c r="B1695" t="s">
        <v>43</v>
      </c>
      <c r="C1695" t="s">
        <v>94</v>
      </c>
      <c r="D1695" t="s">
        <v>3731</v>
      </c>
      <c r="E1695">
        <v>2</v>
      </c>
      <c r="F1695" t="s">
        <v>3732</v>
      </c>
      <c r="G1695" s="10">
        <v>45218</v>
      </c>
      <c r="H1695">
        <v>144900</v>
      </c>
      <c r="I1695">
        <v>44900</v>
      </c>
      <c r="J1695" t="s">
        <v>458</v>
      </c>
      <c r="K1695">
        <v>5</v>
      </c>
      <c r="L1695" t="s">
        <v>37</v>
      </c>
      <c r="M1695" t="s">
        <v>33</v>
      </c>
    </row>
    <row r="1696" spans="1:13">
      <c r="A1696" t="s">
        <v>480</v>
      </c>
      <c r="B1696" t="s">
        <v>215</v>
      </c>
      <c r="C1696" t="s">
        <v>94</v>
      </c>
      <c r="D1696" t="s">
        <v>3733</v>
      </c>
      <c r="E1696">
        <v>2</v>
      </c>
      <c r="F1696" t="s">
        <v>3734</v>
      </c>
      <c r="G1696" s="10">
        <v>45251</v>
      </c>
      <c r="H1696">
        <v>90000</v>
      </c>
      <c r="I1696">
        <v>23334</v>
      </c>
      <c r="J1696" t="s">
        <v>227</v>
      </c>
      <c r="K1696">
        <v>6</v>
      </c>
      <c r="L1696" t="s">
        <v>41</v>
      </c>
      <c r="M1696" t="s">
        <v>42</v>
      </c>
    </row>
    <row r="1697" spans="1:13">
      <c r="A1697" t="s">
        <v>251</v>
      </c>
      <c r="B1697" t="s">
        <v>160</v>
      </c>
      <c r="C1697" t="s">
        <v>67</v>
      </c>
      <c r="D1697" t="s">
        <v>3735</v>
      </c>
      <c r="E1697">
        <v>2</v>
      </c>
      <c r="F1697" t="s">
        <v>3736</v>
      </c>
      <c r="G1697" s="10">
        <v>45217</v>
      </c>
      <c r="H1697">
        <v>47200</v>
      </c>
      <c r="I1697">
        <v>7200</v>
      </c>
      <c r="J1697" t="s">
        <v>193</v>
      </c>
      <c r="K1697">
        <v>5</v>
      </c>
      <c r="L1697" t="s">
        <v>35</v>
      </c>
      <c r="M1697" t="s">
        <v>27</v>
      </c>
    </row>
    <row r="1698" spans="1:13">
      <c r="A1698" t="s">
        <v>159</v>
      </c>
      <c r="B1698" t="s">
        <v>160</v>
      </c>
      <c r="C1698" t="s">
        <v>67</v>
      </c>
      <c r="D1698" t="s">
        <v>3737</v>
      </c>
      <c r="E1698">
        <v>2</v>
      </c>
      <c r="F1698" t="s">
        <v>3738</v>
      </c>
      <c r="G1698" s="10">
        <v>45225</v>
      </c>
      <c r="H1698">
        <v>22420</v>
      </c>
      <c r="I1698">
        <v>3420</v>
      </c>
      <c r="J1698" t="s">
        <v>193</v>
      </c>
      <c r="K1698">
        <v>5</v>
      </c>
      <c r="L1698" t="s">
        <v>35</v>
      </c>
      <c r="M1698" t="s">
        <v>27</v>
      </c>
    </row>
    <row r="1699" spans="1:13">
      <c r="A1699" t="s">
        <v>3739</v>
      </c>
      <c r="B1699" t="s">
        <v>179</v>
      </c>
      <c r="C1699" t="s">
        <v>45</v>
      </c>
      <c r="D1699" t="s">
        <v>3740</v>
      </c>
      <c r="E1699">
        <v>2</v>
      </c>
      <c r="F1699" t="s">
        <v>3741</v>
      </c>
      <c r="G1699" s="10">
        <v>45217</v>
      </c>
      <c r="H1699">
        <v>436800</v>
      </c>
      <c r="I1699">
        <v>145134</v>
      </c>
      <c r="J1699" t="s">
        <v>189</v>
      </c>
      <c r="K1699">
        <v>5</v>
      </c>
      <c r="L1699" t="s">
        <v>44</v>
      </c>
      <c r="M1699" t="s">
        <v>45</v>
      </c>
    </row>
    <row r="1700" spans="1:13">
      <c r="A1700" t="s">
        <v>305</v>
      </c>
      <c r="B1700" t="s">
        <v>118</v>
      </c>
      <c r="C1700" t="s">
        <v>98</v>
      </c>
      <c r="D1700" t="s">
        <v>3742</v>
      </c>
      <c r="E1700">
        <v>1</v>
      </c>
      <c r="F1700" t="s">
        <v>3743</v>
      </c>
      <c r="G1700" s="10">
        <v>45231</v>
      </c>
      <c r="H1700">
        <v>68965.52</v>
      </c>
      <c r="I1700">
        <v>18965.52</v>
      </c>
      <c r="J1700" t="s">
        <v>121</v>
      </c>
      <c r="K1700">
        <v>6</v>
      </c>
      <c r="L1700" t="s">
        <v>24</v>
      </c>
      <c r="M1700" t="s">
        <v>30</v>
      </c>
    </row>
    <row r="1701" spans="1:13">
      <c r="A1701" t="s">
        <v>3120</v>
      </c>
      <c r="B1701" t="s">
        <v>179</v>
      </c>
      <c r="C1701" t="s">
        <v>45</v>
      </c>
      <c r="D1701" t="s">
        <v>3744</v>
      </c>
      <c r="E1701">
        <v>2</v>
      </c>
      <c r="F1701" t="s">
        <v>3745</v>
      </c>
      <c r="G1701" s="10">
        <v>45219</v>
      </c>
      <c r="H1701">
        <v>300000</v>
      </c>
      <c r="I1701">
        <v>175000</v>
      </c>
      <c r="J1701" t="s">
        <v>189</v>
      </c>
      <c r="K1701">
        <v>5</v>
      </c>
      <c r="L1701" t="s">
        <v>44</v>
      </c>
      <c r="M1701" t="s">
        <v>45</v>
      </c>
    </row>
    <row r="1702" spans="1:13">
      <c r="A1702" t="s">
        <v>190</v>
      </c>
      <c r="B1702" t="s">
        <v>160</v>
      </c>
      <c r="C1702" t="s">
        <v>67</v>
      </c>
      <c r="D1702" t="s">
        <v>3746</v>
      </c>
      <c r="E1702">
        <v>2</v>
      </c>
      <c r="F1702" t="s">
        <v>3747</v>
      </c>
      <c r="G1702" s="10">
        <v>45219</v>
      </c>
      <c r="H1702">
        <v>42000</v>
      </c>
      <c r="I1702">
        <v>7000</v>
      </c>
      <c r="J1702" t="s">
        <v>163</v>
      </c>
      <c r="K1702">
        <v>5</v>
      </c>
      <c r="L1702" t="s">
        <v>35</v>
      </c>
      <c r="M1702" t="s">
        <v>27</v>
      </c>
    </row>
    <row r="1703" spans="1:13">
      <c r="A1703" t="s">
        <v>194</v>
      </c>
      <c r="B1703" t="s">
        <v>160</v>
      </c>
      <c r="C1703" t="s">
        <v>67</v>
      </c>
      <c r="D1703" t="s">
        <v>3748</v>
      </c>
      <c r="E1703">
        <v>2</v>
      </c>
      <c r="F1703" t="s">
        <v>3749</v>
      </c>
      <c r="G1703" s="10">
        <v>45233</v>
      </c>
      <c r="H1703">
        <v>32500</v>
      </c>
      <c r="I1703">
        <v>7500</v>
      </c>
      <c r="J1703" t="s">
        <v>163</v>
      </c>
      <c r="K1703">
        <v>5</v>
      </c>
      <c r="L1703" t="s">
        <v>35</v>
      </c>
      <c r="M1703" t="s">
        <v>27</v>
      </c>
    </row>
    <row r="1704" spans="1:13">
      <c r="A1704" t="s">
        <v>3750</v>
      </c>
      <c r="B1704" t="s">
        <v>118</v>
      </c>
      <c r="C1704" t="s">
        <v>98</v>
      </c>
      <c r="D1704" t="s">
        <v>3751</v>
      </c>
      <c r="E1704">
        <v>2</v>
      </c>
      <c r="F1704" t="s">
        <v>3752</v>
      </c>
      <c r="G1704" s="10">
        <v>45219</v>
      </c>
      <c r="H1704">
        <v>192118.23</v>
      </c>
      <c r="I1704">
        <v>54618.23</v>
      </c>
      <c r="J1704" t="s">
        <v>121</v>
      </c>
      <c r="K1704">
        <v>5</v>
      </c>
      <c r="L1704" t="s">
        <v>24</v>
      </c>
      <c r="M1704" t="s">
        <v>30</v>
      </c>
    </row>
    <row r="1705" spans="1:13">
      <c r="A1705" t="s">
        <v>3750</v>
      </c>
      <c r="B1705" t="s">
        <v>118</v>
      </c>
      <c r="C1705" t="s">
        <v>98</v>
      </c>
      <c r="D1705" t="s">
        <v>3753</v>
      </c>
      <c r="E1705">
        <v>1</v>
      </c>
      <c r="F1705" t="s">
        <v>3754</v>
      </c>
      <c r="G1705" s="10">
        <v>45219</v>
      </c>
      <c r="H1705">
        <v>197044.33</v>
      </c>
      <c r="I1705">
        <v>105378.33</v>
      </c>
      <c r="J1705" t="s">
        <v>121</v>
      </c>
      <c r="K1705">
        <v>5</v>
      </c>
      <c r="L1705" t="s">
        <v>24</v>
      </c>
      <c r="M1705" t="s">
        <v>30</v>
      </c>
    </row>
    <row r="1706" spans="1:13">
      <c r="A1706" t="s">
        <v>794</v>
      </c>
      <c r="B1706" t="s">
        <v>118</v>
      </c>
      <c r="C1706" t="s">
        <v>98</v>
      </c>
      <c r="D1706" t="s">
        <v>3755</v>
      </c>
      <c r="E1706">
        <v>1</v>
      </c>
      <c r="F1706" t="s">
        <v>3756</v>
      </c>
      <c r="G1706" s="10">
        <v>45224</v>
      </c>
      <c r="H1706">
        <v>118226.6</v>
      </c>
      <c r="I1706">
        <v>34893.599999999999</v>
      </c>
      <c r="J1706" t="s">
        <v>121</v>
      </c>
      <c r="K1706">
        <v>6</v>
      </c>
      <c r="L1706" t="s">
        <v>24</v>
      </c>
      <c r="M1706" t="s">
        <v>30</v>
      </c>
    </row>
    <row r="1707" spans="1:13">
      <c r="A1707" t="s">
        <v>2367</v>
      </c>
      <c r="B1707" t="s">
        <v>118</v>
      </c>
      <c r="C1707" t="s">
        <v>98</v>
      </c>
      <c r="D1707" t="s">
        <v>3757</v>
      </c>
      <c r="E1707">
        <v>2</v>
      </c>
      <c r="F1707" t="s">
        <v>3758</v>
      </c>
      <c r="G1707" s="10">
        <v>45218</v>
      </c>
      <c r="H1707">
        <v>191000</v>
      </c>
      <c r="I1707">
        <v>91000</v>
      </c>
      <c r="J1707" t="s">
        <v>308</v>
      </c>
      <c r="K1707">
        <v>6</v>
      </c>
      <c r="L1707" t="s">
        <v>24</v>
      </c>
      <c r="M1707" t="s">
        <v>32</v>
      </c>
    </row>
    <row r="1708" spans="1:13">
      <c r="A1708" t="s">
        <v>159</v>
      </c>
      <c r="B1708" t="s">
        <v>160</v>
      </c>
      <c r="C1708" t="s">
        <v>67</v>
      </c>
      <c r="D1708" t="s">
        <v>3759</v>
      </c>
      <c r="E1708">
        <v>2</v>
      </c>
      <c r="F1708" t="s">
        <v>3760</v>
      </c>
      <c r="G1708" s="10">
        <v>45219</v>
      </c>
      <c r="H1708">
        <v>54000</v>
      </c>
      <c r="I1708">
        <v>9000</v>
      </c>
      <c r="J1708" t="s">
        <v>163</v>
      </c>
      <c r="K1708">
        <v>6</v>
      </c>
      <c r="L1708" t="s">
        <v>35</v>
      </c>
      <c r="M1708" t="s">
        <v>27</v>
      </c>
    </row>
    <row r="1709" spans="1:13">
      <c r="A1709" t="s">
        <v>3761</v>
      </c>
      <c r="B1709" t="s">
        <v>741</v>
      </c>
      <c r="C1709" t="s">
        <v>1093</v>
      </c>
      <c r="D1709" t="s">
        <v>3762</v>
      </c>
      <c r="E1709">
        <v>2</v>
      </c>
      <c r="F1709" t="s">
        <v>3763</v>
      </c>
      <c r="G1709" s="10">
        <v>45077</v>
      </c>
      <c r="H1709">
        <v>245000</v>
      </c>
      <c r="I1709">
        <v>61667</v>
      </c>
      <c r="J1709" t="s">
        <v>3764</v>
      </c>
      <c r="K1709">
        <v>5</v>
      </c>
      <c r="L1709" t="s">
        <v>24</v>
      </c>
      <c r="M1709" t="s">
        <v>24</v>
      </c>
    </row>
    <row r="1710" spans="1:13">
      <c r="A1710" t="s">
        <v>2654</v>
      </c>
      <c r="B1710" t="s">
        <v>52</v>
      </c>
      <c r="C1710" t="s">
        <v>46</v>
      </c>
      <c r="D1710" t="s">
        <v>3765</v>
      </c>
      <c r="E1710">
        <v>1</v>
      </c>
      <c r="F1710" t="s">
        <v>3766</v>
      </c>
      <c r="G1710" s="10">
        <v>45133</v>
      </c>
      <c r="H1710">
        <v>125000</v>
      </c>
      <c r="I1710">
        <v>70834</v>
      </c>
      <c r="J1710" t="s">
        <v>3764</v>
      </c>
      <c r="K1710">
        <v>6</v>
      </c>
      <c r="L1710" t="s">
        <v>24</v>
      </c>
      <c r="M1710" t="s">
        <v>24</v>
      </c>
    </row>
    <row r="1711" spans="1:13">
      <c r="A1711" t="s">
        <v>3767</v>
      </c>
      <c r="B1711" t="s">
        <v>1983</v>
      </c>
      <c r="C1711" t="s">
        <v>45</v>
      </c>
      <c r="D1711" t="s">
        <v>3768</v>
      </c>
      <c r="E1711">
        <v>2</v>
      </c>
      <c r="F1711" t="s">
        <v>3769</v>
      </c>
      <c r="G1711" s="10">
        <v>45229</v>
      </c>
      <c r="H1711">
        <v>300000</v>
      </c>
      <c r="I1711">
        <v>66666.67</v>
      </c>
      <c r="J1711" t="s">
        <v>884</v>
      </c>
      <c r="K1711">
        <v>6</v>
      </c>
      <c r="L1711" t="s">
        <v>44</v>
      </c>
      <c r="M1711" t="s">
        <v>45</v>
      </c>
    </row>
    <row r="1712" spans="1:13">
      <c r="A1712" t="s">
        <v>190</v>
      </c>
      <c r="B1712" t="s">
        <v>160</v>
      </c>
      <c r="C1712" t="s">
        <v>67</v>
      </c>
      <c r="D1712" t="s">
        <v>3770</v>
      </c>
      <c r="E1712">
        <v>2</v>
      </c>
      <c r="F1712" t="s">
        <v>3771</v>
      </c>
      <c r="G1712" s="10">
        <v>45226</v>
      </c>
      <c r="H1712">
        <v>22302</v>
      </c>
      <c r="I1712">
        <v>3402</v>
      </c>
      <c r="J1712" t="s">
        <v>193</v>
      </c>
      <c r="K1712">
        <v>5</v>
      </c>
      <c r="L1712" t="s">
        <v>35</v>
      </c>
      <c r="M1712" t="s">
        <v>27</v>
      </c>
    </row>
    <row r="1713" spans="1:13">
      <c r="A1713" t="s">
        <v>197</v>
      </c>
      <c r="B1713" t="s">
        <v>160</v>
      </c>
      <c r="C1713" t="s">
        <v>67</v>
      </c>
      <c r="D1713" t="s">
        <v>3772</v>
      </c>
      <c r="E1713">
        <v>2</v>
      </c>
      <c r="F1713" t="s">
        <v>3773</v>
      </c>
      <c r="G1713" s="10">
        <v>45222</v>
      </c>
      <c r="H1713">
        <v>21889</v>
      </c>
      <c r="I1713">
        <v>3339</v>
      </c>
      <c r="J1713" t="s">
        <v>193</v>
      </c>
      <c r="K1713">
        <v>5</v>
      </c>
      <c r="L1713" t="s">
        <v>35</v>
      </c>
      <c r="M1713" t="s">
        <v>27</v>
      </c>
    </row>
    <row r="1714" spans="1:13">
      <c r="A1714" t="s">
        <v>190</v>
      </c>
      <c r="B1714" t="s">
        <v>160</v>
      </c>
      <c r="C1714" t="s">
        <v>67</v>
      </c>
      <c r="D1714" t="s">
        <v>3774</v>
      </c>
      <c r="E1714">
        <v>2</v>
      </c>
      <c r="F1714" t="s">
        <v>3775</v>
      </c>
      <c r="G1714" s="10">
        <v>45222</v>
      </c>
      <c r="H1714">
        <v>21889</v>
      </c>
      <c r="I1714">
        <v>3339</v>
      </c>
      <c r="J1714" t="s">
        <v>193</v>
      </c>
      <c r="K1714">
        <v>6</v>
      </c>
      <c r="L1714" t="s">
        <v>35</v>
      </c>
      <c r="M1714" t="s">
        <v>27</v>
      </c>
    </row>
    <row r="1715" spans="1:13">
      <c r="A1715" t="s">
        <v>190</v>
      </c>
      <c r="B1715" t="s">
        <v>160</v>
      </c>
      <c r="C1715" t="s">
        <v>67</v>
      </c>
      <c r="D1715" t="s">
        <v>3776</v>
      </c>
      <c r="E1715">
        <v>2</v>
      </c>
      <c r="F1715" t="s">
        <v>3777</v>
      </c>
      <c r="G1715" s="10">
        <v>45224</v>
      </c>
      <c r="H1715">
        <v>17700</v>
      </c>
      <c r="I1715">
        <v>2700</v>
      </c>
      <c r="J1715" t="s">
        <v>193</v>
      </c>
      <c r="K1715">
        <v>5</v>
      </c>
      <c r="L1715" t="s">
        <v>35</v>
      </c>
      <c r="M1715" t="s">
        <v>27</v>
      </c>
    </row>
    <row r="1716" spans="1:13">
      <c r="A1716" t="s">
        <v>190</v>
      </c>
      <c r="B1716" t="s">
        <v>160</v>
      </c>
      <c r="C1716" t="s">
        <v>67</v>
      </c>
      <c r="D1716" t="s">
        <v>3778</v>
      </c>
      <c r="E1716">
        <v>2</v>
      </c>
      <c r="F1716" t="s">
        <v>3779</v>
      </c>
      <c r="G1716" s="10">
        <v>45229</v>
      </c>
      <c r="H1716">
        <v>21889</v>
      </c>
      <c r="I1716">
        <v>3339</v>
      </c>
      <c r="J1716" t="s">
        <v>193</v>
      </c>
      <c r="K1716">
        <v>5</v>
      </c>
      <c r="L1716" t="s">
        <v>35</v>
      </c>
      <c r="M1716" t="s">
        <v>27</v>
      </c>
    </row>
    <row r="1717" spans="1:13">
      <c r="A1717" t="s">
        <v>251</v>
      </c>
      <c r="B1717" t="s">
        <v>160</v>
      </c>
      <c r="C1717" t="s">
        <v>67</v>
      </c>
      <c r="D1717" t="s">
        <v>3780</v>
      </c>
      <c r="E1717">
        <v>2</v>
      </c>
      <c r="F1717" t="s">
        <v>3781</v>
      </c>
      <c r="G1717" s="10">
        <v>45222</v>
      </c>
      <c r="H1717">
        <v>21889</v>
      </c>
      <c r="I1717">
        <v>3339</v>
      </c>
      <c r="J1717" t="s">
        <v>193</v>
      </c>
      <c r="K1717">
        <v>6</v>
      </c>
      <c r="L1717" t="s">
        <v>35</v>
      </c>
      <c r="M1717" t="s">
        <v>27</v>
      </c>
    </row>
    <row r="1718" spans="1:13">
      <c r="A1718" t="s">
        <v>3326</v>
      </c>
      <c r="B1718" t="s">
        <v>179</v>
      </c>
      <c r="C1718" t="s">
        <v>45</v>
      </c>
      <c r="D1718" t="s">
        <v>3782</v>
      </c>
      <c r="E1718">
        <v>2</v>
      </c>
      <c r="F1718" t="s">
        <v>3783</v>
      </c>
      <c r="G1718" s="10">
        <v>45222</v>
      </c>
      <c r="H1718">
        <v>29518</v>
      </c>
      <c r="I1718">
        <v>4518</v>
      </c>
      <c r="J1718" t="s">
        <v>182</v>
      </c>
      <c r="K1718">
        <v>5</v>
      </c>
      <c r="L1718" t="s">
        <v>44</v>
      </c>
      <c r="M1718" t="s">
        <v>45</v>
      </c>
    </row>
    <row r="1719" spans="1:13">
      <c r="A1719" t="s">
        <v>3120</v>
      </c>
      <c r="B1719" t="s">
        <v>179</v>
      </c>
      <c r="C1719" t="s">
        <v>45</v>
      </c>
      <c r="D1719" t="s">
        <v>3784</v>
      </c>
      <c r="E1719">
        <v>2</v>
      </c>
      <c r="F1719" t="s">
        <v>3785</v>
      </c>
      <c r="G1719" s="10">
        <v>45222</v>
      </c>
      <c r="H1719">
        <v>29518</v>
      </c>
      <c r="I1719">
        <v>4518</v>
      </c>
      <c r="J1719" t="s">
        <v>182</v>
      </c>
      <c r="K1719">
        <v>5</v>
      </c>
      <c r="L1719" t="s">
        <v>44</v>
      </c>
      <c r="M1719" t="s">
        <v>45</v>
      </c>
    </row>
    <row r="1720" spans="1:13">
      <c r="A1720" t="s">
        <v>3591</v>
      </c>
      <c r="B1720" t="s">
        <v>44</v>
      </c>
      <c r="C1720" t="s">
        <v>3591</v>
      </c>
      <c r="D1720" t="s">
        <v>3786</v>
      </c>
      <c r="E1720">
        <v>2</v>
      </c>
      <c r="F1720" t="s">
        <v>3787</v>
      </c>
      <c r="G1720" s="10">
        <v>45219</v>
      </c>
      <c r="H1720">
        <v>67200</v>
      </c>
      <c r="I1720">
        <v>15533.33</v>
      </c>
      <c r="J1720" t="s">
        <v>1414</v>
      </c>
      <c r="K1720">
        <v>6</v>
      </c>
      <c r="L1720" t="s">
        <v>44</v>
      </c>
      <c r="M1720" t="s">
        <v>49</v>
      </c>
    </row>
    <row r="1721" spans="1:13">
      <c r="A1721" t="s">
        <v>251</v>
      </c>
      <c r="B1721" t="s">
        <v>160</v>
      </c>
      <c r="C1721" t="s">
        <v>67</v>
      </c>
      <c r="D1721" t="s">
        <v>3788</v>
      </c>
      <c r="E1721">
        <v>2</v>
      </c>
      <c r="F1721" t="s">
        <v>3789</v>
      </c>
      <c r="G1721" s="10">
        <v>45222</v>
      </c>
      <c r="H1721">
        <v>21889</v>
      </c>
      <c r="I1721">
        <v>3339</v>
      </c>
      <c r="J1721" t="s">
        <v>193</v>
      </c>
      <c r="K1721">
        <v>5</v>
      </c>
      <c r="L1721" t="s">
        <v>35</v>
      </c>
      <c r="M1721" t="s">
        <v>27</v>
      </c>
    </row>
    <row r="1722" spans="1:13">
      <c r="A1722" t="s">
        <v>197</v>
      </c>
      <c r="B1722" t="s">
        <v>160</v>
      </c>
      <c r="C1722" t="s">
        <v>67</v>
      </c>
      <c r="D1722" t="s">
        <v>3790</v>
      </c>
      <c r="E1722">
        <v>2</v>
      </c>
      <c r="F1722" t="s">
        <v>3791</v>
      </c>
      <c r="G1722" s="10">
        <v>45225</v>
      </c>
      <c r="H1722">
        <v>24898</v>
      </c>
      <c r="I1722">
        <v>3798</v>
      </c>
      <c r="J1722" t="s">
        <v>193</v>
      </c>
      <c r="K1722">
        <v>5</v>
      </c>
      <c r="L1722" t="s">
        <v>35</v>
      </c>
      <c r="M1722" t="s">
        <v>27</v>
      </c>
    </row>
    <row r="1723" spans="1:13">
      <c r="A1723" t="s">
        <v>1658</v>
      </c>
      <c r="B1723" t="s">
        <v>160</v>
      </c>
      <c r="C1723" t="s">
        <v>67</v>
      </c>
      <c r="D1723" t="s">
        <v>3792</v>
      </c>
      <c r="E1723">
        <v>2</v>
      </c>
      <c r="F1723" t="s">
        <v>3793</v>
      </c>
      <c r="G1723" s="10">
        <v>45225</v>
      </c>
      <c r="H1723">
        <v>22420</v>
      </c>
      <c r="I1723">
        <v>3420</v>
      </c>
      <c r="J1723" t="s">
        <v>193</v>
      </c>
      <c r="K1723">
        <v>5</v>
      </c>
      <c r="L1723" t="s">
        <v>35</v>
      </c>
      <c r="M1723" t="s">
        <v>27</v>
      </c>
    </row>
    <row r="1724" spans="1:13">
      <c r="A1724" t="s">
        <v>194</v>
      </c>
      <c r="B1724" t="s">
        <v>160</v>
      </c>
      <c r="C1724" t="s">
        <v>67</v>
      </c>
      <c r="D1724" t="s">
        <v>3794</v>
      </c>
      <c r="E1724">
        <v>2</v>
      </c>
      <c r="F1724" t="s">
        <v>3795</v>
      </c>
      <c r="G1724" s="10">
        <v>45226</v>
      </c>
      <c r="H1724">
        <v>22302</v>
      </c>
      <c r="I1724">
        <v>3402</v>
      </c>
      <c r="J1724" t="s">
        <v>193</v>
      </c>
      <c r="K1724">
        <v>5</v>
      </c>
      <c r="L1724" t="s">
        <v>35</v>
      </c>
      <c r="M1724" t="s">
        <v>27</v>
      </c>
    </row>
    <row r="1725" spans="1:13">
      <c r="A1725" t="s">
        <v>71</v>
      </c>
      <c r="B1725" t="s">
        <v>72</v>
      </c>
      <c r="C1725" t="s">
        <v>67</v>
      </c>
      <c r="D1725" t="s">
        <v>3796</v>
      </c>
      <c r="E1725">
        <v>2</v>
      </c>
      <c r="F1725" t="s">
        <v>3797</v>
      </c>
      <c r="G1725" s="10">
        <v>45225</v>
      </c>
      <c r="H1725">
        <v>22420</v>
      </c>
      <c r="I1725">
        <v>3420</v>
      </c>
      <c r="J1725" t="s">
        <v>193</v>
      </c>
      <c r="K1725">
        <v>6</v>
      </c>
      <c r="L1725" t="s">
        <v>35</v>
      </c>
      <c r="M1725" t="s">
        <v>27</v>
      </c>
    </row>
    <row r="1726" spans="1:13">
      <c r="A1726" t="s">
        <v>71</v>
      </c>
      <c r="B1726" t="s">
        <v>72</v>
      </c>
      <c r="C1726" t="s">
        <v>67</v>
      </c>
      <c r="D1726" t="s">
        <v>3798</v>
      </c>
      <c r="E1726">
        <v>2</v>
      </c>
      <c r="F1726" t="s">
        <v>3799</v>
      </c>
      <c r="G1726" s="10">
        <v>45225</v>
      </c>
      <c r="H1726">
        <v>22420</v>
      </c>
      <c r="I1726">
        <v>3420</v>
      </c>
      <c r="J1726" t="s">
        <v>193</v>
      </c>
      <c r="K1726">
        <v>5</v>
      </c>
      <c r="L1726" t="s">
        <v>35</v>
      </c>
      <c r="M1726" t="s">
        <v>27</v>
      </c>
    </row>
    <row r="1727" spans="1:13">
      <c r="A1727" t="s">
        <v>159</v>
      </c>
      <c r="B1727" t="s">
        <v>160</v>
      </c>
      <c r="C1727" t="s">
        <v>67</v>
      </c>
      <c r="D1727" t="s">
        <v>3800</v>
      </c>
      <c r="E1727">
        <v>2</v>
      </c>
      <c r="F1727" t="s">
        <v>3801</v>
      </c>
      <c r="G1727" s="10">
        <v>45230</v>
      </c>
      <c r="H1727">
        <v>48000</v>
      </c>
      <c r="I1727">
        <v>8000</v>
      </c>
      <c r="J1727" t="s">
        <v>163</v>
      </c>
      <c r="K1727">
        <v>6</v>
      </c>
      <c r="L1727" t="s">
        <v>35</v>
      </c>
      <c r="M1727" t="s">
        <v>27</v>
      </c>
    </row>
    <row r="1728" spans="1:13">
      <c r="A1728" t="s">
        <v>194</v>
      </c>
      <c r="B1728" t="s">
        <v>160</v>
      </c>
      <c r="C1728" t="s">
        <v>67</v>
      </c>
      <c r="D1728" t="s">
        <v>3802</v>
      </c>
      <c r="E1728">
        <v>2</v>
      </c>
      <c r="F1728" t="s">
        <v>3803</v>
      </c>
      <c r="G1728" s="10">
        <v>45236</v>
      </c>
      <c r="H1728">
        <v>24898</v>
      </c>
      <c r="I1728">
        <v>3798</v>
      </c>
      <c r="J1728" t="s">
        <v>193</v>
      </c>
      <c r="K1728">
        <v>5</v>
      </c>
      <c r="L1728" t="s">
        <v>35</v>
      </c>
      <c r="M1728" t="s">
        <v>27</v>
      </c>
    </row>
    <row r="1729" spans="1:13">
      <c r="A1729" t="s">
        <v>159</v>
      </c>
      <c r="B1729" t="s">
        <v>160</v>
      </c>
      <c r="C1729" t="s">
        <v>67</v>
      </c>
      <c r="D1729" t="s">
        <v>3804</v>
      </c>
      <c r="E1729">
        <v>2</v>
      </c>
      <c r="F1729" t="s">
        <v>3805</v>
      </c>
      <c r="G1729" s="10">
        <v>45236</v>
      </c>
      <c r="H1729">
        <v>32500</v>
      </c>
      <c r="I1729">
        <v>7500</v>
      </c>
      <c r="J1729" t="s">
        <v>163</v>
      </c>
      <c r="K1729">
        <v>6</v>
      </c>
      <c r="L1729" t="s">
        <v>35</v>
      </c>
      <c r="M1729" t="s">
        <v>27</v>
      </c>
    </row>
    <row r="1730" spans="1:13">
      <c r="A1730" t="s">
        <v>431</v>
      </c>
      <c r="B1730" t="s">
        <v>160</v>
      </c>
      <c r="C1730" t="s">
        <v>67</v>
      </c>
      <c r="D1730" t="s">
        <v>3806</v>
      </c>
      <c r="E1730">
        <v>2</v>
      </c>
      <c r="F1730" t="s">
        <v>3807</v>
      </c>
      <c r="G1730" s="10">
        <v>45229</v>
      </c>
      <c r="H1730">
        <v>21889</v>
      </c>
      <c r="I1730">
        <v>3339</v>
      </c>
      <c r="J1730" t="s">
        <v>193</v>
      </c>
      <c r="K1730">
        <v>6</v>
      </c>
      <c r="L1730" t="s">
        <v>35</v>
      </c>
      <c r="M1730" t="s">
        <v>27</v>
      </c>
    </row>
    <row r="1731" spans="1:13">
      <c r="A1731" t="s">
        <v>361</v>
      </c>
      <c r="B1731" t="s">
        <v>72</v>
      </c>
      <c r="C1731" t="s">
        <v>67</v>
      </c>
      <c r="D1731" t="s">
        <v>3808</v>
      </c>
      <c r="E1731">
        <v>2</v>
      </c>
      <c r="F1731" t="s">
        <v>3809</v>
      </c>
      <c r="G1731" s="10">
        <v>45226</v>
      </c>
      <c r="H1731">
        <v>22420</v>
      </c>
      <c r="I1731">
        <v>3420</v>
      </c>
      <c r="J1731" t="s">
        <v>193</v>
      </c>
      <c r="K1731">
        <v>6</v>
      </c>
      <c r="L1731" t="s">
        <v>35</v>
      </c>
      <c r="M1731" t="s">
        <v>27</v>
      </c>
    </row>
    <row r="1732" spans="1:13">
      <c r="A1732" t="s">
        <v>617</v>
      </c>
      <c r="B1732" t="s">
        <v>179</v>
      </c>
      <c r="C1732" t="s">
        <v>45</v>
      </c>
      <c r="D1732" t="s">
        <v>3810</v>
      </c>
      <c r="E1732">
        <v>2</v>
      </c>
      <c r="F1732" t="s">
        <v>3811</v>
      </c>
      <c r="G1732" s="10">
        <v>45224</v>
      </c>
      <c r="H1732">
        <v>208665.07</v>
      </c>
      <c r="I1732">
        <v>100332.07</v>
      </c>
      <c r="J1732" t="s">
        <v>2077</v>
      </c>
      <c r="K1732">
        <v>5</v>
      </c>
      <c r="L1732" t="s">
        <v>44</v>
      </c>
      <c r="M1732" t="s">
        <v>45</v>
      </c>
    </row>
    <row r="1733" spans="1:13">
      <c r="A1733" t="s">
        <v>431</v>
      </c>
      <c r="B1733" t="s">
        <v>160</v>
      </c>
      <c r="C1733" t="s">
        <v>67</v>
      </c>
      <c r="D1733" t="s">
        <v>3812</v>
      </c>
      <c r="E1733">
        <v>2</v>
      </c>
      <c r="F1733" t="s">
        <v>3813</v>
      </c>
      <c r="G1733" s="10">
        <v>45226</v>
      </c>
      <c r="H1733">
        <v>24898</v>
      </c>
      <c r="I1733">
        <v>3798</v>
      </c>
      <c r="J1733" t="s">
        <v>193</v>
      </c>
      <c r="K1733">
        <v>5</v>
      </c>
      <c r="L1733" t="s">
        <v>35</v>
      </c>
      <c r="M1733" t="s">
        <v>27</v>
      </c>
    </row>
    <row r="1734" spans="1:13">
      <c r="A1734" t="s">
        <v>1039</v>
      </c>
      <c r="B1734" t="s">
        <v>28</v>
      </c>
      <c r="C1734" t="s">
        <v>238</v>
      </c>
      <c r="D1734" t="s">
        <v>3814</v>
      </c>
      <c r="E1734">
        <v>2</v>
      </c>
      <c r="F1734" t="s">
        <v>3815</v>
      </c>
      <c r="G1734" s="10">
        <v>45236</v>
      </c>
      <c r="H1734">
        <v>157500</v>
      </c>
      <c r="I1734">
        <v>36667</v>
      </c>
      <c r="J1734" t="s">
        <v>834</v>
      </c>
      <c r="K1734">
        <v>5</v>
      </c>
      <c r="L1734" t="s">
        <v>37</v>
      </c>
      <c r="M1734" t="s">
        <v>25</v>
      </c>
    </row>
    <row r="1735" spans="1:13">
      <c r="A1735" t="s">
        <v>740</v>
      </c>
      <c r="B1735" t="s">
        <v>123</v>
      </c>
      <c r="C1735" t="s">
        <v>1093</v>
      </c>
      <c r="D1735" t="s">
        <v>3816</v>
      </c>
      <c r="E1735">
        <v>1</v>
      </c>
      <c r="F1735" t="s">
        <v>3817</v>
      </c>
      <c r="G1735" s="10">
        <v>45145</v>
      </c>
      <c r="H1735">
        <v>295334</v>
      </c>
      <c r="I1735">
        <v>12001</v>
      </c>
      <c r="J1735" t="s">
        <v>3818</v>
      </c>
      <c r="K1735">
        <v>5</v>
      </c>
      <c r="L1735" t="s">
        <v>24</v>
      </c>
      <c r="M1735" t="s">
        <v>24</v>
      </c>
    </row>
    <row r="1736" spans="1:13">
      <c r="A1736" t="s">
        <v>71</v>
      </c>
      <c r="B1736" t="s">
        <v>72</v>
      </c>
      <c r="C1736" t="s">
        <v>67</v>
      </c>
      <c r="D1736" t="s">
        <v>3819</v>
      </c>
      <c r="E1736">
        <v>2</v>
      </c>
      <c r="F1736" t="s">
        <v>3820</v>
      </c>
      <c r="G1736" s="10">
        <v>45226</v>
      </c>
      <c r="H1736">
        <v>22420</v>
      </c>
      <c r="I1736">
        <v>3420</v>
      </c>
      <c r="J1736" t="s">
        <v>193</v>
      </c>
      <c r="K1736">
        <v>6</v>
      </c>
      <c r="L1736" t="s">
        <v>35</v>
      </c>
      <c r="M1736" t="s">
        <v>27</v>
      </c>
    </row>
    <row r="1737" spans="1:13">
      <c r="A1737" t="s">
        <v>376</v>
      </c>
      <c r="B1737" t="s">
        <v>66</v>
      </c>
      <c r="C1737" t="s">
        <v>67</v>
      </c>
      <c r="D1737" t="s">
        <v>3821</v>
      </c>
      <c r="E1737">
        <v>6</v>
      </c>
      <c r="F1737" t="s">
        <v>3822</v>
      </c>
      <c r="G1737" s="10">
        <v>45232</v>
      </c>
      <c r="H1737">
        <v>34375</v>
      </c>
      <c r="I1737">
        <v>6875</v>
      </c>
      <c r="J1737" t="s">
        <v>70</v>
      </c>
      <c r="K1737">
        <v>5</v>
      </c>
      <c r="L1737" t="s">
        <v>35</v>
      </c>
      <c r="M1737" t="s">
        <v>36</v>
      </c>
    </row>
    <row r="1738" spans="1:13">
      <c r="A1738" t="s">
        <v>376</v>
      </c>
      <c r="B1738" t="s">
        <v>66</v>
      </c>
      <c r="C1738" t="s">
        <v>67</v>
      </c>
      <c r="D1738" t="s">
        <v>3823</v>
      </c>
      <c r="E1738">
        <v>6</v>
      </c>
      <c r="F1738" t="s">
        <v>3824</v>
      </c>
      <c r="G1738" s="10">
        <v>45232</v>
      </c>
      <c r="H1738">
        <v>34375</v>
      </c>
      <c r="I1738">
        <v>6875</v>
      </c>
      <c r="J1738" t="s">
        <v>70</v>
      </c>
      <c r="K1738">
        <v>5</v>
      </c>
      <c r="L1738" t="s">
        <v>35</v>
      </c>
      <c r="M1738" t="s">
        <v>36</v>
      </c>
    </row>
    <row r="1739" spans="1:13">
      <c r="A1739" t="s">
        <v>1868</v>
      </c>
      <c r="B1739" t="s">
        <v>66</v>
      </c>
      <c r="C1739" t="s">
        <v>67</v>
      </c>
      <c r="D1739" t="s">
        <v>3825</v>
      </c>
      <c r="E1739">
        <v>6</v>
      </c>
      <c r="F1739" t="s">
        <v>3826</v>
      </c>
      <c r="G1739" s="10">
        <v>45232</v>
      </c>
      <c r="H1739">
        <v>36600</v>
      </c>
      <c r="I1739">
        <v>9100</v>
      </c>
      <c r="J1739" t="s">
        <v>70</v>
      </c>
      <c r="K1739">
        <v>5</v>
      </c>
      <c r="L1739" t="s">
        <v>35</v>
      </c>
      <c r="M1739" t="s">
        <v>36</v>
      </c>
    </row>
    <row r="1740" spans="1:13">
      <c r="A1740" t="s">
        <v>251</v>
      </c>
      <c r="B1740" t="s">
        <v>160</v>
      </c>
      <c r="C1740" t="s">
        <v>67</v>
      </c>
      <c r="D1740" t="s">
        <v>3827</v>
      </c>
      <c r="E1740">
        <v>2</v>
      </c>
      <c r="F1740" t="s">
        <v>3828</v>
      </c>
      <c r="G1740" s="10">
        <v>45226</v>
      </c>
      <c r="H1740">
        <v>24898</v>
      </c>
      <c r="I1740">
        <v>3798</v>
      </c>
      <c r="J1740" t="s">
        <v>193</v>
      </c>
      <c r="K1740">
        <v>5</v>
      </c>
      <c r="L1740" t="s">
        <v>35</v>
      </c>
      <c r="M1740" t="s">
        <v>27</v>
      </c>
    </row>
    <row r="1741" spans="1:13">
      <c r="A1741" t="s">
        <v>1868</v>
      </c>
      <c r="B1741" t="s">
        <v>66</v>
      </c>
      <c r="C1741" t="s">
        <v>67</v>
      </c>
      <c r="D1741" t="s">
        <v>3829</v>
      </c>
      <c r="E1741">
        <v>6</v>
      </c>
      <c r="F1741" t="s">
        <v>3830</v>
      </c>
      <c r="G1741" s="10">
        <v>45232</v>
      </c>
      <c r="H1741">
        <v>34375</v>
      </c>
      <c r="I1741">
        <v>6875</v>
      </c>
      <c r="J1741" t="s">
        <v>70</v>
      </c>
      <c r="K1741">
        <v>5</v>
      </c>
      <c r="L1741" t="s">
        <v>35</v>
      </c>
      <c r="M1741" t="s">
        <v>36</v>
      </c>
    </row>
    <row r="1742" spans="1:13">
      <c r="A1742" t="s">
        <v>3831</v>
      </c>
      <c r="B1742" t="s">
        <v>848</v>
      </c>
      <c r="C1742" t="s">
        <v>98</v>
      </c>
      <c r="D1742" t="s">
        <v>3832</v>
      </c>
      <c r="E1742">
        <v>1</v>
      </c>
      <c r="F1742" t="s">
        <v>3833</v>
      </c>
      <c r="G1742" s="10">
        <v>45229</v>
      </c>
      <c r="H1742">
        <v>200592</v>
      </c>
      <c r="I1742">
        <v>117259</v>
      </c>
      <c r="J1742" t="s">
        <v>744</v>
      </c>
      <c r="K1742">
        <v>6</v>
      </c>
      <c r="L1742" t="s">
        <v>24</v>
      </c>
      <c r="M1742" t="s">
        <v>31</v>
      </c>
    </row>
    <row r="1743" spans="1:13">
      <c r="A1743" t="s">
        <v>251</v>
      </c>
      <c r="B1743" t="s">
        <v>160</v>
      </c>
      <c r="C1743" t="s">
        <v>67</v>
      </c>
      <c r="D1743" t="s">
        <v>3834</v>
      </c>
      <c r="E1743">
        <v>2</v>
      </c>
      <c r="F1743" t="s">
        <v>3835</v>
      </c>
      <c r="G1743" s="10">
        <v>45230</v>
      </c>
      <c r="H1743">
        <v>22302</v>
      </c>
      <c r="I1743">
        <v>3402</v>
      </c>
      <c r="J1743" t="s">
        <v>193</v>
      </c>
      <c r="K1743">
        <v>5</v>
      </c>
      <c r="L1743" t="s">
        <v>35</v>
      </c>
      <c r="M1743" t="s">
        <v>27</v>
      </c>
    </row>
    <row r="1744" spans="1:13">
      <c r="A1744" t="s">
        <v>190</v>
      </c>
      <c r="B1744" t="s">
        <v>160</v>
      </c>
      <c r="C1744" t="s">
        <v>67</v>
      </c>
      <c r="D1744" t="s">
        <v>3836</v>
      </c>
      <c r="E1744">
        <v>2</v>
      </c>
      <c r="F1744" t="s">
        <v>3837</v>
      </c>
      <c r="G1744" s="10">
        <v>45230</v>
      </c>
      <c r="H1744">
        <v>22302</v>
      </c>
      <c r="I1744">
        <v>3402</v>
      </c>
      <c r="J1744" t="s">
        <v>193</v>
      </c>
      <c r="K1744">
        <v>5</v>
      </c>
      <c r="L1744" t="s">
        <v>35</v>
      </c>
      <c r="M1744" t="s">
        <v>27</v>
      </c>
    </row>
    <row r="1745" spans="1:13">
      <c r="A1745" t="s">
        <v>170</v>
      </c>
      <c r="B1745" t="s">
        <v>66</v>
      </c>
      <c r="C1745" t="s">
        <v>67</v>
      </c>
      <c r="D1745" t="s">
        <v>3838</v>
      </c>
      <c r="E1745">
        <v>6</v>
      </c>
      <c r="F1745" t="s">
        <v>3839</v>
      </c>
      <c r="G1745" s="10">
        <v>45232</v>
      </c>
      <c r="H1745">
        <v>34375</v>
      </c>
      <c r="I1745">
        <v>6875</v>
      </c>
      <c r="J1745" t="s">
        <v>70</v>
      </c>
      <c r="K1745">
        <v>5</v>
      </c>
      <c r="L1745" t="s">
        <v>35</v>
      </c>
      <c r="M1745" t="s">
        <v>36</v>
      </c>
    </row>
    <row r="1746" spans="1:13">
      <c r="A1746" t="s">
        <v>197</v>
      </c>
      <c r="B1746" t="s">
        <v>160</v>
      </c>
      <c r="C1746" t="s">
        <v>67</v>
      </c>
      <c r="D1746" t="s">
        <v>3840</v>
      </c>
      <c r="E1746">
        <v>2</v>
      </c>
      <c r="F1746" t="s">
        <v>3841</v>
      </c>
      <c r="G1746" s="10">
        <v>45226</v>
      </c>
      <c r="H1746">
        <v>24898</v>
      </c>
      <c r="I1746">
        <v>3798</v>
      </c>
      <c r="J1746" t="s">
        <v>193</v>
      </c>
      <c r="K1746">
        <v>6</v>
      </c>
      <c r="L1746" t="s">
        <v>35</v>
      </c>
      <c r="M1746" t="s">
        <v>27</v>
      </c>
    </row>
    <row r="1747" spans="1:13">
      <c r="A1747" t="s">
        <v>1228</v>
      </c>
      <c r="B1747" t="s">
        <v>224</v>
      </c>
      <c r="C1747" t="s">
        <v>94</v>
      </c>
      <c r="D1747" t="s">
        <v>3842</v>
      </c>
      <c r="E1747">
        <v>2</v>
      </c>
      <c r="F1747" t="s">
        <v>3843</v>
      </c>
      <c r="G1747" s="10">
        <v>45226</v>
      </c>
      <c r="H1747">
        <v>83583.33</v>
      </c>
      <c r="I1747">
        <v>83583.33</v>
      </c>
      <c r="J1747" t="s">
        <v>3844</v>
      </c>
      <c r="K1747">
        <v>5</v>
      </c>
      <c r="L1747" t="s">
        <v>41</v>
      </c>
      <c r="M1747" t="s">
        <v>41</v>
      </c>
    </row>
    <row r="1748" spans="1:13">
      <c r="A1748" t="s">
        <v>256</v>
      </c>
      <c r="B1748" t="s">
        <v>160</v>
      </c>
      <c r="C1748" t="s">
        <v>67</v>
      </c>
      <c r="D1748" t="s">
        <v>3845</v>
      </c>
      <c r="E1748">
        <v>2</v>
      </c>
      <c r="F1748" t="s">
        <v>3846</v>
      </c>
      <c r="G1748" s="10">
        <v>45226</v>
      </c>
      <c r="H1748">
        <v>24898</v>
      </c>
      <c r="I1748">
        <v>3798</v>
      </c>
      <c r="J1748" t="s">
        <v>193</v>
      </c>
      <c r="K1748">
        <v>5</v>
      </c>
      <c r="L1748" t="s">
        <v>35</v>
      </c>
      <c r="M1748" t="s">
        <v>27</v>
      </c>
    </row>
    <row r="1749" spans="1:13">
      <c r="A1749" t="s">
        <v>170</v>
      </c>
      <c r="B1749" t="s">
        <v>66</v>
      </c>
      <c r="C1749" t="s">
        <v>67</v>
      </c>
      <c r="D1749" t="s">
        <v>3847</v>
      </c>
      <c r="E1749">
        <v>6</v>
      </c>
      <c r="F1749" t="s">
        <v>3848</v>
      </c>
      <c r="G1749" s="10">
        <v>45232</v>
      </c>
      <c r="H1749">
        <v>34375</v>
      </c>
      <c r="I1749">
        <v>6875</v>
      </c>
      <c r="J1749" t="s">
        <v>70</v>
      </c>
      <c r="K1749">
        <v>5</v>
      </c>
      <c r="L1749" t="s">
        <v>35</v>
      </c>
      <c r="M1749" t="s">
        <v>36</v>
      </c>
    </row>
    <row r="1750" spans="1:13">
      <c r="A1750" t="s">
        <v>65</v>
      </c>
      <c r="B1750" t="s">
        <v>66</v>
      </c>
      <c r="C1750" t="s">
        <v>67</v>
      </c>
      <c r="D1750" t="s">
        <v>3849</v>
      </c>
      <c r="E1750">
        <v>6</v>
      </c>
      <c r="F1750" t="s">
        <v>3850</v>
      </c>
      <c r="G1750" s="10">
        <v>45232</v>
      </c>
      <c r="H1750">
        <v>34375</v>
      </c>
      <c r="I1750">
        <v>6875</v>
      </c>
      <c r="J1750" t="s">
        <v>70</v>
      </c>
      <c r="K1750">
        <v>5</v>
      </c>
      <c r="L1750" t="s">
        <v>35</v>
      </c>
      <c r="M1750" t="s">
        <v>36</v>
      </c>
    </row>
    <row r="1751" spans="1:13">
      <c r="A1751" t="s">
        <v>65</v>
      </c>
      <c r="B1751" t="s">
        <v>66</v>
      </c>
      <c r="C1751" t="s">
        <v>67</v>
      </c>
      <c r="D1751" t="s">
        <v>3851</v>
      </c>
      <c r="E1751">
        <v>6</v>
      </c>
      <c r="F1751" t="s">
        <v>3852</v>
      </c>
      <c r="G1751" s="10">
        <v>45232</v>
      </c>
      <c r="H1751">
        <v>34375</v>
      </c>
      <c r="I1751">
        <v>6875</v>
      </c>
      <c r="J1751" t="s">
        <v>70</v>
      </c>
      <c r="K1751">
        <v>5</v>
      </c>
      <c r="L1751" t="s">
        <v>35</v>
      </c>
      <c r="M1751" t="s">
        <v>36</v>
      </c>
    </row>
    <row r="1752" spans="1:13">
      <c r="A1752" t="s">
        <v>65</v>
      </c>
      <c r="B1752" t="s">
        <v>66</v>
      </c>
      <c r="C1752" t="s">
        <v>67</v>
      </c>
      <c r="D1752" t="s">
        <v>3853</v>
      </c>
      <c r="E1752">
        <v>6</v>
      </c>
      <c r="F1752" t="s">
        <v>3854</v>
      </c>
      <c r="G1752" s="10">
        <v>45232</v>
      </c>
      <c r="H1752">
        <v>34375</v>
      </c>
      <c r="I1752">
        <v>6875</v>
      </c>
      <c r="J1752" t="s">
        <v>70</v>
      </c>
      <c r="K1752">
        <v>5</v>
      </c>
      <c r="L1752" t="s">
        <v>35</v>
      </c>
      <c r="M1752" t="s">
        <v>36</v>
      </c>
    </row>
    <row r="1753" spans="1:13">
      <c r="A1753" t="s">
        <v>847</v>
      </c>
      <c r="B1753" t="s">
        <v>848</v>
      </c>
      <c r="C1753" t="s">
        <v>98</v>
      </c>
      <c r="D1753" t="s">
        <v>3855</v>
      </c>
      <c r="E1753">
        <v>1</v>
      </c>
      <c r="F1753" t="s">
        <v>3856</v>
      </c>
      <c r="G1753" s="10">
        <v>45231</v>
      </c>
      <c r="H1753">
        <v>351036</v>
      </c>
      <c r="I1753">
        <v>101036</v>
      </c>
      <c r="J1753" t="s">
        <v>859</v>
      </c>
      <c r="K1753">
        <v>5</v>
      </c>
      <c r="L1753" t="s">
        <v>24</v>
      </c>
      <c r="M1753" t="s">
        <v>24</v>
      </c>
    </row>
    <row r="1754" spans="1:13">
      <c r="A1754" t="s">
        <v>261</v>
      </c>
      <c r="B1754" t="s">
        <v>160</v>
      </c>
      <c r="C1754" t="s">
        <v>67</v>
      </c>
      <c r="D1754" t="s">
        <v>3857</v>
      </c>
      <c r="E1754">
        <v>2</v>
      </c>
      <c r="F1754" t="s">
        <v>3858</v>
      </c>
      <c r="G1754" s="10">
        <v>45230</v>
      </c>
      <c r="H1754">
        <v>22302</v>
      </c>
      <c r="I1754">
        <v>3402</v>
      </c>
      <c r="J1754" t="s">
        <v>193</v>
      </c>
      <c r="K1754">
        <v>5</v>
      </c>
      <c r="L1754" t="s">
        <v>35</v>
      </c>
      <c r="M1754" t="s">
        <v>27</v>
      </c>
    </row>
    <row r="1755" spans="1:13">
      <c r="A1755" t="s">
        <v>361</v>
      </c>
      <c r="B1755" t="s">
        <v>72</v>
      </c>
      <c r="C1755" t="s">
        <v>67</v>
      </c>
      <c r="D1755" t="s">
        <v>3859</v>
      </c>
      <c r="E1755">
        <v>1</v>
      </c>
      <c r="F1755" t="s">
        <v>3860</v>
      </c>
      <c r="G1755" s="10">
        <v>45110</v>
      </c>
      <c r="H1755">
        <v>27500</v>
      </c>
      <c r="I1755">
        <v>2500</v>
      </c>
      <c r="J1755" t="s">
        <v>3861</v>
      </c>
      <c r="K1755">
        <v>6</v>
      </c>
      <c r="L1755" t="s">
        <v>35</v>
      </c>
      <c r="M1755" t="s">
        <v>35</v>
      </c>
    </row>
    <row r="1756" spans="1:13">
      <c r="A1756" t="s">
        <v>1631</v>
      </c>
      <c r="B1756" t="s">
        <v>179</v>
      </c>
      <c r="C1756" t="s">
        <v>45</v>
      </c>
      <c r="D1756" t="s">
        <v>3862</v>
      </c>
      <c r="E1756">
        <v>2</v>
      </c>
      <c r="F1756" t="s">
        <v>3863</v>
      </c>
      <c r="G1756" s="10">
        <v>45229</v>
      </c>
      <c r="H1756">
        <v>150000</v>
      </c>
      <c r="I1756">
        <v>66667</v>
      </c>
      <c r="J1756" t="s">
        <v>360</v>
      </c>
      <c r="K1756">
        <v>5</v>
      </c>
      <c r="L1756" t="s">
        <v>44</v>
      </c>
      <c r="M1756" t="s">
        <v>45</v>
      </c>
    </row>
    <row r="1757" spans="1:13">
      <c r="A1757" t="s">
        <v>1631</v>
      </c>
      <c r="B1757" t="s">
        <v>179</v>
      </c>
      <c r="C1757" t="s">
        <v>45</v>
      </c>
      <c r="D1757" t="s">
        <v>3864</v>
      </c>
      <c r="E1757">
        <v>2</v>
      </c>
      <c r="F1757" t="s">
        <v>3865</v>
      </c>
      <c r="G1757" s="10">
        <v>45229</v>
      </c>
      <c r="H1757">
        <v>330000</v>
      </c>
      <c r="I1757">
        <v>105000</v>
      </c>
      <c r="J1757" t="s">
        <v>714</v>
      </c>
      <c r="K1757">
        <v>6</v>
      </c>
      <c r="L1757" t="s">
        <v>44</v>
      </c>
      <c r="M1757" t="s">
        <v>45</v>
      </c>
    </row>
    <row r="1758" spans="1:13">
      <c r="A1758" t="s">
        <v>92</v>
      </c>
      <c r="B1758" t="s">
        <v>93</v>
      </c>
      <c r="C1758" t="s">
        <v>94</v>
      </c>
      <c r="D1758" t="s">
        <v>3866</v>
      </c>
      <c r="E1758">
        <v>7</v>
      </c>
      <c r="F1758" t="s">
        <v>3867</v>
      </c>
      <c r="G1758" s="10">
        <v>45264</v>
      </c>
      <c r="H1758">
        <v>93046.8</v>
      </c>
      <c r="I1758">
        <v>4006.8</v>
      </c>
      <c r="J1758" t="s">
        <v>313</v>
      </c>
      <c r="K1758">
        <v>5</v>
      </c>
      <c r="L1758" t="s">
        <v>41</v>
      </c>
      <c r="M1758" t="s">
        <v>42</v>
      </c>
    </row>
    <row r="1759" spans="1:13">
      <c r="A1759" t="s">
        <v>1868</v>
      </c>
      <c r="B1759" t="s">
        <v>66</v>
      </c>
      <c r="C1759" t="s">
        <v>67</v>
      </c>
      <c r="D1759" t="s">
        <v>3868</v>
      </c>
      <c r="E1759">
        <v>6</v>
      </c>
      <c r="F1759" t="s">
        <v>3869</v>
      </c>
      <c r="G1759" s="10">
        <v>45232</v>
      </c>
      <c r="H1759">
        <v>34375</v>
      </c>
      <c r="I1759">
        <v>6875</v>
      </c>
      <c r="J1759" t="s">
        <v>70</v>
      </c>
      <c r="K1759">
        <v>5</v>
      </c>
      <c r="L1759" t="s">
        <v>35</v>
      </c>
      <c r="M1759" t="s">
        <v>36</v>
      </c>
    </row>
    <row r="1760" spans="1:13">
      <c r="A1760" t="s">
        <v>3120</v>
      </c>
      <c r="B1760" t="s">
        <v>179</v>
      </c>
      <c r="C1760" t="s">
        <v>45</v>
      </c>
      <c r="D1760" t="s">
        <v>3870</v>
      </c>
      <c r="E1760">
        <v>2</v>
      </c>
      <c r="F1760" t="s">
        <v>3871</v>
      </c>
      <c r="G1760" s="10">
        <v>45229</v>
      </c>
      <c r="H1760">
        <v>218400</v>
      </c>
      <c r="I1760">
        <v>110067</v>
      </c>
      <c r="J1760" t="s">
        <v>189</v>
      </c>
      <c r="K1760">
        <v>5</v>
      </c>
      <c r="L1760" t="s">
        <v>44</v>
      </c>
      <c r="M1760" t="s">
        <v>45</v>
      </c>
    </row>
    <row r="1761" spans="1:13">
      <c r="A1761" t="s">
        <v>875</v>
      </c>
      <c r="B1761" t="s">
        <v>146</v>
      </c>
      <c r="C1761" t="s">
        <v>98</v>
      </c>
      <c r="D1761" t="s">
        <v>3872</v>
      </c>
      <c r="E1761">
        <v>2</v>
      </c>
      <c r="F1761" t="s">
        <v>3873</v>
      </c>
      <c r="G1761" s="10">
        <v>45236</v>
      </c>
      <c r="H1761">
        <v>173333</v>
      </c>
      <c r="I1761">
        <v>81667</v>
      </c>
      <c r="J1761" t="s">
        <v>1096</v>
      </c>
      <c r="K1761">
        <v>5</v>
      </c>
      <c r="L1761" t="s">
        <v>24</v>
      </c>
      <c r="M1761" t="s">
        <v>25</v>
      </c>
    </row>
    <row r="1762" spans="1:13">
      <c r="A1762" t="s">
        <v>3874</v>
      </c>
      <c r="B1762" t="s">
        <v>179</v>
      </c>
      <c r="C1762" t="s">
        <v>45</v>
      </c>
      <c r="D1762" t="s">
        <v>3875</v>
      </c>
      <c r="E1762">
        <v>2</v>
      </c>
      <c r="F1762" t="s">
        <v>3876</v>
      </c>
      <c r="G1762" s="10">
        <v>45229</v>
      </c>
      <c r="H1762">
        <v>40611.57</v>
      </c>
      <c r="I1762">
        <v>11445.57</v>
      </c>
      <c r="J1762" t="s">
        <v>182</v>
      </c>
      <c r="K1762">
        <v>5</v>
      </c>
      <c r="L1762" t="s">
        <v>44</v>
      </c>
      <c r="M1762" t="s">
        <v>45</v>
      </c>
    </row>
    <row r="1763" spans="1:13">
      <c r="A1763" t="s">
        <v>628</v>
      </c>
      <c r="B1763" t="s">
        <v>66</v>
      </c>
      <c r="C1763" t="s">
        <v>67</v>
      </c>
      <c r="D1763" t="s">
        <v>3877</v>
      </c>
      <c r="E1763">
        <v>6</v>
      </c>
      <c r="F1763" t="s">
        <v>3878</v>
      </c>
      <c r="G1763" s="10">
        <v>45232</v>
      </c>
      <c r="H1763">
        <v>34375</v>
      </c>
      <c r="I1763">
        <v>6875</v>
      </c>
      <c r="J1763" t="s">
        <v>70</v>
      </c>
      <c r="K1763">
        <v>5</v>
      </c>
      <c r="L1763" t="s">
        <v>35</v>
      </c>
      <c r="M1763" t="s">
        <v>36</v>
      </c>
    </row>
    <row r="1764" spans="1:13">
      <c r="A1764" t="s">
        <v>628</v>
      </c>
      <c r="B1764" t="s">
        <v>66</v>
      </c>
      <c r="C1764" t="s">
        <v>67</v>
      </c>
      <c r="D1764" t="s">
        <v>3879</v>
      </c>
      <c r="E1764">
        <v>6</v>
      </c>
      <c r="F1764" t="s">
        <v>3880</v>
      </c>
      <c r="G1764" s="10">
        <v>45232</v>
      </c>
      <c r="H1764">
        <v>34375</v>
      </c>
      <c r="I1764">
        <v>6875</v>
      </c>
      <c r="J1764" t="s">
        <v>70</v>
      </c>
      <c r="K1764">
        <v>6</v>
      </c>
      <c r="L1764" t="s">
        <v>35</v>
      </c>
      <c r="M1764" t="s">
        <v>36</v>
      </c>
    </row>
    <row r="1765" spans="1:13">
      <c r="A1765" t="s">
        <v>2141</v>
      </c>
      <c r="B1765" t="s">
        <v>66</v>
      </c>
      <c r="C1765" t="s">
        <v>67</v>
      </c>
      <c r="D1765" t="s">
        <v>3881</v>
      </c>
      <c r="E1765">
        <v>6</v>
      </c>
      <c r="F1765" t="s">
        <v>3882</v>
      </c>
      <c r="G1765" s="10">
        <v>45232</v>
      </c>
      <c r="H1765">
        <v>34375</v>
      </c>
      <c r="I1765">
        <v>6875</v>
      </c>
      <c r="J1765" t="s">
        <v>70</v>
      </c>
      <c r="K1765">
        <v>5</v>
      </c>
      <c r="L1765" t="s">
        <v>35</v>
      </c>
      <c r="M1765" t="s">
        <v>36</v>
      </c>
    </row>
    <row r="1766" spans="1:13">
      <c r="A1766" t="s">
        <v>628</v>
      </c>
      <c r="B1766" t="s">
        <v>66</v>
      </c>
      <c r="C1766" t="s">
        <v>67</v>
      </c>
      <c r="D1766" t="s">
        <v>3883</v>
      </c>
      <c r="E1766">
        <v>6</v>
      </c>
      <c r="F1766" t="s">
        <v>3884</v>
      </c>
      <c r="G1766" s="10">
        <v>45232</v>
      </c>
      <c r="H1766">
        <v>34375</v>
      </c>
      <c r="I1766">
        <v>6875</v>
      </c>
      <c r="J1766" t="s">
        <v>70</v>
      </c>
      <c r="K1766">
        <v>5</v>
      </c>
      <c r="L1766" t="s">
        <v>35</v>
      </c>
      <c r="M1766" t="s">
        <v>36</v>
      </c>
    </row>
    <row r="1767" spans="1:13">
      <c r="A1767" t="s">
        <v>628</v>
      </c>
      <c r="B1767" t="s">
        <v>66</v>
      </c>
      <c r="C1767" t="s">
        <v>67</v>
      </c>
      <c r="D1767" t="s">
        <v>3885</v>
      </c>
      <c r="E1767">
        <v>6</v>
      </c>
      <c r="F1767" t="s">
        <v>3886</v>
      </c>
      <c r="G1767" s="10">
        <v>45240</v>
      </c>
      <c r="H1767">
        <v>34375</v>
      </c>
      <c r="I1767">
        <v>6875</v>
      </c>
      <c r="J1767" t="s">
        <v>70</v>
      </c>
      <c r="K1767">
        <v>6</v>
      </c>
      <c r="L1767" t="s">
        <v>35</v>
      </c>
      <c r="M1767" t="s">
        <v>36</v>
      </c>
    </row>
    <row r="1768" spans="1:13">
      <c r="A1768" t="s">
        <v>251</v>
      </c>
      <c r="B1768" t="s">
        <v>160</v>
      </c>
      <c r="C1768" t="s">
        <v>67</v>
      </c>
      <c r="D1768" t="s">
        <v>3887</v>
      </c>
      <c r="E1768">
        <v>2</v>
      </c>
      <c r="F1768" t="s">
        <v>3888</v>
      </c>
      <c r="G1768" s="10">
        <v>45230</v>
      </c>
      <c r="H1768">
        <v>22420</v>
      </c>
      <c r="I1768">
        <v>3420</v>
      </c>
      <c r="J1768" t="s">
        <v>193</v>
      </c>
      <c r="K1768">
        <v>5</v>
      </c>
      <c r="L1768" t="s">
        <v>35</v>
      </c>
      <c r="M1768" t="s">
        <v>27</v>
      </c>
    </row>
    <row r="1769" spans="1:13">
      <c r="A1769" t="s">
        <v>3096</v>
      </c>
      <c r="B1769" t="s">
        <v>1983</v>
      </c>
      <c r="C1769" t="s">
        <v>45</v>
      </c>
      <c r="D1769" t="s">
        <v>3889</v>
      </c>
      <c r="E1769">
        <v>2</v>
      </c>
      <c r="F1769" t="s">
        <v>3890</v>
      </c>
      <c r="G1769" s="10">
        <v>45233</v>
      </c>
      <c r="H1769">
        <v>300000</v>
      </c>
      <c r="I1769">
        <v>50000</v>
      </c>
      <c r="J1769" t="s">
        <v>884</v>
      </c>
      <c r="K1769">
        <v>5</v>
      </c>
      <c r="L1769" t="s">
        <v>44</v>
      </c>
      <c r="M1769" t="s">
        <v>45</v>
      </c>
    </row>
    <row r="1770" spans="1:13">
      <c r="A1770" t="s">
        <v>197</v>
      </c>
      <c r="B1770" t="s">
        <v>160</v>
      </c>
      <c r="C1770" t="s">
        <v>67</v>
      </c>
      <c r="D1770" t="s">
        <v>3891</v>
      </c>
      <c r="E1770">
        <v>2</v>
      </c>
      <c r="F1770" t="s">
        <v>3892</v>
      </c>
      <c r="G1770" s="10">
        <v>45230</v>
      </c>
      <c r="H1770">
        <v>24898</v>
      </c>
      <c r="I1770">
        <v>3798</v>
      </c>
      <c r="J1770" t="s">
        <v>193</v>
      </c>
      <c r="K1770">
        <v>5</v>
      </c>
      <c r="L1770" t="s">
        <v>35</v>
      </c>
      <c r="M1770" t="s">
        <v>27</v>
      </c>
    </row>
    <row r="1771" spans="1:13">
      <c r="A1771" t="s">
        <v>1447</v>
      </c>
      <c r="B1771" t="s">
        <v>179</v>
      </c>
      <c r="C1771" t="s">
        <v>45</v>
      </c>
      <c r="D1771" t="s">
        <v>3893</v>
      </c>
      <c r="E1771">
        <v>2</v>
      </c>
      <c r="F1771" t="s">
        <v>3894</v>
      </c>
      <c r="G1771" s="10">
        <v>45230</v>
      </c>
      <c r="H1771">
        <v>179850.72</v>
      </c>
      <c r="I1771">
        <v>50684.72</v>
      </c>
      <c r="J1771" t="s">
        <v>2077</v>
      </c>
      <c r="K1771">
        <v>5</v>
      </c>
      <c r="L1771" t="s">
        <v>44</v>
      </c>
      <c r="M1771" t="s">
        <v>45</v>
      </c>
    </row>
    <row r="1772" spans="1:13">
      <c r="A1772" t="s">
        <v>969</v>
      </c>
      <c r="B1772" t="s">
        <v>93</v>
      </c>
      <c r="C1772" t="s">
        <v>94</v>
      </c>
      <c r="D1772" t="s">
        <v>3895</v>
      </c>
      <c r="E1772">
        <v>7</v>
      </c>
      <c r="F1772" t="s">
        <v>3896</v>
      </c>
      <c r="G1772" s="10">
        <v>45232</v>
      </c>
      <c r="H1772">
        <v>172362.3</v>
      </c>
      <c r="I1772">
        <v>7422.3</v>
      </c>
      <c r="J1772" t="s">
        <v>313</v>
      </c>
      <c r="K1772">
        <v>5</v>
      </c>
      <c r="L1772" t="s">
        <v>41</v>
      </c>
      <c r="M1772" t="s">
        <v>42</v>
      </c>
    </row>
    <row r="1773" spans="1:13">
      <c r="A1773" t="s">
        <v>92</v>
      </c>
      <c r="B1773" t="s">
        <v>93</v>
      </c>
      <c r="C1773" t="s">
        <v>94</v>
      </c>
      <c r="D1773" t="s">
        <v>3897</v>
      </c>
      <c r="E1773">
        <v>2</v>
      </c>
      <c r="F1773" t="s">
        <v>3898</v>
      </c>
      <c r="G1773" s="10">
        <v>45230</v>
      </c>
      <c r="H1773">
        <v>72240</v>
      </c>
      <c r="I1773">
        <v>22240</v>
      </c>
      <c r="J1773" t="s">
        <v>1357</v>
      </c>
      <c r="K1773">
        <v>6</v>
      </c>
      <c r="L1773" t="s">
        <v>41</v>
      </c>
      <c r="M1773" t="s">
        <v>25</v>
      </c>
    </row>
    <row r="1774" spans="1:13">
      <c r="A1774" t="s">
        <v>1193</v>
      </c>
      <c r="B1774" t="s">
        <v>141</v>
      </c>
      <c r="C1774" t="s">
        <v>67</v>
      </c>
      <c r="D1774" t="s">
        <v>3899</v>
      </c>
      <c r="E1774">
        <v>2</v>
      </c>
      <c r="F1774" t="s">
        <v>3900</v>
      </c>
      <c r="G1774" s="10">
        <v>45236</v>
      </c>
      <c r="H1774">
        <v>115000</v>
      </c>
      <c r="I1774">
        <v>40000</v>
      </c>
      <c r="J1774" t="s">
        <v>3381</v>
      </c>
      <c r="K1774">
        <v>5</v>
      </c>
      <c r="L1774" t="s">
        <v>24</v>
      </c>
      <c r="M1774" t="s">
        <v>32</v>
      </c>
    </row>
    <row r="1775" spans="1:13">
      <c r="A1775" t="s">
        <v>854</v>
      </c>
      <c r="B1775" t="s">
        <v>93</v>
      </c>
      <c r="C1775" t="s">
        <v>94</v>
      </c>
      <c r="D1775" t="s">
        <v>3901</v>
      </c>
      <c r="E1775">
        <v>2</v>
      </c>
      <c r="F1775" t="s">
        <v>3902</v>
      </c>
      <c r="G1775" s="10">
        <v>45250</v>
      </c>
      <c r="H1775">
        <v>101850</v>
      </c>
      <c r="I1775">
        <v>10184</v>
      </c>
      <c r="J1775" t="s">
        <v>97</v>
      </c>
      <c r="K1775">
        <v>5</v>
      </c>
      <c r="L1775" t="s">
        <v>41</v>
      </c>
      <c r="M1775" t="s">
        <v>42</v>
      </c>
    </row>
    <row r="1776" spans="1:13">
      <c r="A1776" t="s">
        <v>175</v>
      </c>
      <c r="B1776" t="s">
        <v>66</v>
      </c>
      <c r="C1776" t="s">
        <v>67</v>
      </c>
      <c r="D1776" t="s">
        <v>3903</v>
      </c>
      <c r="E1776">
        <v>6</v>
      </c>
      <c r="F1776" t="s">
        <v>3904</v>
      </c>
      <c r="G1776" s="10">
        <v>45232</v>
      </c>
      <c r="H1776">
        <v>34375</v>
      </c>
      <c r="I1776">
        <v>6875</v>
      </c>
      <c r="J1776" t="s">
        <v>70</v>
      </c>
      <c r="K1776">
        <v>6</v>
      </c>
      <c r="L1776" t="s">
        <v>35</v>
      </c>
      <c r="M1776" t="s">
        <v>36</v>
      </c>
    </row>
    <row r="1777" spans="1:13">
      <c r="A1777" t="s">
        <v>361</v>
      </c>
      <c r="B1777" t="s">
        <v>72</v>
      </c>
      <c r="C1777" t="s">
        <v>67</v>
      </c>
      <c r="D1777" t="s">
        <v>3905</v>
      </c>
      <c r="E1777">
        <v>1</v>
      </c>
      <c r="F1777" t="s">
        <v>3906</v>
      </c>
      <c r="G1777" s="10">
        <v>45110</v>
      </c>
      <c r="H1777">
        <v>27500</v>
      </c>
      <c r="I1777">
        <v>2500</v>
      </c>
      <c r="J1777" t="s">
        <v>3861</v>
      </c>
      <c r="K1777">
        <v>6</v>
      </c>
      <c r="L1777" t="s">
        <v>35</v>
      </c>
      <c r="M1777" t="s">
        <v>35</v>
      </c>
    </row>
    <row r="1778" spans="1:13">
      <c r="A1778" t="s">
        <v>1303</v>
      </c>
      <c r="B1778" t="s">
        <v>118</v>
      </c>
      <c r="C1778" t="s">
        <v>98</v>
      </c>
      <c r="D1778" t="s">
        <v>3907</v>
      </c>
      <c r="E1778">
        <v>2</v>
      </c>
      <c r="F1778" t="s">
        <v>3908</v>
      </c>
      <c r="G1778" s="10">
        <v>45232</v>
      </c>
      <c r="H1778">
        <v>88200</v>
      </c>
      <c r="I1778">
        <v>21534</v>
      </c>
      <c r="J1778" t="s">
        <v>834</v>
      </c>
      <c r="K1778">
        <v>6</v>
      </c>
      <c r="L1778" t="s">
        <v>37</v>
      </c>
      <c r="M1778" t="s">
        <v>25</v>
      </c>
    </row>
    <row r="1779" spans="1:13">
      <c r="A1779" t="s">
        <v>1303</v>
      </c>
      <c r="B1779" t="s">
        <v>118</v>
      </c>
      <c r="C1779" t="s">
        <v>98</v>
      </c>
      <c r="D1779" t="s">
        <v>3909</v>
      </c>
      <c r="E1779">
        <v>2</v>
      </c>
      <c r="F1779" t="s">
        <v>3910</v>
      </c>
      <c r="G1779" s="10">
        <v>45232</v>
      </c>
      <c r="H1779">
        <v>188000</v>
      </c>
      <c r="I1779">
        <v>113000</v>
      </c>
      <c r="J1779" t="s">
        <v>308</v>
      </c>
      <c r="K1779">
        <v>6</v>
      </c>
      <c r="L1779" t="s">
        <v>24</v>
      </c>
      <c r="M1779" t="s">
        <v>32</v>
      </c>
    </row>
    <row r="1780" spans="1:13">
      <c r="A1780" t="s">
        <v>1868</v>
      </c>
      <c r="B1780" t="s">
        <v>66</v>
      </c>
      <c r="C1780" t="s">
        <v>67</v>
      </c>
      <c r="D1780" t="s">
        <v>3911</v>
      </c>
      <c r="E1780">
        <v>2</v>
      </c>
      <c r="F1780" t="s">
        <v>3912</v>
      </c>
      <c r="G1780" s="10">
        <v>45232</v>
      </c>
      <c r="H1780">
        <v>48000</v>
      </c>
      <c r="I1780">
        <v>8000</v>
      </c>
      <c r="J1780" t="s">
        <v>163</v>
      </c>
      <c r="K1780">
        <v>5</v>
      </c>
      <c r="L1780" t="s">
        <v>35</v>
      </c>
      <c r="M1780" t="s">
        <v>27</v>
      </c>
    </row>
    <row r="1781" spans="1:13">
      <c r="A1781" t="s">
        <v>1067</v>
      </c>
      <c r="B1781" t="s">
        <v>93</v>
      </c>
      <c r="C1781" t="s">
        <v>94</v>
      </c>
      <c r="D1781" t="s">
        <v>3913</v>
      </c>
      <c r="E1781">
        <v>2</v>
      </c>
      <c r="F1781" t="s">
        <v>3914</v>
      </c>
      <c r="G1781" s="10">
        <v>45260</v>
      </c>
      <c r="H1781">
        <v>268800</v>
      </c>
      <c r="I1781">
        <v>35467</v>
      </c>
      <c r="J1781" t="s">
        <v>97</v>
      </c>
      <c r="K1781">
        <v>6</v>
      </c>
      <c r="L1781" t="s">
        <v>41</v>
      </c>
      <c r="M1781" t="s">
        <v>42</v>
      </c>
    </row>
    <row r="1782" spans="1:13">
      <c r="A1782" t="s">
        <v>361</v>
      </c>
      <c r="B1782" t="s">
        <v>72</v>
      </c>
      <c r="C1782" t="s">
        <v>67</v>
      </c>
      <c r="D1782" t="s">
        <v>3915</v>
      </c>
      <c r="E1782">
        <v>1</v>
      </c>
      <c r="F1782" t="s">
        <v>3916</v>
      </c>
      <c r="G1782" s="10">
        <v>45358</v>
      </c>
      <c r="H1782">
        <v>27500</v>
      </c>
      <c r="I1782">
        <v>3195.83</v>
      </c>
      <c r="J1782" t="s">
        <v>3861</v>
      </c>
      <c r="K1782">
        <v>5</v>
      </c>
      <c r="L1782" t="s">
        <v>35</v>
      </c>
      <c r="M1782" t="s">
        <v>35</v>
      </c>
    </row>
    <row r="1783" spans="1:13">
      <c r="A1783" t="s">
        <v>376</v>
      </c>
      <c r="B1783" t="s">
        <v>66</v>
      </c>
      <c r="C1783" t="s">
        <v>67</v>
      </c>
      <c r="D1783" t="s">
        <v>3917</v>
      </c>
      <c r="E1783">
        <v>6</v>
      </c>
      <c r="F1783" t="s">
        <v>3918</v>
      </c>
      <c r="G1783" s="10">
        <v>45232</v>
      </c>
      <c r="H1783">
        <v>34375</v>
      </c>
      <c r="I1783">
        <v>6875</v>
      </c>
      <c r="J1783" t="s">
        <v>70</v>
      </c>
      <c r="K1783">
        <v>5</v>
      </c>
      <c r="L1783" t="s">
        <v>35</v>
      </c>
      <c r="M1783" t="s">
        <v>36</v>
      </c>
    </row>
    <row r="1784" spans="1:13">
      <c r="A1784" t="s">
        <v>2141</v>
      </c>
      <c r="B1784" t="s">
        <v>66</v>
      </c>
      <c r="C1784" t="s">
        <v>67</v>
      </c>
      <c r="D1784" t="s">
        <v>3919</v>
      </c>
      <c r="E1784">
        <v>6</v>
      </c>
      <c r="F1784" t="s">
        <v>3920</v>
      </c>
      <c r="G1784" s="10">
        <v>45232</v>
      </c>
      <c r="H1784">
        <v>34375</v>
      </c>
      <c r="I1784">
        <v>6875</v>
      </c>
      <c r="J1784" t="s">
        <v>70</v>
      </c>
      <c r="K1784">
        <v>5</v>
      </c>
      <c r="L1784" t="s">
        <v>35</v>
      </c>
      <c r="M1784" t="s">
        <v>36</v>
      </c>
    </row>
    <row r="1785" spans="1:13">
      <c r="A1785" t="s">
        <v>140</v>
      </c>
      <c r="B1785" t="s">
        <v>141</v>
      </c>
      <c r="C1785" t="s">
        <v>67</v>
      </c>
      <c r="D1785" t="s">
        <v>3921</v>
      </c>
      <c r="E1785">
        <v>1</v>
      </c>
      <c r="F1785" t="s">
        <v>3922</v>
      </c>
      <c r="G1785" s="10">
        <v>45243</v>
      </c>
      <c r="H1785">
        <v>39900</v>
      </c>
      <c r="I1785">
        <v>10734</v>
      </c>
      <c r="J1785" t="s">
        <v>144</v>
      </c>
      <c r="K1785">
        <v>5</v>
      </c>
      <c r="L1785" t="s">
        <v>38</v>
      </c>
      <c r="M1785" t="s">
        <v>25</v>
      </c>
    </row>
    <row r="1786" spans="1:13">
      <c r="A1786" t="s">
        <v>1447</v>
      </c>
      <c r="B1786" t="s">
        <v>179</v>
      </c>
      <c r="C1786" t="s">
        <v>45</v>
      </c>
      <c r="D1786" t="s">
        <v>3923</v>
      </c>
      <c r="E1786">
        <v>4</v>
      </c>
      <c r="F1786" t="s">
        <v>3924</v>
      </c>
      <c r="G1786" s="10">
        <v>45233</v>
      </c>
      <c r="H1786">
        <v>375000</v>
      </c>
      <c r="I1786">
        <v>108334</v>
      </c>
      <c r="J1786" t="s">
        <v>714</v>
      </c>
      <c r="K1786">
        <v>5</v>
      </c>
      <c r="L1786" t="s">
        <v>44</v>
      </c>
      <c r="M1786" t="s">
        <v>45</v>
      </c>
    </row>
    <row r="1787" spans="1:13">
      <c r="A1787" t="s">
        <v>170</v>
      </c>
      <c r="B1787" t="s">
        <v>66</v>
      </c>
      <c r="C1787" t="s">
        <v>67</v>
      </c>
      <c r="D1787" t="s">
        <v>3925</v>
      </c>
      <c r="E1787">
        <v>6</v>
      </c>
      <c r="F1787" t="s">
        <v>3926</v>
      </c>
      <c r="G1787" s="10">
        <v>45232</v>
      </c>
      <c r="H1787">
        <v>34375</v>
      </c>
      <c r="I1787">
        <v>6875</v>
      </c>
      <c r="J1787" t="s">
        <v>70</v>
      </c>
      <c r="K1787">
        <v>5</v>
      </c>
      <c r="L1787" t="s">
        <v>35</v>
      </c>
      <c r="M1787" t="s">
        <v>36</v>
      </c>
    </row>
    <row r="1788" spans="1:13">
      <c r="A1788" t="s">
        <v>628</v>
      </c>
      <c r="B1788" t="s">
        <v>66</v>
      </c>
      <c r="C1788" t="s">
        <v>67</v>
      </c>
      <c r="D1788" t="s">
        <v>3927</v>
      </c>
      <c r="E1788">
        <v>6</v>
      </c>
      <c r="F1788" t="s">
        <v>3928</v>
      </c>
      <c r="G1788" s="10">
        <v>45232</v>
      </c>
      <c r="H1788">
        <v>34375</v>
      </c>
      <c r="I1788">
        <v>6875</v>
      </c>
      <c r="J1788" t="s">
        <v>70</v>
      </c>
      <c r="K1788">
        <v>5</v>
      </c>
      <c r="L1788" t="s">
        <v>35</v>
      </c>
      <c r="M1788" t="s">
        <v>36</v>
      </c>
    </row>
    <row r="1789" spans="1:13">
      <c r="A1789" t="s">
        <v>628</v>
      </c>
      <c r="B1789" t="s">
        <v>66</v>
      </c>
      <c r="C1789" t="s">
        <v>67</v>
      </c>
      <c r="D1789" t="s">
        <v>3929</v>
      </c>
      <c r="E1789">
        <v>6</v>
      </c>
      <c r="F1789" t="s">
        <v>3930</v>
      </c>
      <c r="G1789" s="10">
        <v>45232</v>
      </c>
      <c r="H1789">
        <v>34375</v>
      </c>
      <c r="I1789">
        <v>6875</v>
      </c>
      <c r="J1789" t="s">
        <v>70</v>
      </c>
      <c r="K1789">
        <v>5</v>
      </c>
      <c r="L1789" t="s">
        <v>35</v>
      </c>
      <c r="M1789" t="s">
        <v>36</v>
      </c>
    </row>
    <row r="1790" spans="1:13">
      <c r="A1790" t="s">
        <v>2141</v>
      </c>
      <c r="B1790" t="s">
        <v>66</v>
      </c>
      <c r="C1790" t="s">
        <v>67</v>
      </c>
      <c r="D1790" t="s">
        <v>3931</v>
      </c>
      <c r="E1790">
        <v>6</v>
      </c>
      <c r="F1790" t="s">
        <v>3932</v>
      </c>
      <c r="G1790" s="10">
        <v>45232</v>
      </c>
      <c r="H1790">
        <v>34375</v>
      </c>
      <c r="I1790">
        <v>6875</v>
      </c>
      <c r="J1790" t="s">
        <v>70</v>
      </c>
      <c r="K1790">
        <v>5</v>
      </c>
      <c r="L1790" t="s">
        <v>35</v>
      </c>
      <c r="M1790" t="s">
        <v>36</v>
      </c>
    </row>
    <row r="1791" spans="1:13">
      <c r="A1791" t="s">
        <v>197</v>
      </c>
      <c r="B1791" t="s">
        <v>160</v>
      </c>
      <c r="C1791" t="s">
        <v>67</v>
      </c>
      <c r="D1791" t="s">
        <v>3933</v>
      </c>
      <c r="E1791">
        <v>2</v>
      </c>
      <c r="F1791" t="s">
        <v>3934</v>
      </c>
      <c r="G1791" s="10">
        <v>45236</v>
      </c>
      <c r="H1791">
        <v>21889</v>
      </c>
      <c r="I1791">
        <v>3339</v>
      </c>
      <c r="J1791" t="s">
        <v>193</v>
      </c>
      <c r="K1791">
        <v>5</v>
      </c>
      <c r="L1791" t="s">
        <v>35</v>
      </c>
      <c r="M1791" t="s">
        <v>27</v>
      </c>
    </row>
    <row r="1792" spans="1:13">
      <c r="A1792" t="s">
        <v>875</v>
      </c>
      <c r="B1792" t="s">
        <v>146</v>
      </c>
      <c r="C1792" t="s">
        <v>98</v>
      </c>
      <c r="D1792" t="s">
        <v>3935</v>
      </c>
      <c r="E1792">
        <v>1</v>
      </c>
      <c r="F1792" t="s">
        <v>3936</v>
      </c>
      <c r="G1792" s="10">
        <v>45260</v>
      </c>
      <c r="H1792">
        <v>300888</v>
      </c>
      <c r="I1792">
        <v>75888</v>
      </c>
      <c r="J1792" t="s">
        <v>744</v>
      </c>
      <c r="K1792">
        <v>6</v>
      </c>
      <c r="L1792" t="s">
        <v>24</v>
      </c>
      <c r="M1792" t="s">
        <v>31</v>
      </c>
    </row>
    <row r="1793" spans="1:13">
      <c r="A1793" t="s">
        <v>194</v>
      </c>
      <c r="B1793" t="s">
        <v>160</v>
      </c>
      <c r="C1793" t="s">
        <v>67</v>
      </c>
      <c r="D1793" t="s">
        <v>3937</v>
      </c>
      <c r="E1793">
        <v>2</v>
      </c>
      <c r="F1793" t="s">
        <v>3938</v>
      </c>
      <c r="G1793" s="10">
        <v>45236</v>
      </c>
      <c r="H1793">
        <v>32500</v>
      </c>
      <c r="I1793">
        <v>7500</v>
      </c>
      <c r="J1793" t="s">
        <v>163</v>
      </c>
      <c r="K1793">
        <v>5</v>
      </c>
      <c r="L1793" t="s">
        <v>35</v>
      </c>
      <c r="M1793" t="s">
        <v>27</v>
      </c>
    </row>
    <row r="1794" spans="1:13">
      <c r="A1794" t="s">
        <v>1029</v>
      </c>
      <c r="B1794" t="s">
        <v>1030</v>
      </c>
      <c r="C1794" t="s">
        <v>94</v>
      </c>
      <c r="D1794" t="s">
        <v>3939</v>
      </c>
      <c r="E1794">
        <v>2</v>
      </c>
      <c r="F1794" t="s">
        <v>3940</v>
      </c>
      <c r="G1794" s="10">
        <v>45233</v>
      </c>
      <c r="H1794">
        <v>90000</v>
      </c>
      <c r="I1794">
        <v>10000</v>
      </c>
      <c r="J1794" t="s">
        <v>227</v>
      </c>
      <c r="K1794">
        <v>5</v>
      </c>
      <c r="L1794" t="s">
        <v>41</v>
      </c>
      <c r="M1794" t="s">
        <v>42</v>
      </c>
    </row>
    <row r="1795" spans="1:13">
      <c r="A1795" t="s">
        <v>76</v>
      </c>
      <c r="B1795" t="s">
        <v>72</v>
      </c>
      <c r="C1795" t="s">
        <v>67</v>
      </c>
      <c r="D1795" t="s">
        <v>3941</v>
      </c>
      <c r="E1795">
        <v>1</v>
      </c>
      <c r="F1795" t="s">
        <v>372</v>
      </c>
      <c r="G1795" s="10">
        <v>45275</v>
      </c>
      <c r="H1795">
        <v>45517</v>
      </c>
      <c r="I1795">
        <v>6350.33</v>
      </c>
      <c r="J1795" t="s">
        <v>75</v>
      </c>
      <c r="K1795">
        <v>6</v>
      </c>
      <c r="L1795" t="s">
        <v>35</v>
      </c>
      <c r="M1795" t="s">
        <v>29</v>
      </c>
    </row>
    <row r="1796" spans="1:13">
      <c r="A1796" t="s">
        <v>522</v>
      </c>
      <c r="B1796" t="s">
        <v>72</v>
      </c>
      <c r="C1796" t="s">
        <v>67</v>
      </c>
      <c r="D1796" t="s">
        <v>3942</v>
      </c>
      <c r="E1796">
        <v>2</v>
      </c>
      <c r="F1796" t="s">
        <v>3943</v>
      </c>
      <c r="G1796" s="10">
        <v>45239</v>
      </c>
      <c r="H1796">
        <v>22420</v>
      </c>
      <c r="I1796">
        <v>3420</v>
      </c>
      <c r="J1796" t="s">
        <v>193</v>
      </c>
      <c r="K1796">
        <v>6</v>
      </c>
      <c r="L1796" t="s">
        <v>35</v>
      </c>
      <c r="M1796" t="s">
        <v>27</v>
      </c>
    </row>
    <row r="1797" spans="1:13">
      <c r="A1797" t="s">
        <v>223</v>
      </c>
      <c r="B1797" t="s">
        <v>224</v>
      </c>
      <c r="C1797" t="s">
        <v>94</v>
      </c>
      <c r="D1797" t="s">
        <v>3944</v>
      </c>
      <c r="E1797">
        <v>2</v>
      </c>
      <c r="F1797" t="s">
        <v>3945</v>
      </c>
      <c r="G1797" s="10">
        <v>45243</v>
      </c>
      <c r="H1797">
        <v>150000</v>
      </c>
      <c r="I1797">
        <v>33334</v>
      </c>
      <c r="J1797" t="s">
        <v>227</v>
      </c>
      <c r="K1797">
        <v>6</v>
      </c>
      <c r="L1797" t="s">
        <v>41</v>
      </c>
      <c r="M1797" t="s">
        <v>42</v>
      </c>
    </row>
    <row r="1798" spans="1:13">
      <c r="A1798" t="s">
        <v>65</v>
      </c>
      <c r="B1798" t="s">
        <v>66</v>
      </c>
      <c r="C1798" t="s">
        <v>67</v>
      </c>
      <c r="D1798" t="s">
        <v>3946</v>
      </c>
      <c r="E1798">
        <v>2</v>
      </c>
      <c r="F1798" t="s">
        <v>3947</v>
      </c>
      <c r="G1798" s="10">
        <v>45233</v>
      </c>
      <c r="H1798">
        <v>48000</v>
      </c>
      <c r="I1798">
        <v>8000</v>
      </c>
      <c r="J1798" t="s">
        <v>163</v>
      </c>
      <c r="K1798">
        <v>5</v>
      </c>
      <c r="L1798" t="s">
        <v>35</v>
      </c>
      <c r="M1798" t="s">
        <v>27</v>
      </c>
    </row>
    <row r="1799" spans="1:13">
      <c r="A1799" t="s">
        <v>170</v>
      </c>
      <c r="B1799" t="s">
        <v>66</v>
      </c>
      <c r="C1799" t="s">
        <v>67</v>
      </c>
      <c r="D1799" t="s">
        <v>3948</v>
      </c>
      <c r="E1799">
        <v>2</v>
      </c>
      <c r="F1799" t="s">
        <v>3949</v>
      </c>
      <c r="G1799" s="10">
        <v>45237</v>
      </c>
      <c r="H1799">
        <v>30000</v>
      </c>
      <c r="I1799">
        <v>5000</v>
      </c>
      <c r="J1799" t="s">
        <v>163</v>
      </c>
      <c r="K1799">
        <v>6</v>
      </c>
      <c r="L1799" t="s">
        <v>35</v>
      </c>
      <c r="M1799" t="s">
        <v>27</v>
      </c>
    </row>
    <row r="1800" spans="1:13">
      <c r="A1800" t="s">
        <v>3950</v>
      </c>
      <c r="B1800" t="s">
        <v>215</v>
      </c>
      <c r="C1800" t="s">
        <v>94</v>
      </c>
      <c r="D1800" t="s">
        <v>3951</v>
      </c>
      <c r="E1800">
        <v>2</v>
      </c>
      <c r="F1800" t="s">
        <v>3952</v>
      </c>
      <c r="G1800" s="10">
        <v>45238</v>
      </c>
      <c r="H1800">
        <v>28000</v>
      </c>
      <c r="I1800">
        <v>3000</v>
      </c>
      <c r="J1800" t="s">
        <v>227</v>
      </c>
      <c r="K1800">
        <v>5</v>
      </c>
      <c r="L1800" t="s">
        <v>41</v>
      </c>
      <c r="M1800" t="s">
        <v>42</v>
      </c>
    </row>
    <row r="1801" spans="1:13">
      <c r="A1801" t="s">
        <v>251</v>
      </c>
      <c r="B1801" t="s">
        <v>160</v>
      </c>
      <c r="C1801" t="s">
        <v>67</v>
      </c>
      <c r="D1801" t="s">
        <v>3953</v>
      </c>
      <c r="E1801">
        <v>2</v>
      </c>
      <c r="F1801" t="s">
        <v>3954</v>
      </c>
      <c r="G1801" s="10">
        <v>45238</v>
      </c>
      <c r="H1801">
        <v>17700</v>
      </c>
      <c r="I1801">
        <v>2700</v>
      </c>
      <c r="J1801" t="s">
        <v>193</v>
      </c>
      <c r="K1801">
        <v>5</v>
      </c>
      <c r="L1801" t="s">
        <v>35</v>
      </c>
      <c r="M1801" t="s">
        <v>27</v>
      </c>
    </row>
    <row r="1802" spans="1:13">
      <c r="A1802" t="s">
        <v>251</v>
      </c>
      <c r="B1802" t="s">
        <v>160</v>
      </c>
      <c r="C1802" t="s">
        <v>67</v>
      </c>
      <c r="D1802" t="s">
        <v>3955</v>
      </c>
      <c r="E1802">
        <v>2</v>
      </c>
      <c r="F1802" t="s">
        <v>3956</v>
      </c>
      <c r="G1802" s="10">
        <v>45238</v>
      </c>
      <c r="H1802">
        <v>32500</v>
      </c>
      <c r="I1802">
        <v>7500</v>
      </c>
      <c r="J1802" t="s">
        <v>163</v>
      </c>
      <c r="K1802">
        <v>5</v>
      </c>
      <c r="L1802" t="s">
        <v>35</v>
      </c>
      <c r="M1802" t="s">
        <v>27</v>
      </c>
    </row>
    <row r="1803" spans="1:13">
      <c r="A1803" t="s">
        <v>1193</v>
      </c>
      <c r="B1803" t="s">
        <v>141</v>
      </c>
      <c r="C1803" t="s">
        <v>67</v>
      </c>
      <c r="D1803" t="s">
        <v>3957</v>
      </c>
      <c r="E1803">
        <v>2</v>
      </c>
      <c r="F1803" t="s">
        <v>3958</v>
      </c>
      <c r="G1803" s="10">
        <v>45237</v>
      </c>
      <c r="H1803">
        <v>32500</v>
      </c>
      <c r="I1803">
        <v>7500</v>
      </c>
      <c r="J1803" t="s">
        <v>163</v>
      </c>
      <c r="K1803">
        <v>6</v>
      </c>
      <c r="L1803" t="s">
        <v>35</v>
      </c>
      <c r="M1803" t="s">
        <v>27</v>
      </c>
    </row>
    <row r="1804" spans="1:13">
      <c r="A1804" t="s">
        <v>190</v>
      </c>
      <c r="B1804" t="s">
        <v>160</v>
      </c>
      <c r="C1804" t="s">
        <v>67</v>
      </c>
      <c r="D1804" t="s">
        <v>3959</v>
      </c>
      <c r="E1804">
        <v>2</v>
      </c>
      <c r="F1804" t="s">
        <v>3960</v>
      </c>
      <c r="G1804" s="10">
        <v>45238</v>
      </c>
      <c r="H1804">
        <v>17700</v>
      </c>
      <c r="I1804">
        <v>2700</v>
      </c>
      <c r="J1804" t="s">
        <v>193</v>
      </c>
      <c r="K1804">
        <v>5</v>
      </c>
      <c r="L1804" t="s">
        <v>35</v>
      </c>
      <c r="M1804" t="s">
        <v>27</v>
      </c>
    </row>
    <row r="1805" spans="1:13">
      <c r="A1805" t="s">
        <v>251</v>
      </c>
      <c r="B1805" t="s">
        <v>160</v>
      </c>
      <c r="C1805" t="s">
        <v>67</v>
      </c>
      <c r="D1805" t="s">
        <v>3961</v>
      </c>
      <c r="E1805">
        <v>2</v>
      </c>
      <c r="F1805" t="s">
        <v>3962</v>
      </c>
      <c r="G1805" s="10">
        <v>45238</v>
      </c>
      <c r="H1805">
        <v>24898</v>
      </c>
      <c r="I1805">
        <v>3798</v>
      </c>
      <c r="J1805" t="s">
        <v>193</v>
      </c>
      <c r="K1805">
        <v>6</v>
      </c>
      <c r="L1805" t="s">
        <v>35</v>
      </c>
      <c r="M1805" t="s">
        <v>27</v>
      </c>
    </row>
    <row r="1806" spans="1:13">
      <c r="A1806" t="s">
        <v>319</v>
      </c>
      <c r="B1806" t="s">
        <v>179</v>
      </c>
      <c r="C1806" t="s">
        <v>45</v>
      </c>
      <c r="D1806" t="s">
        <v>3963</v>
      </c>
      <c r="E1806">
        <v>2</v>
      </c>
      <c r="F1806" t="s">
        <v>3964</v>
      </c>
      <c r="G1806" s="10">
        <v>45233</v>
      </c>
      <c r="H1806">
        <v>311267.5</v>
      </c>
      <c r="I1806">
        <v>73767.5</v>
      </c>
      <c r="J1806" t="s">
        <v>322</v>
      </c>
      <c r="K1806">
        <v>5</v>
      </c>
      <c r="L1806" t="s">
        <v>44</v>
      </c>
      <c r="M1806" t="s">
        <v>45</v>
      </c>
    </row>
    <row r="1807" spans="1:13">
      <c r="A1807" t="s">
        <v>527</v>
      </c>
      <c r="B1807" t="s">
        <v>93</v>
      </c>
      <c r="C1807" t="s">
        <v>94</v>
      </c>
      <c r="D1807" t="s">
        <v>3965</v>
      </c>
      <c r="E1807">
        <v>2</v>
      </c>
      <c r="F1807" t="s">
        <v>3966</v>
      </c>
      <c r="G1807" s="10">
        <v>45243</v>
      </c>
      <c r="H1807">
        <v>157500</v>
      </c>
      <c r="I1807">
        <v>28334</v>
      </c>
      <c r="J1807" t="s">
        <v>97</v>
      </c>
      <c r="K1807">
        <v>5</v>
      </c>
      <c r="L1807" t="s">
        <v>41</v>
      </c>
      <c r="M1807" t="s">
        <v>42</v>
      </c>
    </row>
    <row r="1808" spans="1:13">
      <c r="A1808" t="s">
        <v>969</v>
      </c>
      <c r="B1808" t="s">
        <v>93</v>
      </c>
      <c r="C1808" t="s">
        <v>94</v>
      </c>
      <c r="D1808" t="s">
        <v>3967</v>
      </c>
      <c r="E1808">
        <v>2</v>
      </c>
      <c r="F1808" t="s">
        <v>3968</v>
      </c>
      <c r="G1808" s="10">
        <v>45243</v>
      </c>
      <c r="H1808">
        <v>147000</v>
      </c>
      <c r="I1808">
        <v>59500</v>
      </c>
      <c r="J1808" t="s">
        <v>97</v>
      </c>
      <c r="K1808">
        <v>5</v>
      </c>
      <c r="L1808" t="s">
        <v>41</v>
      </c>
      <c r="M1808" t="s">
        <v>42</v>
      </c>
    </row>
    <row r="1809" spans="1:13">
      <c r="A1809" t="s">
        <v>190</v>
      </c>
      <c r="B1809" t="s">
        <v>160</v>
      </c>
      <c r="C1809" t="s">
        <v>67</v>
      </c>
      <c r="D1809" t="s">
        <v>3969</v>
      </c>
      <c r="E1809">
        <v>2</v>
      </c>
      <c r="F1809" t="s">
        <v>3970</v>
      </c>
      <c r="G1809" s="10">
        <v>45238</v>
      </c>
      <c r="H1809">
        <v>54000</v>
      </c>
      <c r="I1809">
        <v>9000</v>
      </c>
      <c r="J1809" t="s">
        <v>163</v>
      </c>
      <c r="K1809">
        <v>5</v>
      </c>
      <c r="L1809" t="s">
        <v>35</v>
      </c>
      <c r="M1809" t="s">
        <v>27</v>
      </c>
    </row>
    <row r="1810" spans="1:13">
      <c r="A1810" t="s">
        <v>190</v>
      </c>
      <c r="B1810" t="s">
        <v>160</v>
      </c>
      <c r="C1810" t="s">
        <v>67</v>
      </c>
      <c r="D1810" t="s">
        <v>3971</v>
      </c>
      <c r="E1810">
        <v>2</v>
      </c>
      <c r="F1810" t="s">
        <v>3972</v>
      </c>
      <c r="G1810" s="10">
        <v>45238</v>
      </c>
      <c r="H1810">
        <v>22420</v>
      </c>
      <c r="I1810">
        <v>3420</v>
      </c>
      <c r="J1810" t="s">
        <v>193</v>
      </c>
      <c r="K1810">
        <v>6</v>
      </c>
      <c r="L1810" t="s">
        <v>35</v>
      </c>
      <c r="M1810" t="s">
        <v>27</v>
      </c>
    </row>
    <row r="1811" spans="1:13">
      <c r="A1811" t="s">
        <v>400</v>
      </c>
      <c r="B1811" t="s">
        <v>41</v>
      </c>
      <c r="C1811" t="s">
        <v>400</v>
      </c>
      <c r="D1811" t="s">
        <v>3973</v>
      </c>
      <c r="E1811">
        <v>2</v>
      </c>
      <c r="F1811" t="s">
        <v>3974</v>
      </c>
      <c r="G1811" s="10">
        <v>45238</v>
      </c>
      <c r="H1811">
        <v>27000</v>
      </c>
      <c r="I1811">
        <v>2000</v>
      </c>
      <c r="J1811" t="s">
        <v>227</v>
      </c>
      <c r="K1811">
        <v>5</v>
      </c>
      <c r="L1811" t="s">
        <v>41</v>
      </c>
      <c r="M1811" t="s">
        <v>42</v>
      </c>
    </row>
    <row r="1812" spans="1:13">
      <c r="A1812" t="s">
        <v>1868</v>
      </c>
      <c r="B1812" t="s">
        <v>66</v>
      </c>
      <c r="C1812" t="s">
        <v>67</v>
      </c>
      <c r="D1812" t="s">
        <v>3975</v>
      </c>
      <c r="E1812">
        <v>6</v>
      </c>
      <c r="F1812" t="s">
        <v>3976</v>
      </c>
      <c r="G1812" s="10">
        <v>45240</v>
      </c>
      <c r="H1812">
        <v>34375</v>
      </c>
      <c r="I1812">
        <v>6875</v>
      </c>
      <c r="J1812" t="s">
        <v>70</v>
      </c>
      <c r="K1812">
        <v>5</v>
      </c>
      <c r="L1812" t="s">
        <v>35</v>
      </c>
      <c r="M1812" t="s">
        <v>36</v>
      </c>
    </row>
    <row r="1813" spans="1:13">
      <c r="A1813" t="s">
        <v>1868</v>
      </c>
      <c r="B1813" t="s">
        <v>66</v>
      </c>
      <c r="C1813" t="s">
        <v>67</v>
      </c>
      <c r="D1813" t="s">
        <v>3977</v>
      </c>
      <c r="E1813">
        <v>6</v>
      </c>
      <c r="F1813" t="s">
        <v>3978</v>
      </c>
      <c r="G1813" s="10">
        <v>45238</v>
      </c>
      <c r="H1813">
        <v>27500</v>
      </c>
      <c r="I1813">
        <v>4584</v>
      </c>
      <c r="J1813" t="s">
        <v>70</v>
      </c>
      <c r="K1813">
        <v>5</v>
      </c>
      <c r="L1813" t="s">
        <v>35</v>
      </c>
      <c r="M1813" t="s">
        <v>36</v>
      </c>
    </row>
    <row r="1814" spans="1:13">
      <c r="A1814" t="s">
        <v>1868</v>
      </c>
      <c r="B1814" t="s">
        <v>66</v>
      </c>
      <c r="C1814" t="s">
        <v>67</v>
      </c>
      <c r="D1814" t="s">
        <v>3979</v>
      </c>
      <c r="E1814">
        <v>6</v>
      </c>
      <c r="F1814" t="s">
        <v>3980</v>
      </c>
      <c r="G1814" s="10">
        <v>45238</v>
      </c>
      <c r="H1814">
        <v>27500</v>
      </c>
      <c r="I1814">
        <v>4584</v>
      </c>
      <c r="J1814" t="s">
        <v>70</v>
      </c>
      <c r="K1814">
        <v>5</v>
      </c>
      <c r="L1814" t="s">
        <v>35</v>
      </c>
      <c r="M1814" t="s">
        <v>36</v>
      </c>
    </row>
    <row r="1815" spans="1:13">
      <c r="A1815" t="s">
        <v>159</v>
      </c>
      <c r="B1815" t="s">
        <v>160</v>
      </c>
      <c r="C1815" t="s">
        <v>67</v>
      </c>
      <c r="D1815" t="s">
        <v>3981</v>
      </c>
      <c r="E1815">
        <v>2</v>
      </c>
      <c r="F1815" t="s">
        <v>3982</v>
      </c>
      <c r="G1815" s="10">
        <v>45240</v>
      </c>
      <c r="H1815">
        <v>50400</v>
      </c>
      <c r="I1815">
        <v>8400</v>
      </c>
      <c r="J1815" t="s">
        <v>163</v>
      </c>
      <c r="K1815">
        <v>5</v>
      </c>
      <c r="L1815" t="s">
        <v>35</v>
      </c>
      <c r="M1815" t="s">
        <v>27</v>
      </c>
    </row>
    <row r="1816" spans="1:13">
      <c r="A1816" t="s">
        <v>2141</v>
      </c>
      <c r="B1816" t="s">
        <v>66</v>
      </c>
      <c r="C1816" t="s">
        <v>67</v>
      </c>
      <c r="D1816" t="s">
        <v>3983</v>
      </c>
      <c r="E1816">
        <v>2</v>
      </c>
      <c r="F1816" t="s">
        <v>3984</v>
      </c>
      <c r="G1816" s="10">
        <v>45238</v>
      </c>
      <c r="H1816">
        <v>44840</v>
      </c>
      <c r="I1816">
        <v>6840</v>
      </c>
      <c r="J1816" t="s">
        <v>163</v>
      </c>
      <c r="K1816">
        <v>5</v>
      </c>
      <c r="L1816" t="s">
        <v>35</v>
      </c>
      <c r="M1816" t="s">
        <v>27</v>
      </c>
    </row>
    <row r="1817" spans="1:13">
      <c r="A1817" t="s">
        <v>984</v>
      </c>
      <c r="B1817" t="s">
        <v>28</v>
      </c>
      <c r="C1817" t="s">
        <v>238</v>
      </c>
      <c r="D1817" t="s">
        <v>3985</v>
      </c>
      <c r="E1817">
        <v>2</v>
      </c>
      <c r="F1817" t="s">
        <v>3986</v>
      </c>
      <c r="G1817" s="10">
        <v>45259</v>
      </c>
      <c r="H1817">
        <v>113272.32000000001</v>
      </c>
      <c r="I1817">
        <v>42439.32</v>
      </c>
      <c r="J1817" t="s">
        <v>126</v>
      </c>
      <c r="K1817">
        <v>5</v>
      </c>
      <c r="L1817" t="s">
        <v>24</v>
      </c>
      <c r="M1817" t="s">
        <v>26</v>
      </c>
    </row>
    <row r="1818" spans="1:13">
      <c r="A1818" t="s">
        <v>65</v>
      </c>
      <c r="B1818" t="s">
        <v>66</v>
      </c>
      <c r="C1818" t="s">
        <v>67</v>
      </c>
      <c r="D1818" t="s">
        <v>3987</v>
      </c>
      <c r="E1818">
        <v>6</v>
      </c>
      <c r="F1818" t="s">
        <v>3988</v>
      </c>
      <c r="G1818" s="10">
        <v>45240</v>
      </c>
      <c r="H1818">
        <v>34375</v>
      </c>
      <c r="I1818">
        <v>6875</v>
      </c>
      <c r="J1818" t="s">
        <v>70</v>
      </c>
      <c r="K1818">
        <v>6</v>
      </c>
      <c r="L1818" t="s">
        <v>35</v>
      </c>
      <c r="M1818" t="s">
        <v>36</v>
      </c>
    </row>
    <row r="1819" spans="1:13">
      <c r="A1819" t="s">
        <v>376</v>
      </c>
      <c r="B1819" t="s">
        <v>66</v>
      </c>
      <c r="C1819" t="s">
        <v>67</v>
      </c>
      <c r="D1819" t="s">
        <v>3989</v>
      </c>
      <c r="E1819">
        <v>6</v>
      </c>
      <c r="F1819" t="s">
        <v>3990</v>
      </c>
      <c r="G1819" s="10">
        <v>45238</v>
      </c>
      <c r="H1819">
        <v>27500</v>
      </c>
      <c r="I1819">
        <v>4584</v>
      </c>
      <c r="J1819" t="s">
        <v>70</v>
      </c>
      <c r="K1819">
        <v>5</v>
      </c>
      <c r="L1819" t="s">
        <v>35</v>
      </c>
      <c r="M1819" t="s">
        <v>36</v>
      </c>
    </row>
    <row r="1820" spans="1:13">
      <c r="A1820" t="s">
        <v>628</v>
      </c>
      <c r="B1820" t="s">
        <v>66</v>
      </c>
      <c r="C1820" t="s">
        <v>67</v>
      </c>
      <c r="D1820" t="s">
        <v>3991</v>
      </c>
      <c r="E1820">
        <v>6</v>
      </c>
      <c r="F1820" t="s">
        <v>3992</v>
      </c>
      <c r="G1820" s="10">
        <v>45238</v>
      </c>
      <c r="H1820">
        <v>27500</v>
      </c>
      <c r="I1820">
        <v>4584</v>
      </c>
      <c r="J1820" t="s">
        <v>70</v>
      </c>
      <c r="K1820">
        <v>5</v>
      </c>
      <c r="L1820" t="s">
        <v>35</v>
      </c>
      <c r="M1820" t="s">
        <v>36</v>
      </c>
    </row>
    <row r="1821" spans="1:13">
      <c r="A1821" t="s">
        <v>628</v>
      </c>
      <c r="B1821" t="s">
        <v>66</v>
      </c>
      <c r="C1821" t="s">
        <v>67</v>
      </c>
      <c r="D1821" t="s">
        <v>3993</v>
      </c>
      <c r="E1821">
        <v>6</v>
      </c>
      <c r="F1821" t="s">
        <v>3994</v>
      </c>
      <c r="G1821" s="10">
        <v>45238</v>
      </c>
      <c r="H1821">
        <v>27500</v>
      </c>
      <c r="I1821">
        <v>4584</v>
      </c>
      <c r="J1821" t="s">
        <v>70</v>
      </c>
      <c r="K1821">
        <v>5</v>
      </c>
      <c r="L1821" t="s">
        <v>35</v>
      </c>
      <c r="M1821" t="s">
        <v>36</v>
      </c>
    </row>
    <row r="1822" spans="1:13">
      <c r="A1822" t="s">
        <v>2877</v>
      </c>
      <c r="B1822" t="s">
        <v>848</v>
      </c>
      <c r="C1822" t="s">
        <v>98</v>
      </c>
      <c r="D1822" t="s">
        <v>3995</v>
      </c>
      <c r="E1822">
        <v>1</v>
      </c>
      <c r="F1822" t="s">
        <v>3996</v>
      </c>
      <c r="G1822" s="10">
        <v>45257</v>
      </c>
      <c r="H1822">
        <v>200592</v>
      </c>
      <c r="I1822">
        <v>50592</v>
      </c>
      <c r="J1822" t="s">
        <v>744</v>
      </c>
      <c r="K1822">
        <v>5</v>
      </c>
      <c r="L1822" t="s">
        <v>24</v>
      </c>
      <c r="M1822" t="s">
        <v>31</v>
      </c>
    </row>
    <row r="1823" spans="1:13">
      <c r="A1823" t="s">
        <v>2141</v>
      </c>
      <c r="B1823" t="s">
        <v>66</v>
      </c>
      <c r="C1823" t="s">
        <v>67</v>
      </c>
      <c r="D1823" t="s">
        <v>3997</v>
      </c>
      <c r="E1823">
        <v>6</v>
      </c>
      <c r="F1823" t="s">
        <v>3998</v>
      </c>
      <c r="G1823" s="10">
        <v>45238</v>
      </c>
      <c r="H1823">
        <v>27500</v>
      </c>
      <c r="I1823">
        <v>4584</v>
      </c>
      <c r="J1823" t="s">
        <v>70</v>
      </c>
      <c r="K1823">
        <v>5</v>
      </c>
      <c r="L1823" t="s">
        <v>35</v>
      </c>
      <c r="M1823" t="s">
        <v>36</v>
      </c>
    </row>
    <row r="1824" spans="1:13">
      <c r="A1824" t="s">
        <v>2141</v>
      </c>
      <c r="B1824" t="s">
        <v>66</v>
      </c>
      <c r="C1824" t="s">
        <v>67</v>
      </c>
      <c r="D1824" t="s">
        <v>3999</v>
      </c>
      <c r="E1824">
        <v>6</v>
      </c>
      <c r="F1824" t="s">
        <v>4000</v>
      </c>
      <c r="G1824" s="10">
        <v>45238</v>
      </c>
      <c r="H1824">
        <v>27500</v>
      </c>
      <c r="I1824">
        <v>4584</v>
      </c>
      <c r="J1824" t="s">
        <v>70</v>
      </c>
      <c r="K1824">
        <v>5</v>
      </c>
      <c r="L1824" t="s">
        <v>35</v>
      </c>
      <c r="M1824" t="s">
        <v>36</v>
      </c>
    </row>
    <row r="1825" spans="1:13">
      <c r="A1825" t="s">
        <v>2141</v>
      </c>
      <c r="B1825" t="s">
        <v>66</v>
      </c>
      <c r="C1825" t="s">
        <v>67</v>
      </c>
      <c r="D1825" t="s">
        <v>4001</v>
      </c>
      <c r="E1825">
        <v>6</v>
      </c>
      <c r="F1825" t="s">
        <v>4002</v>
      </c>
      <c r="G1825" s="10">
        <v>45240</v>
      </c>
      <c r="H1825">
        <v>34375</v>
      </c>
      <c r="I1825">
        <v>6875</v>
      </c>
      <c r="J1825" t="s">
        <v>70</v>
      </c>
      <c r="K1825">
        <v>5</v>
      </c>
      <c r="L1825" t="s">
        <v>35</v>
      </c>
      <c r="M1825" t="s">
        <v>36</v>
      </c>
    </row>
    <row r="1826" spans="1:13">
      <c r="A1826" t="s">
        <v>170</v>
      </c>
      <c r="B1826" t="s">
        <v>66</v>
      </c>
      <c r="C1826" t="s">
        <v>67</v>
      </c>
      <c r="D1826" t="s">
        <v>4003</v>
      </c>
      <c r="E1826">
        <v>6</v>
      </c>
      <c r="F1826" t="s">
        <v>4004</v>
      </c>
      <c r="G1826" s="10">
        <v>45240</v>
      </c>
      <c r="H1826">
        <v>34375</v>
      </c>
      <c r="I1826">
        <v>6875</v>
      </c>
      <c r="J1826" t="s">
        <v>70</v>
      </c>
      <c r="K1826">
        <v>5</v>
      </c>
      <c r="L1826" t="s">
        <v>35</v>
      </c>
      <c r="M1826" t="s">
        <v>36</v>
      </c>
    </row>
    <row r="1827" spans="1:13">
      <c r="A1827" t="s">
        <v>170</v>
      </c>
      <c r="B1827" t="s">
        <v>66</v>
      </c>
      <c r="C1827" t="s">
        <v>67</v>
      </c>
      <c r="D1827" t="s">
        <v>4005</v>
      </c>
      <c r="E1827">
        <v>6</v>
      </c>
      <c r="F1827" t="s">
        <v>4006</v>
      </c>
      <c r="G1827" s="10">
        <v>45240</v>
      </c>
      <c r="H1827">
        <v>34375</v>
      </c>
      <c r="I1827">
        <v>6875</v>
      </c>
      <c r="J1827" t="s">
        <v>70</v>
      </c>
      <c r="K1827">
        <v>6</v>
      </c>
      <c r="L1827" t="s">
        <v>35</v>
      </c>
      <c r="M1827" t="s">
        <v>36</v>
      </c>
    </row>
    <row r="1828" spans="1:13">
      <c r="A1828" t="s">
        <v>170</v>
      </c>
      <c r="B1828" t="s">
        <v>66</v>
      </c>
      <c r="C1828" t="s">
        <v>67</v>
      </c>
      <c r="D1828" t="s">
        <v>4007</v>
      </c>
      <c r="E1828">
        <v>6</v>
      </c>
      <c r="F1828" t="s">
        <v>4008</v>
      </c>
      <c r="G1828" s="10">
        <v>45240</v>
      </c>
      <c r="H1828">
        <v>34375</v>
      </c>
      <c r="I1828">
        <v>6875</v>
      </c>
      <c r="J1828" t="s">
        <v>70</v>
      </c>
      <c r="K1828">
        <v>6</v>
      </c>
      <c r="L1828" t="s">
        <v>35</v>
      </c>
      <c r="M1828" t="s">
        <v>36</v>
      </c>
    </row>
    <row r="1829" spans="1:13">
      <c r="A1829" t="s">
        <v>170</v>
      </c>
      <c r="B1829" t="s">
        <v>66</v>
      </c>
      <c r="C1829" t="s">
        <v>67</v>
      </c>
      <c r="D1829" t="s">
        <v>4009</v>
      </c>
      <c r="E1829">
        <v>6</v>
      </c>
      <c r="F1829" t="s">
        <v>4010</v>
      </c>
      <c r="G1829" s="10">
        <v>45238</v>
      </c>
      <c r="H1829">
        <v>27500</v>
      </c>
      <c r="I1829">
        <v>4584</v>
      </c>
      <c r="J1829" t="s">
        <v>70</v>
      </c>
      <c r="K1829">
        <v>5</v>
      </c>
      <c r="L1829" t="s">
        <v>35</v>
      </c>
      <c r="M1829" t="s">
        <v>36</v>
      </c>
    </row>
    <row r="1830" spans="1:13">
      <c r="A1830" t="s">
        <v>1868</v>
      </c>
      <c r="B1830" t="s">
        <v>66</v>
      </c>
      <c r="C1830" t="s">
        <v>67</v>
      </c>
      <c r="D1830" t="s">
        <v>4011</v>
      </c>
      <c r="E1830">
        <v>6</v>
      </c>
      <c r="F1830" t="s">
        <v>4012</v>
      </c>
      <c r="G1830" s="10">
        <v>45238</v>
      </c>
      <c r="H1830">
        <v>27500</v>
      </c>
      <c r="I1830">
        <v>4584</v>
      </c>
      <c r="J1830" t="s">
        <v>70</v>
      </c>
      <c r="K1830">
        <v>6</v>
      </c>
      <c r="L1830" t="s">
        <v>35</v>
      </c>
      <c r="M1830" t="s">
        <v>36</v>
      </c>
    </row>
    <row r="1831" spans="1:13">
      <c r="A1831" t="s">
        <v>65</v>
      </c>
      <c r="B1831" t="s">
        <v>66</v>
      </c>
      <c r="C1831" t="s">
        <v>67</v>
      </c>
      <c r="D1831" t="s">
        <v>4013</v>
      </c>
      <c r="E1831">
        <v>6</v>
      </c>
      <c r="F1831" t="s">
        <v>4014</v>
      </c>
      <c r="G1831" s="10">
        <v>45238</v>
      </c>
      <c r="H1831">
        <v>27500</v>
      </c>
      <c r="I1831">
        <v>4584</v>
      </c>
      <c r="J1831" t="s">
        <v>70</v>
      </c>
      <c r="K1831">
        <v>5</v>
      </c>
      <c r="L1831" t="s">
        <v>35</v>
      </c>
      <c r="M1831" t="s">
        <v>36</v>
      </c>
    </row>
    <row r="1832" spans="1:13">
      <c r="A1832" t="s">
        <v>1868</v>
      </c>
      <c r="B1832" t="s">
        <v>66</v>
      </c>
      <c r="C1832" t="s">
        <v>67</v>
      </c>
      <c r="D1832" t="s">
        <v>4015</v>
      </c>
      <c r="E1832">
        <v>6</v>
      </c>
      <c r="F1832" t="s">
        <v>4016</v>
      </c>
      <c r="G1832" s="10">
        <v>45238</v>
      </c>
      <c r="H1832">
        <v>27500</v>
      </c>
      <c r="I1832">
        <v>4584</v>
      </c>
      <c r="J1832" t="s">
        <v>70</v>
      </c>
      <c r="K1832">
        <v>6</v>
      </c>
      <c r="L1832" t="s">
        <v>35</v>
      </c>
      <c r="M1832" t="s">
        <v>36</v>
      </c>
    </row>
    <row r="1833" spans="1:13">
      <c r="A1833" t="s">
        <v>4017</v>
      </c>
      <c r="B1833" t="s">
        <v>1983</v>
      </c>
      <c r="C1833" t="s">
        <v>45</v>
      </c>
      <c r="D1833" t="s">
        <v>4018</v>
      </c>
      <c r="E1833">
        <v>2</v>
      </c>
      <c r="F1833" t="s">
        <v>4019</v>
      </c>
      <c r="G1833" s="10">
        <v>45243</v>
      </c>
      <c r="H1833">
        <v>55916.67</v>
      </c>
      <c r="I1833">
        <v>10083.67</v>
      </c>
      <c r="J1833" t="s">
        <v>517</v>
      </c>
      <c r="K1833">
        <v>5</v>
      </c>
      <c r="L1833" t="s">
        <v>44</v>
      </c>
      <c r="M1833" t="s">
        <v>48</v>
      </c>
    </row>
    <row r="1834" spans="1:13">
      <c r="A1834" t="s">
        <v>197</v>
      </c>
      <c r="B1834" t="s">
        <v>160</v>
      </c>
      <c r="C1834" t="s">
        <v>67</v>
      </c>
      <c r="D1834" t="s">
        <v>4020</v>
      </c>
      <c r="E1834">
        <v>2</v>
      </c>
      <c r="F1834" t="s">
        <v>4021</v>
      </c>
      <c r="G1834" s="10">
        <v>45240</v>
      </c>
      <c r="H1834">
        <v>17700</v>
      </c>
      <c r="I1834">
        <v>2700</v>
      </c>
      <c r="J1834" t="s">
        <v>193</v>
      </c>
      <c r="K1834">
        <v>5</v>
      </c>
      <c r="L1834" t="s">
        <v>35</v>
      </c>
      <c r="M1834" t="s">
        <v>27</v>
      </c>
    </row>
    <row r="1835" spans="1:13">
      <c r="A1835" t="s">
        <v>2286</v>
      </c>
      <c r="B1835" t="s">
        <v>141</v>
      </c>
      <c r="C1835" t="s">
        <v>67</v>
      </c>
      <c r="D1835" t="s">
        <v>4022</v>
      </c>
      <c r="E1835">
        <v>2</v>
      </c>
      <c r="F1835" t="s">
        <v>4023</v>
      </c>
      <c r="G1835" s="10">
        <v>45306</v>
      </c>
      <c r="H1835">
        <v>94400</v>
      </c>
      <c r="I1835">
        <v>14400</v>
      </c>
      <c r="J1835" t="s">
        <v>193</v>
      </c>
      <c r="K1835">
        <v>5</v>
      </c>
      <c r="L1835" t="s">
        <v>35</v>
      </c>
      <c r="M1835" t="s">
        <v>27</v>
      </c>
    </row>
    <row r="1836" spans="1:13">
      <c r="A1836" t="s">
        <v>1193</v>
      </c>
      <c r="B1836" t="s">
        <v>141</v>
      </c>
      <c r="C1836" t="s">
        <v>67</v>
      </c>
      <c r="D1836" t="s">
        <v>4024</v>
      </c>
      <c r="E1836">
        <v>2</v>
      </c>
      <c r="F1836" t="s">
        <v>4025</v>
      </c>
      <c r="G1836" s="10">
        <v>45239</v>
      </c>
      <c r="H1836">
        <v>29500</v>
      </c>
      <c r="I1836">
        <v>4500</v>
      </c>
      <c r="J1836" t="s">
        <v>193</v>
      </c>
      <c r="K1836">
        <v>5</v>
      </c>
      <c r="L1836" t="s">
        <v>35</v>
      </c>
      <c r="M1836" t="s">
        <v>27</v>
      </c>
    </row>
    <row r="1837" spans="1:13">
      <c r="A1837" t="s">
        <v>194</v>
      </c>
      <c r="B1837" t="s">
        <v>160</v>
      </c>
      <c r="C1837" t="s">
        <v>67</v>
      </c>
      <c r="D1837" t="s">
        <v>4026</v>
      </c>
      <c r="E1837">
        <v>2</v>
      </c>
      <c r="F1837" t="s">
        <v>4027</v>
      </c>
      <c r="G1837" s="10">
        <v>45240</v>
      </c>
      <c r="H1837">
        <v>42000</v>
      </c>
      <c r="I1837">
        <v>7000</v>
      </c>
      <c r="J1837" t="s">
        <v>163</v>
      </c>
      <c r="K1837">
        <v>5</v>
      </c>
      <c r="L1837" t="s">
        <v>35</v>
      </c>
      <c r="M1837" t="s">
        <v>27</v>
      </c>
    </row>
    <row r="1838" spans="1:13">
      <c r="A1838" t="s">
        <v>65</v>
      </c>
      <c r="B1838" t="s">
        <v>66</v>
      </c>
      <c r="C1838" t="s">
        <v>67</v>
      </c>
      <c r="D1838" t="s">
        <v>4028</v>
      </c>
      <c r="E1838">
        <v>6</v>
      </c>
      <c r="F1838" t="s">
        <v>4029</v>
      </c>
      <c r="G1838" s="10">
        <v>45313</v>
      </c>
      <c r="H1838">
        <v>34375</v>
      </c>
      <c r="I1838">
        <v>6875</v>
      </c>
      <c r="J1838" t="s">
        <v>70</v>
      </c>
      <c r="K1838">
        <v>5</v>
      </c>
      <c r="L1838" t="s">
        <v>35</v>
      </c>
      <c r="M1838" t="s">
        <v>36</v>
      </c>
    </row>
    <row r="1839" spans="1:13">
      <c r="A1839" t="s">
        <v>1868</v>
      </c>
      <c r="B1839" t="s">
        <v>66</v>
      </c>
      <c r="C1839" t="s">
        <v>67</v>
      </c>
      <c r="D1839" t="s">
        <v>4030</v>
      </c>
      <c r="E1839">
        <v>6</v>
      </c>
      <c r="F1839" t="s">
        <v>4031</v>
      </c>
      <c r="G1839" s="10">
        <v>45237</v>
      </c>
      <c r="H1839">
        <v>34375</v>
      </c>
      <c r="I1839">
        <v>6875</v>
      </c>
      <c r="J1839" t="s">
        <v>70</v>
      </c>
      <c r="K1839">
        <v>6</v>
      </c>
      <c r="L1839" t="s">
        <v>35</v>
      </c>
      <c r="M1839" t="s">
        <v>36</v>
      </c>
    </row>
    <row r="1840" spans="1:13">
      <c r="A1840" t="s">
        <v>2562</v>
      </c>
      <c r="B1840" t="s">
        <v>146</v>
      </c>
      <c r="C1840" t="s">
        <v>98</v>
      </c>
      <c r="D1840" t="s">
        <v>4032</v>
      </c>
      <c r="E1840">
        <v>1</v>
      </c>
      <c r="F1840" t="s">
        <v>4033</v>
      </c>
      <c r="G1840" s="10">
        <v>45243</v>
      </c>
      <c r="H1840">
        <v>367752</v>
      </c>
      <c r="I1840">
        <v>59419</v>
      </c>
      <c r="J1840" t="s">
        <v>744</v>
      </c>
      <c r="K1840">
        <v>5</v>
      </c>
      <c r="L1840" t="s">
        <v>24</v>
      </c>
      <c r="M1840" t="s">
        <v>31</v>
      </c>
    </row>
    <row r="1841" spans="1:13">
      <c r="A1841" t="s">
        <v>4034</v>
      </c>
      <c r="B1841" t="s">
        <v>1030</v>
      </c>
      <c r="C1841" t="s">
        <v>94</v>
      </c>
      <c r="D1841" t="s">
        <v>4035</v>
      </c>
      <c r="E1841">
        <v>2</v>
      </c>
      <c r="F1841" t="s">
        <v>4036</v>
      </c>
      <c r="G1841" s="10">
        <v>45240</v>
      </c>
      <c r="H1841">
        <v>160000</v>
      </c>
      <c r="I1841">
        <v>26667</v>
      </c>
      <c r="J1841" t="s">
        <v>4037</v>
      </c>
      <c r="K1841">
        <v>6</v>
      </c>
      <c r="L1841" t="s">
        <v>41</v>
      </c>
      <c r="M1841" t="s">
        <v>33</v>
      </c>
    </row>
    <row r="1842" spans="1:13">
      <c r="A1842" t="s">
        <v>984</v>
      </c>
      <c r="B1842" t="s">
        <v>28</v>
      </c>
      <c r="C1842" t="s">
        <v>238</v>
      </c>
      <c r="D1842" t="s">
        <v>4038</v>
      </c>
      <c r="E1842">
        <v>2</v>
      </c>
      <c r="F1842" t="s">
        <v>4039</v>
      </c>
      <c r="G1842" s="10">
        <v>45264</v>
      </c>
      <c r="H1842">
        <v>113272.32000000001</v>
      </c>
      <c r="I1842">
        <v>38272.32</v>
      </c>
      <c r="J1842" t="s">
        <v>126</v>
      </c>
      <c r="K1842">
        <v>5</v>
      </c>
      <c r="L1842" t="s">
        <v>24</v>
      </c>
      <c r="M1842" t="s">
        <v>26</v>
      </c>
    </row>
    <row r="1843" spans="1:13">
      <c r="A1843" t="s">
        <v>2562</v>
      </c>
      <c r="B1843" t="s">
        <v>146</v>
      </c>
      <c r="C1843" t="s">
        <v>98</v>
      </c>
      <c r="D1843" t="s">
        <v>4040</v>
      </c>
      <c r="E1843">
        <v>1</v>
      </c>
      <c r="F1843" t="s">
        <v>4041</v>
      </c>
      <c r="G1843" s="10">
        <v>45254</v>
      </c>
      <c r="H1843">
        <v>367752</v>
      </c>
      <c r="I1843">
        <v>67752</v>
      </c>
      <c r="J1843" t="s">
        <v>859</v>
      </c>
      <c r="K1843">
        <v>6</v>
      </c>
      <c r="L1843" t="s">
        <v>24</v>
      </c>
      <c r="M1843" t="s">
        <v>24</v>
      </c>
    </row>
    <row r="1844" spans="1:13">
      <c r="A1844" t="s">
        <v>794</v>
      </c>
      <c r="B1844" t="s">
        <v>118</v>
      </c>
      <c r="C1844" t="s">
        <v>98</v>
      </c>
      <c r="D1844" t="s">
        <v>4042</v>
      </c>
      <c r="E1844">
        <v>4</v>
      </c>
      <c r="F1844" t="s">
        <v>4043</v>
      </c>
      <c r="G1844" s="10">
        <v>45244</v>
      </c>
      <c r="H1844">
        <v>121182.27</v>
      </c>
      <c r="I1844">
        <v>37849.269999999997</v>
      </c>
      <c r="J1844" t="s">
        <v>121</v>
      </c>
      <c r="K1844">
        <v>5</v>
      </c>
      <c r="L1844" t="s">
        <v>24</v>
      </c>
      <c r="M1844" t="s">
        <v>30</v>
      </c>
    </row>
    <row r="1845" spans="1:13">
      <c r="A1845" t="s">
        <v>2367</v>
      </c>
      <c r="B1845" t="s">
        <v>118</v>
      </c>
      <c r="C1845" t="s">
        <v>98</v>
      </c>
      <c r="D1845" t="s">
        <v>4044</v>
      </c>
      <c r="E1845">
        <v>1</v>
      </c>
      <c r="F1845" t="s">
        <v>4045</v>
      </c>
      <c r="G1845" s="10">
        <v>45267</v>
      </c>
      <c r="H1845">
        <v>367752</v>
      </c>
      <c r="I1845">
        <v>76086</v>
      </c>
      <c r="J1845" t="s">
        <v>744</v>
      </c>
      <c r="K1845">
        <v>5</v>
      </c>
      <c r="L1845" t="s">
        <v>24</v>
      </c>
      <c r="M1845" t="s">
        <v>31</v>
      </c>
    </row>
    <row r="1846" spans="1:13">
      <c r="A1846" t="s">
        <v>431</v>
      </c>
      <c r="B1846" t="s">
        <v>160</v>
      </c>
      <c r="C1846" t="s">
        <v>67</v>
      </c>
      <c r="D1846" t="s">
        <v>4046</v>
      </c>
      <c r="E1846">
        <v>2</v>
      </c>
      <c r="F1846" t="s">
        <v>4047</v>
      </c>
      <c r="G1846" s="10">
        <v>45264</v>
      </c>
      <c r="H1846">
        <v>33040</v>
      </c>
      <c r="I1846">
        <v>5040</v>
      </c>
      <c r="J1846" t="s">
        <v>193</v>
      </c>
      <c r="K1846">
        <v>6</v>
      </c>
      <c r="L1846" t="s">
        <v>35</v>
      </c>
      <c r="M1846" t="s">
        <v>27</v>
      </c>
    </row>
    <row r="1847" spans="1:13">
      <c r="A1847" t="s">
        <v>261</v>
      </c>
      <c r="B1847" t="s">
        <v>160</v>
      </c>
      <c r="C1847" t="s">
        <v>67</v>
      </c>
      <c r="D1847" t="s">
        <v>4048</v>
      </c>
      <c r="E1847">
        <v>2</v>
      </c>
      <c r="F1847" t="s">
        <v>4049</v>
      </c>
      <c r="G1847" s="10">
        <v>45244</v>
      </c>
      <c r="H1847">
        <v>32500</v>
      </c>
      <c r="I1847">
        <v>7500</v>
      </c>
      <c r="J1847" t="s">
        <v>163</v>
      </c>
      <c r="K1847">
        <v>6</v>
      </c>
      <c r="L1847" t="s">
        <v>35</v>
      </c>
      <c r="M1847" t="s">
        <v>27</v>
      </c>
    </row>
    <row r="1848" spans="1:13">
      <c r="A1848" t="s">
        <v>527</v>
      </c>
      <c r="B1848" t="s">
        <v>93</v>
      </c>
      <c r="C1848" t="s">
        <v>94</v>
      </c>
      <c r="D1848" t="s">
        <v>4050</v>
      </c>
      <c r="E1848">
        <v>2</v>
      </c>
      <c r="F1848" t="s">
        <v>4051</v>
      </c>
      <c r="G1848" s="10">
        <v>45245</v>
      </c>
      <c r="H1848">
        <v>178500</v>
      </c>
      <c r="I1848">
        <v>32667</v>
      </c>
      <c r="J1848" t="s">
        <v>97</v>
      </c>
      <c r="K1848">
        <v>5</v>
      </c>
      <c r="L1848" t="s">
        <v>41</v>
      </c>
      <c r="M1848" t="s">
        <v>42</v>
      </c>
    </row>
    <row r="1849" spans="1:13">
      <c r="A1849" t="s">
        <v>571</v>
      </c>
      <c r="B1849" t="s">
        <v>179</v>
      </c>
      <c r="C1849" t="s">
        <v>45</v>
      </c>
      <c r="D1849" t="s">
        <v>4052</v>
      </c>
      <c r="E1849">
        <v>2</v>
      </c>
      <c r="F1849" t="s">
        <v>4053</v>
      </c>
      <c r="G1849" s="10">
        <v>45240</v>
      </c>
      <c r="H1849">
        <v>250000</v>
      </c>
      <c r="I1849">
        <v>125000</v>
      </c>
      <c r="J1849" t="s">
        <v>714</v>
      </c>
      <c r="K1849">
        <v>6</v>
      </c>
      <c r="L1849" t="s">
        <v>44</v>
      </c>
      <c r="M1849" t="s">
        <v>45</v>
      </c>
    </row>
    <row r="1850" spans="1:13">
      <c r="A1850" t="s">
        <v>261</v>
      </c>
      <c r="B1850" t="s">
        <v>160</v>
      </c>
      <c r="C1850" t="s">
        <v>67</v>
      </c>
      <c r="D1850" t="s">
        <v>4054</v>
      </c>
      <c r="E1850">
        <v>2</v>
      </c>
      <c r="F1850" t="s">
        <v>4055</v>
      </c>
      <c r="G1850" s="10">
        <v>45244</v>
      </c>
      <c r="H1850">
        <v>32500</v>
      </c>
      <c r="I1850">
        <v>7500</v>
      </c>
      <c r="J1850" t="s">
        <v>163</v>
      </c>
      <c r="K1850">
        <v>6</v>
      </c>
      <c r="L1850" t="s">
        <v>35</v>
      </c>
      <c r="M1850" t="s">
        <v>27</v>
      </c>
    </row>
    <row r="1851" spans="1:13">
      <c r="A1851" t="s">
        <v>1228</v>
      </c>
      <c r="B1851" t="s">
        <v>224</v>
      </c>
      <c r="C1851" t="s">
        <v>94</v>
      </c>
      <c r="D1851" t="s">
        <v>4056</v>
      </c>
      <c r="E1851">
        <v>2</v>
      </c>
      <c r="F1851" t="s">
        <v>4057</v>
      </c>
      <c r="G1851" s="10">
        <v>45252</v>
      </c>
      <c r="H1851">
        <v>137666.67000000001</v>
      </c>
      <c r="I1851">
        <v>21000.67</v>
      </c>
      <c r="J1851" t="s">
        <v>3844</v>
      </c>
      <c r="K1851">
        <v>5</v>
      </c>
      <c r="L1851" t="s">
        <v>41</v>
      </c>
      <c r="M1851" t="s">
        <v>41</v>
      </c>
    </row>
    <row r="1852" spans="1:13">
      <c r="A1852" t="s">
        <v>494</v>
      </c>
      <c r="B1852" t="s">
        <v>112</v>
      </c>
      <c r="C1852" t="s">
        <v>113</v>
      </c>
      <c r="D1852" t="s">
        <v>4058</v>
      </c>
      <c r="E1852">
        <v>2</v>
      </c>
      <c r="F1852" t="s">
        <v>4059</v>
      </c>
      <c r="G1852" s="10">
        <v>45250</v>
      </c>
      <c r="H1852">
        <v>180000</v>
      </c>
      <c r="I1852">
        <v>34167</v>
      </c>
      <c r="J1852" t="s">
        <v>227</v>
      </c>
      <c r="K1852">
        <v>5</v>
      </c>
      <c r="L1852" t="s">
        <v>41</v>
      </c>
      <c r="M1852" t="s">
        <v>42</v>
      </c>
    </row>
    <row r="1853" spans="1:13">
      <c r="A1853" t="s">
        <v>3096</v>
      </c>
      <c r="B1853" t="s">
        <v>1983</v>
      </c>
      <c r="C1853" t="s">
        <v>45</v>
      </c>
      <c r="D1853" t="s">
        <v>4060</v>
      </c>
      <c r="E1853">
        <v>2</v>
      </c>
      <c r="F1853" t="s">
        <v>4061</v>
      </c>
      <c r="G1853" s="10">
        <v>45257</v>
      </c>
      <c r="H1853">
        <v>300000</v>
      </c>
      <c r="I1853">
        <v>33334</v>
      </c>
      <c r="J1853" t="s">
        <v>884</v>
      </c>
      <c r="K1853">
        <v>6</v>
      </c>
      <c r="L1853" t="s">
        <v>44</v>
      </c>
      <c r="M1853" t="s">
        <v>45</v>
      </c>
    </row>
    <row r="1854" spans="1:13">
      <c r="A1854" t="s">
        <v>1193</v>
      </c>
      <c r="B1854" t="s">
        <v>141</v>
      </c>
      <c r="C1854" t="s">
        <v>67</v>
      </c>
      <c r="D1854" t="s">
        <v>4062</v>
      </c>
      <c r="E1854">
        <v>2</v>
      </c>
      <c r="F1854" t="s">
        <v>4063</v>
      </c>
      <c r="G1854" s="10">
        <v>45254</v>
      </c>
      <c r="H1854">
        <v>68440</v>
      </c>
      <c r="I1854">
        <v>10440</v>
      </c>
      <c r="J1854" t="s">
        <v>193</v>
      </c>
      <c r="K1854">
        <v>5</v>
      </c>
      <c r="L1854" t="s">
        <v>35</v>
      </c>
      <c r="M1854" t="s">
        <v>27</v>
      </c>
    </row>
    <row r="1855" spans="1:13">
      <c r="A1855" t="s">
        <v>4064</v>
      </c>
      <c r="B1855" t="s">
        <v>146</v>
      </c>
      <c r="C1855" t="s">
        <v>98</v>
      </c>
      <c r="D1855" t="s">
        <v>4065</v>
      </c>
      <c r="E1855">
        <v>1</v>
      </c>
      <c r="F1855" t="s">
        <v>4066</v>
      </c>
      <c r="G1855" s="10">
        <v>45264</v>
      </c>
      <c r="H1855">
        <v>376110</v>
      </c>
      <c r="I1855">
        <v>67777</v>
      </c>
      <c r="J1855" t="s">
        <v>859</v>
      </c>
      <c r="K1855">
        <v>6</v>
      </c>
      <c r="L1855" t="s">
        <v>24</v>
      </c>
      <c r="M1855" t="s">
        <v>24</v>
      </c>
    </row>
    <row r="1856" spans="1:13">
      <c r="A1856" t="s">
        <v>1228</v>
      </c>
      <c r="B1856" t="s">
        <v>224</v>
      </c>
      <c r="C1856" t="s">
        <v>94</v>
      </c>
      <c r="D1856" t="s">
        <v>4067</v>
      </c>
      <c r="E1856">
        <v>2</v>
      </c>
      <c r="F1856" t="s">
        <v>4068</v>
      </c>
      <c r="G1856" s="10">
        <v>45246</v>
      </c>
      <c r="H1856">
        <v>334333.33</v>
      </c>
      <c r="I1856">
        <v>51000.33</v>
      </c>
      <c r="J1856" t="s">
        <v>3844</v>
      </c>
      <c r="K1856">
        <v>6</v>
      </c>
      <c r="L1856" t="s">
        <v>41</v>
      </c>
      <c r="M1856" t="s">
        <v>41</v>
      </c>
    </row>
    <row r="1857" spans="1:13">
      <c r="A1857" t="s">
        <v>527</v>
      </c>
      <c r="B1857" t="s">
        <v>93</v>
      </c>
      <c r="C1857" t="s">
        <v>94</v>
      </c>
      <c r="D1857" t="s">
        <v>4069</v>
      </c>
      <c r="E1857">
        <v>2</v>
      </c>
      <c r="F1857" t="s">
        <v>4070</v>
      </c>
      <c r="G1857" s="10">
        <v>45245</v>
      </c>
      <c r="H1857">
        <v>231000</v>
      </c>
      <c r="I1857">
        <v>47667</v>
      </c>
      <c r="J1857" t="s">
        <v>97</v>
      </c>
      <c r="K1857">
        <v>6</v>
      </c>
      <c r="L1857" t="s">
        <v>41</v>
      </c>
      <c r="M1857" t="s">
        <v>42</v>
      </c>
    </row>
    <row r="1858" spans="1:13">
      <c r="A1858" t="s">
        <v>261</v>
      </c>
      <c r="B1858" t="s">
        <v>160</v>
      </c>
      <c r="C1858" t="s">
        <v>67</v>
      </c>
      <c r="D1858" t="s">
        <v>4071</v>
      </c>
      <c r="E1858">
        <v>2</v>
      </c>
      <c r="F1858" t="s">
        <v>4072</v>
      </c>
      <c r="G1858" s="10">
        <v>45247</v>
      </c>
      <c r="H1858">
        <v>32500</v>
      </c>
      <c r="I1858">
        <v>7500</v>
      </c>
      <c r="J1858" t="s">
        <v>163</v>
      </c>
      <c r="K1858">
        <v>6</v>
      </c>
      <c r="L1858" t="s">
        <v>35</v>
      </c>
      <c r="M1858" t="s">
        <v>27</v>
      </c>
    </row>
    <row r="1859" spans="1:13">
      <c r="A1859" t="s">
        <v>431</v>
      </c>
      <c r="B1859" t="s">
        <v>160</v>
      </c>
      <c r="C1859" t="s">
        <v>67</v>
      </c>
      <c r="D1859" t="s">
        <v>4073</v>
      </c>
      <c r="E1859">
        <v>2</v>
      </c>
      <c r="F1859" t="s">
        <v>4074</v>
      </c>
      <c r="G1859" s="10">
        <v>45251</v>
      </c>
      <c r="H1859">
        <v>47200</v>
      </c>
      <c r="I1859">
        <v>7200</v>
      </c>
      <c r="J1859" t="s">
        <v>193</v>
      </c>
      <c r="K1859">
        <v>6</v>
      </c>
      <c r="L1859" t="s">
        <v>35</v>
      </c>
      <c r="M1859" t="s">
        <v>27</v>
      </c>
    </row>
    <row r="1860" spans="1:13">
      <c r="A1860" t="s">
        <v>2286</v>
      </c>
      <c r="B1860" t="s">
        <v>141</v>
      </c>
      <c r="C1860" t="s">
        <v>67</v>
      </c>
      <c r="D1860" t="s">
        <v>4075</v>
      </c>
      <c r="E1860">
        <v>2</v>
      </c>
      <c r="F1860" t="s">
        <v>4076</v>
      </c>
      <c r="G1860" s="10">
        <v>45251</v>
      </c>
      <c r="H1860">
        <v>29500</v>
      </c>
      <c r="I1860">
        <v>4500</v>
      </c>
      <c r="J1860" t="s">
        <v>193</v>
      </c>
      <c r="K1860">
        <v>5</v>
      </c>
      <c r="L1860" t="s">
        <v>35</v>
      </c>
      <c r="M1860" t="s">
        <v>27</v>
      </c>
    </row>
    <row r="1861" spans="1:13">
      <c r="A1861" t="s">
        <v>1193</v>
      </c>
      <c r="B1861" t="s">
        <v>141</v>
      </c>
      <c r="C1861" t="s">
        <v>67</v>
      </c>
      <c r="D1861" t="s">
        <v>4077</v>
      </c>
      <c r="E1861">
        <v>2</v>
      </c>
      <c r="F1861" t="s">
        <v>4078</v>
      </c>
      <c r="G1861" s="10">
        <v>45246</v>
      </c>
      <c r="H1861">
        <v>29500</v>
      </c>
      <c r="I1861">
        <v>4500</v>
      </c>
      <c r="J1861" t="s">
        <v>193</v>
      </c>
      <c r="K1861">
        <v>5</v>
      </c>
      <c r="L1861" t="s">
        <v>35</v>
      </c>
      <c r="M1861" t="s">
        <v>27</v>
      </c>
    </row>
    <row r="1862" spans="1:13">
      <c r="A1862" t="s">
        <v>4064</v>
      </c>
      <c r="B1862" t="s">
        <v>146</v>
      </c>
      <c r="C1862" t="s">
        <v>98</v>
      </c>
      <c r="D1862" t="s">
        <v>4079</v>
      </c>
      <c r="E1862">
        <v>4</v>
      </c>
      <c r="F1862" t="s">
        <v>4080</v>
      </c>
      <c r="G1862" s="10">
        <v>45253</v>
      </c>
      <c r="H1862">
        <v>367752</v>
      </c>
      <c r="I1862">
        <v>134419</v>
      </c>
      <c r="J1862" t="s">
        <v>4081</v>
      </c>
      <c r="K1862">
        <v>5</v>
      </c>
      <c r="L1862" t="s">
        <v>24</v>
      </c>
      <c r="M1862" t="s">
        <v>31</v>
      </c>
    </row>
    <row r="1863" spans="1:13">
      <c r="A1863" t="s">
        <v>2562</v>
      </c>
      <c r="B1863" t="s">
        <v>146</v>
      </c>
      <c r="C1863" t="s">
        <v>98</v>
      </c>
      <c r="D1863" t="s">
        <v>4082</v>
      </c>
      <c r="E1863">
        <v>4</v>
      </c>
      <c r="F1863" t="s">
        <v>4083</v>
      </c>
      <c r="G1863" s="10">
        <v>45246</v>
      </c>
      <c r="H1863">
        <v>376110</v>
      </c>
      <c r="I1863">
        <v>76110</v>
      </c>
      <c r="J1863" t="s">
        <v>4081</v>
      </c>
      <c r="K1863">
        <v>5</v>
      </c>
      <c r="L1863" t="s">
        <v>24</v>
      </c>
      <c r="M1863" t="s">
        <v>31</v>
      </c>
    </row>
    <row r="1864" spans="1:13">
      <c r="A1864" t="s">
        <v>361</v>
      </c>
      <c r="B1864" t="s">
        <v>72</v>
      </c>
      <c r="C1864" t="s">
        <v>67</v>
      </c>
      <c r="D1864" t="s">
        <v>4084</v>
      </c>
      <c r="E1864">
        <v>2</v>
      </c>
      <c r="F1864" t="s">
        <v>4085</v>
      </c>
      <c r="G1864" s="10">
        <v>45257</v>
      </c>
      <c r="H1864">
        <v>22420</v>
      </c>
      <c r="I1864">
        <v>3420</v>
      </c>
      <c r="J1864" t="s">
        <v>193</v>
      </c>
      <c r="K1864">
        <v>5</v>
      </c>
      <c r="L1864" t="s">
        <v>35</v>
      </c>
      <c r="M1864" t="s">
        <v>27</v>
      </c>
    </row>
    <row r="1865" spans="1:13">
      <c r="A1865" t="s">
        <v>160</v>
      </c>
      <c r="B1865" t="s">
        <v>27</v>
      </c>
      <c r="C1865" t="s">
        <v>27</v>
      </c>
      <c r="D1865" t="s">
        <v>4086</v>
      </c>
      <c r="E1865">
        <v>2</v>
      </c>
      <c r="F1865" t="s">
        <v>4087</v>
      </c>
      <c r="G1865" s="10">
        <v>45246</v>
      </c>
      <c r="H1865">
        <v>22420</v>
      </c>
      <c r="I1865">
        <v>3420</v>
      </c>
      <c r="J1865" t="s">
        <v>193</v>
      </c>
      <c r="K1865">
        <v>6</v>
      </c>
      <c r="L1865" t="s">
        <v>35</v>
      </c>
      <c r="M1865" t="s">
        <v>27</v>
      </c>
    </row>
    <row r="1866" spans="1:13">
      <c r="A1866" t="s">
        <v>117</v>
      </c>
      <c r="B1866" t="s">
        <v>118</v>
      </c>
      <c r="C1866" t="s">
        <v>98</v>
      </c>
      <c r="D1866" t="s">
        <v>4088</v>
      </c>
      <c r="E1866">
        <v>4</v>
      </c>
      <c r="F1866" t="s">
        <v>4089</v>
      </c>
      <c r="G1866" s="10">
        <v>45245</v>
      </c>
      <c r="H1866">
        <v>226600.99</v>
      </c>
      <c r="I1866">
        <v>76600.990000000005</v>
      </c>
      <c r="J1866" t="s">
        <v>121</v>
      </c>
      <c r="K1866">
        <v>5</v>
      </c>
      <c r="L1866" t="s">
        <v>24</v>
      </c>
      <c r="M1866" t="s">
        <v>30</v>
      </c>
    </row>
    <row r="1867" spans="1:13">
      <c r="A1867" t="s">
        <v>76</v>
      </c>
      <c r="B1867" t="s">
        <v>72</v>
      </c>
      <c r="C1867" t="s">
        <v>67</v>
      </c>
      <c r="D1867" t="s">
        <v>4090</v>
      </c>
      <c r="E1867">
        <v>1</v>
      </c>
      <c r="F1867" t="s">
        <v>4091</v>
      </c>
      <c r="G1867" s="10">
        <v>45300</v>
      </c>
      <c r="H1867">
        <v>45517</v>
      </c>
      <c r="I1867">
        <v>6350.33</v>
      </c>
      <c r="J1867" t="s">
        <v>75</v>
      </c>
      <c r="K1867">
        <v>5</v>
      </c>
      <c r="L1867" t="s">
        <v>35</v>
      </c>
      <c r="M1867" t="s">
        <v>29</v>
      </c>
    </row>
    <row r="1868" spans="1:13">
      <c r="A1868" t="s">
        <v>527</v>
      </c>
      <c r="B1868" t="s">
        <v>93</v>
      </c>
      <c r="C1868" t="s">
        <v>94</v>
      </c>
      <c r="D1868" t="s">
        <v>4092</v>
      </c>
      <c r="E1868">
        <v>7</v>
      </c>
      <c r="F1868" t="s">
        <v>4093</v>
      </c>
      <c r="G1868" s="10">
        <v>45250</v>
      </c>
      <c r="H1868">
        <v>60860.800000000003</v>
      </c>
      <c r="I1868">
        <v>2620.8000000000002</v>
      </c>
      <c r="J1868" t="s">
        <v>313</v>
      </c>
      <c r="K1868">
        <v>5</v>
      </c>
      <c r="L1868" t="s">
        <v>41</v>
      </c>
      <c r="M1868" t="s">
        <v>42</v>
      </c>
    </row>
    <row r="1869" spans="1:13">
      <c r="A1869" t="s">
        <v>2367</v>
      </c>
      <c r="B1869" t="s">
        <v>118</v>
      </c>
      <c r="C1869" t="s">
        <v>98</v>
      </c>
      <c r="D1869" t="s">
        <v>4094</v>
      </c>
      <c r="E1869">
        <v>1</v>
      </c>
      <c r="F1869" t="s">
        <v>4095</v>
      </c>
      <c r="G1869" s="10">
        <v>45336</v>
      </c>
      <c r="H1869">
        <v>260932.41</v>
      </c>
      <c r="I1869">
        <v>260930.41</v>
      </c>
      <c r="J1869" t="s">
        <v>121</v>
      </c>
      <c r="K1869">
        <v>5</v>
      </c>
      <c r="L1869" t="s">
        <v>24</v>
      </c>
      <c r="M1869" t="s">
        <v>30</v>
      </c>
    </row>
    <row r="1870" spans="1:13">
      <c r="A1870" t="s">
        <v>190</v>
      </c>
      <c r="B1870" t="s">
        <v>160</v>
      </c>
      <c r="C1870" t="s">
        <v>67</v>
      </c>
      <c r="D1870" t="s">
        <v>4096</v>
      </c>
      <c r="E1870">
        <v>2</v>
      </c>
      <c r="F1870" t="s">
        <v>4097</v>
      </c>
      <c r="G1870" s="10">
        <v>45247</v>
      </c>
      <c r="H1870">
        <v>32500</v>
      </c>
      <c r="I1870">
        <v>7500</v>
      </c>
      <c r="J1870" t="s">
        <v>163</v>
      </c>
      <c r="K1870">
        <v>5</v>
      </c>
      <c r="L1870" t="s">
        <v>35</v>
      </c>
      <c r="M1870" t="s">
        <v>27</v>
      </c>
    </row>
    <row r="1871" spans="1:13">
      <c r="A1871" t="s">
        <v>251</v>
      </c>
      <c r="B1871" t="s">
        <v>160</v>
      </c>
      <c r="C1871" t="s">
        <v>67</v>
      </c>
      <c r="D1871" t="s">
        <v>4098</v>
      </c>
      <c r="E1871">
        <v>2</v>
      </c>
      <c r="F1871" t="s">
        <v>4099</v>
      </c>
      <c r="G1871" s="10">
        <v>45247</v>
      </c>
      <c r="H1871">
        <v>24898</v>
      </c>
      <c r="I1871">
        <v>3798</v>
      </c>
      <c r="J1871" t="s">
        <v>193</v>
      </c>
      <c r="K1871">
        <v>5</v>
      </c>
      <c r="L1871" t="s">
        <v>35</v>
      </c>
      <c r="M1871" t="s">
        <v>27</v>
      </c>
    </row>
    <row r="1872" spans="1:13">
      <c r="A1872" t="s">
        <v>1658</v>
      </c>
      <c r="B1872" t="s">
        <v>160</v>
      </c>
      <c r="C1872" t="s">
        <v>67</v>
      </c>
      <c r="D1872" t="s">
        <v>4100</v>
      </c>
      <c r="E1872">
        <v>2</v>
      </c>
      <c r="F1872" t="s">
        <v>4101</v>
      </c>
      <c r="G1872" s="10">
        <v>45247</v>
      </c>
      <c r="H1872">
        <v>32500</v>
      </c>
      <c r="I1872">
        <v>7500</v>
      </c>
      <c r="J1872" t="s">
        <v>163</v>
      </c>
      <c r="K1872">
        <v>5</v>
      </c>
      <c r="L1872" t="s">
        <v>35</v>
      </c>
      <c r="M1872" t="s">
        <v>27</v>
      </c>
    </row>
    <row r="1873" spans="1:13">
      <c r="A1873" t="s">
        <v>214</v>
      </c>
      <c r="B1873" t="s">
        <v>215</v>
      </c>
      <c r="C1873" t="s">
        <v>94</v>
      </c>
      <c r="D1873" t="s">
        <v>4102</v>
      </c>
      <c r="E1873">
        <v>2</v>
      </c>
      <c r="F1873" t="s">
        <v>4103</v>
      </c>
      <c r="G1873" s="10">
        <v>45258</v>
      </c>
      <c r="H1873">
        <v>195000</v>
      </c>
      <c r="I1873">
        <v>28334</v>
      </c>
      <c r="J1873" t="s">
        <v>227</v>
      </c>
      <c r="K1873">
        <v>6</v>
      </c>
      <c r="L1873" t="s">
        <v>41</v>
      </c>
      <c r="M1873" t="s">
        <v>42</v>
      </c>
    </row>
    <row r="1874" spans="1:13">
      <c r="A1874" t="s">
        <v>76</v>
      </c>
      <c r="B1874" t="s">
        <v>72</v>
      </c>
      <c r="C1874" t="s">
        <v>67</v>
      </c>
      <c r="D1874" t="s">
        <v>4104</v>
      </c>
      <c r="E1874">
        <v>1</v>
      </c>
      <c r="F1874" t="s">
        <v>4105</v>
      </c>
      <c r="G1874" s="10">
        <v>45358</v>
      </c>
      <c r="H1874">
        <v>27500</v>
      </c>
      <c r="I1874">
        <v>3195.83</v>
      </c>
      <c r="J1874" t="s">
        <v>3861</v>
      </c>
      <c r="K1874">
        <v>5</v>
      </c>
      <c r="L1874" t="s">
        <v>35</v>
      </c>
      <c r="M1874" t="s">
        <v>35</v>
      </c>
    </row>
    <row r="1875" spans="1:13">
      <c r="A1875" t="s">
        <v>661</v>
      </c>
      <c r="B1875" t="s">
        <v>179</v>
      </c>
      <c r="C1875" t="s">
        <v>45</v>
      </c>
      <c r="D1875" t="s">
        <v>4106</v>
      </c>
      <c r="E1875">
        <v>2</v>
      </c>
      <c r="F1875" t="s">
        <v>4107</v>
      </c>
      <c r="G1875" s="10">
        <v>45247</v>
      </c>
      <c r="H1875">
        <v>336000</v>
      </c>
      <c r="I1875">
        <v>194334</v>
      </c>
      <c r="J1875" t="s">
        <v>189</v>
      </c>
      <c r="K1875">
        <v>5</v>
      </c>
      <c r="L1875" t="s">
        <v>44</v>
      </c>
      <c r="M1875" t="s">
        <v>45</v>
      </c>
    </row>
    <row r="1876" spans="1:13">
      <c r="A1876" t="s">
        <v>2562</v>
      </c>
      <c r="B1876" t="s">
        <v>146</v>
      </c>
      <c r="C1876" t="s">
        <v>98</v>
      </c>
      <c r="D1876" t="s">
        <v>4108</v>
      </c>
      <c r="E1876">
        <v>1</v>
      </c>
      <c r="F1876" t="s">
        <v>4109</v>
      </c>
      <c r="G1876" s="10">
        <v>45257</v>
      </c>
      <c r="H1876">
        <v>317604</v>
      </c>
      <c r="I1876">
        <v>38438</v>
      </c>
      <c r="J1876" t="s">
        <v>744</v>
      </c>
      <c r="K1876">
        <v>6</v>
      </c>
      <c r="L1876" t="s">
        <v>24</v>
      </c>
      <c r="M1876" t="s">
        <v>31</v>
      </c>
    </row>
    <row r="1877" spans="1:13">
      <c r="A1877" t="s">
        <v>628</v>
      </c>
      <c r="B1877" t="s">
        <v>66</v>
      </c>
      <c r="C1877" t="s">
        <v>67</v>
      </c>
      <c r="D1877" t="s">
        <v>4110</v>
      </c>
      <c r="E1877">
        <v>1</v>
      </c>
      <c r="F1877" t="s">
        <v>4111</v>
      </c>
      <c r="G1877" s="10">
        <v>45253</v>
      </c>
      <c r="H1877">
        <v>45517.5</v>
      </c>
      <c r="I1877">
        <v>6351.5</v>
      </c>
      <c r="J1877" t="s">
        <v>75</v>
      </c>
      <c r="K1877">
        <v>5</v>
      </c>
      <c r="L1877" t="s">
        <v>35</v>
      </c>
      <c r="M1877" t="s">
        <v>29</v>
      </c>
    </row>
    <row r="1878" spans="1:13">
      <c r="A1878" t="s">
        <v>1193</v>
      </c>
      <c r="B1878" t="s">
        <v>141</v>
      </c>
      <c r="C1878" t="s">
        <v>67</v>
      </c>
      <c r="D1878" t="s">
        <v>4112</v>
      </c>
      <c r="E1878">
        <v>2</v>
      </c>
      <c r="F1878" t="s">
        <v>4113</v>
      </c>
      <c r="G1878" s="10">
        <v>45247</v>
      </c>
      <c r="H1878">
        <v>32500</v>
      </c>
      <c r="I1878">
        <v>7500</v>
      </c>
      <c r="J1878" t="s">
        <v>163</v>
      </c>
      <c r="K1878">
        <v>5</v>
      </c>
      <c r="L1878" t="s">
        <v>35</v>
      </c>
      <c r="M1878" t="s">
        <v>27</v>
      </c>
    </row>
    <row r="1879" spans="1:13">
      <c r="A1879" t="s">
        <v>1544</v>
      </c>
      <c r="B1879" t="s">
        <v>93</v>
      </c>
      <c r="C1879" t="s">
        <v>94</v>
      </c>
      <c r="D1879" t="s">
        <v>4114</v>
      </c>
      <c r="E1879">
        <v>7</v>
      </c>
      <c r="F1879" t="s">
        <v>4115</v>
      </c>
      <c r="G1879" s="10">
        <v>45250</v>
      </c>
      <c r="H1879">
        <v>60860.800000000003</v>
      </c>
      <c r="I1879">
        <v>2620.8000000000002</v>
      </c>
      <c r="J1879" t="s">
        <v>313</v>
      </c>
      <c r="K1879">
        <v>5</v>
      </c>
      <c r="L1879" t="s">
        <v>41</v>
      </c>
      <c r="M1879" t="s">
        <v>42</v>
      </c>
    </row>
    <row r="1880" spans="1:13">
      <c r="A1880" t="s">
        <v>136</v>
      </c>
      <c r="B1880" t="s">
        <v>117</v>
      </c>
      <c r="C1880" t="s">
        <v>137</v>
      </c>
      <c r="D1880" t="s">
        <v>4116</v>
      </c>
      <c r="E1880">
        <v>1</v>
      </c>
      <c r="F1880" t="s">
        <v>4117</v>
      </c>
      <c r="G1880" s="10">
        <v>45257</v>
      </c>
      <c r="H1880">
        <v>369000</v>
      </c>
      <c r="I1880">
        <v>94000</v>
      </c>
      <c r="J1880" t="s">
        <v>859</v>
      </c>
      <c r="K1880">
        <v>6</v>
      </c>
      <c r="L1880" t="s">
        <v>24</v>
      </c>
      <c r="M1880" t="s">
        <v>24</v>
      </c>
    </row>
    <row r="1881" spans="1:13">
      <c r="A1881" t="s">
        <v>661</v>
      </c>
      <c r="B1881" t="s">
        <v>179</v>
      </c>
      <c r="C1881" t="s">
        <v>45</v>
      </c>
      <c r="D1881" t="s">
        <v>4118</v>
      </c>
      <c r="E1881">
        <v>2</v>
      </c>
      <c r="F1881" t="s">
        <v>4119</v>
      </c>
      <c r="G1881" s="10">
        <v>45250</v>
      </c>
      <c r="H1881">
        <v>226166.67</v>
      </c>
      <c r="I1881">
        <v>34500.67</v>
      </c>
      <c r="J1881" t="s">
        <v>2077</v>
      </c>
      <c r="K1881">
        <v>5</v>
      </c>
      <c r="L1881" t="s">
        <v>44</v>
      </c>
      <c r="M1881" t="s">
        <v>45</v>
      </c>
    </row>
    <row r="1882" spans="1:13">
      <c r="A1882" t="s">
        <v>2572</v>
      </c>
      <c r="B1882" t="s">
        <v>123</v>
      </c>
      <c r="C1882" t="s">
        <v>4120</v>
      </c>
      <c r="D1882" t="s">
        <v>4121</v>
      </c>
      <c r="E1882">
        <v>1</v>
      </c>
      <c r="F1882" t="s">
        <v>4122</v>
      </c>
      <c r="G1882" s="10">
        <v>45251</v>
      </c>
      <c r="H1882">
        <v>119700</v>
      </c>
      <c r="I1882">
        <v>28034</v>
      </c>
      <c r="J1882" t="s">
        <v>834</v>
      </c>
      <c r="K1882">
        <v>6</v>
      </c>
      <c r="L1882" t="s">
        <v>37</v>
      </c>
      <c r="M1882" t="s">
        <v>25</v>
      </c>
    </row>
    <row r="1883" spans="1:13">
      <c r="A1883" t="s">
        <v>159</v>
      </c>
      <c r="B1883" t="s">
        <v>160</v>
      </c>
      <c r="C1883" t="s">
        <v>67</v>
      </c>
      <c r="D1883" t="s">
        <v>4123</v>
      </c>
      <c r="E1883">
        <v>2</v>
      </c>
      <c r="F1883" t="s">
        <v>4124</v>
      </c>
      <c r="G1883" s="10">
        <v>45253</v>
      </c>
      <c r="H1883">
        <v>22420</v>
      </c>
      <c r="I1883">
        <v>3420</v>
      </c>
      <c r="J1883" t="s">
        <v>193</v>
      </c>
      <c r="K1883">
        <v>6</v>
      </c>
      <c r="L1883" t="s">
        <v>35</v>
      </c>
      <c r="M1883" t="s">
        <v>27</v>
      </c>
    </row>
    <row r="1884" spans="1:13">
      <c r="A1884" t="s">
        <v>251</v>
      </c>
      <c r="B1884" t="s">
        <v>160</v>
      </c>
      <c r="C1884" t="s">
        <v>67</v>
      </c>
      <c r="D1884" t="s">
        <v>4125</v>
      </c>
      <c r="E1884">
        <v>2</v>
      </c>
      <c r="F1884" t="s">
        <v>4126</v>
      </c>
      <c r="G1884" s="10">
        <v>45253</v>
      </c>
      <c r="H1884">
        <v>32500</v>
      </c>
      <c r="I1884">
        <v>7500</v>
      </c>
      <c r="J1884" t="s">
        <v>163</v>
      </c>
      <c r="K1884">
        <v>5</v>
      </c>
      <c r="L1884" t="s">
        <v>35</v>
      </c>
      <c r="M1884" t="s">
        <v>27</v>
      </c>
    </row>
    <row r="1885" spans="1:13">
      <c r="A1885" t="s">
        <v>1868</v>
      </c>
      <c r="B1885" t="s">
        <v>66</v>
      </c>
      <c r="C1885" t="s">
        <v>67</v>
      </c>
      <c r="D1885" t="s">
        <v>4127</v>
      </c>
      <c r="E1885">
        <v>6</v>
      </c>
      <c r="F1885" t="s">
        <v>4128</v>
      </c>
      <c r="G1885" s="10">
        <v>45251</v>
      </c>
      <c r="H1885">
        <v>34375</v>
      </c>
      <c r="I1885">
        <v>6875</v>
      </c>
      <c r="J1885" t="s">
        <v>70</v>
      </c>
      <c r="K1885">
        <v>5</v>
      </c>
      <c r="L1885" t="s">
        <v>35</v>
      </c>
      <c r="M1885" t="s">
        <v>36</v>
      </c>
    </row>
    <row r="1886" spans="1:13">
      <c r="A1886" t="s">
        <v>186</v>
      </c>
      <c r="B1886" t="s">
        <v>179</v>
      </c>
      <c r="C1886" t="s">
        <v>45</v>
      </c>
      <c r="D1886" t="s">
        <v>4129</v>
      </c>
      <c r="E1886">
        <v>4</v>
      </c>
      <c r="F1886" t="s">
        <v>4130</v>
      </c>
      <c r="G1886" s="10">
        <v>45252</v>
      </c>
      <c r="H1886">
        <v>253698.48</v>
      </c>
      <c r="I1886">
        <v>153698.48000000001</v>
      </c>
      <c r="J1886" t="s">
        <v>2077</v>
      </c>
      <c r="K1886">
        <v>6</v>
      </c>
      <c r="L1886" t="s">
        <v>44</v>
      </c>
      <c r="M1886" t="s">
        <v>45</v>
      </c>
    </row>
    <row r="1887" spans="1:13">
      <c r="A1887" t="s">
        <v>140</v>
      </c>
      <c r="B1887" t="s">
        <v>141</v>
      </c>
      <c r="C1887" t="s">
        <v>67</v>
      </c>
      <c r="D1887" t="s">
        <v>4131</v>
      </c>
      <c r="E1887">
        <v>2</v>
      </c>
      <c r="F1887" t="s">
        <v>4132</v>
      </c>
      <c r="G1887" s="10">
        <v>45252</v>
      </c>
      <c r="H1887">
        <v>25872</v>
      </c>
      <c r="I1887">
        <v>5039</v>
      </c>
      <c r="J1887" t="s">
        <v>3680</v>
      </c>
      <c r="K1887">
        <v>5</v>
      </c>
      <c r="L1887" t="s">
        <v>24</v>
      </c>
      <c r="M1887" t="s">
        <v>27</v>
      </c>
    </row>
    <row r="1888" spans="1:13">
      <c r="A1888" t="s">
        <v>4133</v>
      </c>
      <c r="B1888" t="s">
        <v>215</v>
      </c>
      <c r="C1888" t="s">
        <v>94</v>
      </c>
      <c r="D1888" t="s">
        <v>4134</v>
      </c>
      <c r="E1888">
        <v>2</v>
      </c>
      <c r="F1888" t="s">
        <v>4135</v>
      </c>
      <c r="G1888" s="10">
        <v>45257</v>
      </c>
      <c r="H1888">
        <v>26000</v>
      </c>
      <c r="I1888">
        <v>5000</v>
      </c>
      <c r="J1888" t="s">
        <v>227</v>
      </c>
      <c r="K1888">
        <v>5</v>
      </c>
      <c r="L1888" t="s">
        <v>41</v>
      </c>
      <c r="M1888" t="s">
        <v>42</v>
      </c>
    </row>
    <row r="1889" spans="1:13">
      <c r="A1889" t="s">
        <v>86</v>
      </c>
      <c r="B1889" t="s">
        <v>82</v>
      </c>
      <c r="C1889" t="s">
        <v>28</v>
      </c>
      <c r="D1889" t="s">
        <v>4136</v>
      </c>
      <c r="E1889">
        <v>2</v>
      </c>
      <c r="F1889" t="s">
        <v>4137</v>
      </c>
      <c r="G1889" s="10">
        <v>45257</v>
      </c>
      <c r="H1889">
        <v>56442</v>
      </c>
      <c r="I1889">
        <v>2276</v>
      </c>
      <c r="J1889" t="s">
        <v>85</v>
      </c>
      <c r="K1889">
        <v>5</v>
      </c>
      <c r="L1889" t="s">
        <v>24</v>
      </c>
      <c r="M1889" t="s">
        <v>25</v>
      </c>
    </row>
    <row r="1890" spans="1:13">
      <c r="A1890" t="s">
        <v>341</v>
      </c>
      <c r="B1890" t="s">
        <v>179</v>
      </c>
      <c r="C1890" t="s">
        <v>45</v>
      </c>
      <c r="D1890" t="s">
        <v>4138</v>
      </c>
      <c r="E1890">
        <v>2</v>
      </c>
      <c r="F1890" t="s">
        <v>4139</v>
      </c>
      <c r="G1890" s="10">
        <v>45253</v>
      </c>
      <c r="H1890">
        <v>100000</v>
      </c>
      <c r="I1890">
        <v>8334</v>
      </c>
      <c r="J1890" t="s">
        <v>714</v>
      </c>
      <c r="K1890">
        <v>5</v>
      </c>
      <c r="L1890" t="s">
        <v>44</v>
      </c>
      <c r="M1890" t="s">
        <v>45</v>
      </c>
    </row>
    <row r="1891" spans="1:13">
      <c r="A1891" t="s">
        <v>159</v>
      </c>
      <c r="B1891" t="s">
        <v>160</v>
      </c>
      <c r="C1891" t="s">
        <v>67</v>
      </c>
      <c r="D1891" t="s">
        <v>4140</v>
      </c>
      <c r="E1891">
        <v>2</v>
      </c>
      <c r="F1891" t="s">
        <v>4141</v>
      </c>
      <c r="G1891" s="10">
        <v>45252</v>
      </c>
      <c r="H1891">
        <v>30000</v>
      </c>
      <c r="I1891">
        <v>5000</v>
      </c>
      <c r="J1891" t="s">
        <v>163</v>
      </c>
      <c r="K1891">
        <v>6</v>
      </c>
      <c r="L1891" t="s">
        <v>35</v>
      </c>
      <c r="M1891" t="s">
        <v>27</v>
      </c>
    </row>
    <row r="1892" spans="1:13">
      <c r="A1892" t="s">
        <v>194</v>
      </c>
      <c r="B1892" t="s">
        <v>160</v>
      </c>
      <c r="C1892" t="s">
        <v>67</v>
      </c>
      <c r="D1892" t="s">
        <v>4142</v>
      </c>
      <c r="E1892">
        <v>2</v>
      </c>
      <c r="F1892" t="s">
        <v>4143</v>
      </c>
      <c r="G1892" s="10">
        <v>45252</v>
      </c>
      <c r="H1892">
        <v>72000</v>
      </c>
      <c r="I1892">
        <v>12000</v>
      </c>
      <c r="J1892" t="s">
        <v>163</v>
      </c>
      <c r="K1892">
        <v>6</v>
      </c>
      <c r="L1892" t="s">
        <v>35</v>
      </c>
      <c r="M1892" t="s">
        <v>27</v>
      </c>
    </row>
    <row r="1893" spans="1:13">
      <c r="A1893" t="s">
        <v>197</v>
      </c>
      <c r="B1893" t="s">
        <v>160</v>
      </c>
      <c r="C1893" t="s">
        <v>67</v>
      </c>
      <c r="D1893" t="s">
        <v>1235</v>
      </c>
      <c r="E1893">
        <v>2</v>
      </c>
      <c r="F1893" t="s">
        <v>4144</v>
      </c>
      <c r="G1893" s="10">
        <v>45254</v>
      </c>
      <c r="H1893">
        <v>24898</v>
      </c>
      <c r="I1893">
        <v>3798</v>
      </c>
      <c r="J1893" t="s">
        <v>193</v>
      </c>
      <c r="K1893">
        <v>6</v>
      </c>
      <c r="L1893" t="s">
        <v>35</v>
      </c>
      <c r="M1893" t="s">
        <v>27</v>
      </c>
    </row>
    <row r="1894" spans="1:13">
      <c r="A1894" t="s">
        <v>71</v>
      </c>
      <c r="B1894" t="s">
        <v>72</v>
      </c>
      <c r="C1894" t="s">
        <v>67</v>
      </c>
      <c r="D1894" t="s">
        <v>4145</v>
      </c>
      <c r="E1894">
        <v>1</v>
      </c>
      <c r="F1894" t="s">
        <v>4146</v>
      </c>
      <c r="G1894" s="10">
        <v>45253</v>
      </c>
      <c r="H1894">
        <v>45517.5</v>
      </c>
      <c r="I1894">
        <v>6351.5</v>
      </c>
      <c r="J1894" t="s">
        <v>75</v>
      </c>
      <c r="K1894">
        <v>5</v>
      </c>
      <c r="L1894" t="s">
        <v>35</v>
      </c>
      <c r="M1894" t="s">
        <v>29</v>
      </c>
    </row>
    <row r="1895" spans="1:13">
      <c r="A1895" t="s">
        <v>3586</v>
      </c>
      <c r="B1895" t="s">
        <v>118</v>
      </c>
      <c r="C1895" t="s">
        <v>98</v>
      </c>
      <c r="D1895" t="s">
        <v>4147</v>
      </c>
      <c r="E1895">
        <v>4</v>
      </c>
      <c r="F1895" t="s">
        <v>4148</v>
      </c>
      <c r="G1895" s="10">
        <v>45251</v>
      </c>
      <c r="H1895">
        <v>191000</v>
      </c>
      <c r="I1895">
        <v>91000</v>
      </c>
      <c r="J1895" t="s">
        <v>308</v>
      </c>
      <c r="K1895">
        <v>6</v>
      </c>
      <c r="L1895" t="s">
        <v>24</v>
      </c>
      <c r="M1895" t="s">
        <v>32</v>
      </c>
    </row>
    <row r="1896" spans="1:13">
      <c r="A1896" t="s">
        <v>3326</v>
      </c>
      <c r="B1896" t="s">
        <v>179</v>
      </c>
      <c r="C1896" t="s">
        <v>45</v>
      </c>
      <c r="D1896" t="s">
        <v>4149</v>
      </c>
      <c r="E1896">
        <v>4</v>
      </c>
      <c r="F1896" t="s">
        <v>4150</v>
      </c>
      <c r="G1896" s="10">
        <v>45257</v>
      </c>
      <c r="H1896">
        <v>253698.48</v>
      </c>
      <c r="I1896">
        <v>128698.48</v>
      </c>
      <c r="J1896" t="s">
        <v>2077</v>
      </c>
      <c r="K1896">
        <v>5</v>
      </c>
      <c r="L1896" t="s">
        <v>44</v>
      </c>
      <c r="M1896" t="s">
        <v>45</v>
      </c>
    </row>
    <row r="1897" spans="1:13">
      <c r="A1897" t="s">
        <v>3673</v>
      </c>
      <c r="B1897" t="s">
        <v>179</v>
      </c>
      <c r="C1897" t="s">
        <v>45</v>
      </c>
      <c r="D1897" t="s">
        <v>4151</v>
      </c>
      <c r="E1897">
        <v>2</v>
      </c>
      <c r="F1897" t="s">
        <v>4152</v>
      </c>
      <c r="G1897" s="10">
        <v>45253</v>
      </c>
      <c r="H1897">
        <v>150000</v>
      </c>
      <c r="I1897">
        <v>75000</v>
      </c>
      <c r="J1897" t="s">
        <v>714</v>
      </c>
      <c r="K1897">
        <v>5</v>
      </c>
      <c r="L1897" t="s">
        <v>44</v>
      </c>
      <c r="M1897" t="s">
        <v>45</v>
      </c>
    </row>
    <row r="1898" spans="1:13">
      <c r="A1898" t="s">
        <v>3726</v>
      </c>
      <c r="B1898" t="s">
        <v>1983</v>
      </c>
      <c r="C1898" t="s">
        <v>45</v>
      </c>
      <c r="D1898" t="s">
        <v>4153</v>
      </c>
      <c r="E1898">
        <v>2</v>
      </c>
      <c r="F1898" t="s">
        <v>4154</v>
      </c>
      <c r="G1898" s="10">
        <v>45257</v>
      </c>
      <c r="H1898">
        <v>203333.33</v>
      </c>
      <c r="I1898">
        <v>36667.33</v>
      </c>
      <c r="J1898" t="s">
        <v>517</v>
      </c>
      <c r="K1898">
        <v>6</v>
      </c>
      <c r="L1898" t="s">
        <v>44</v>
      </c>
      <c r="M1898" t="s">
        <v>48</v>
      </c>
    </row>
    <row r="1899" spans="1:13">
      <c r="A1899" t="s">
        <v>1658</v>
      </c>
      <c r="B1899" t="s">
        <v>160</v>
      </c>
      <c r="C1899" t="s">
        <v>67</v>
      </c>
      <c r="D1899" t="s">
        <v>4155</v>
      </c>
      <c r="E1899">
        <v>2</v>
      </c>
      <c r="F1899" t="s">
        <v>4156</v>
      </c>
      <c r="G1899" s="10">
        <v>45253</v>
      </c>
      <c r="H1899">
        <v>25300</v>
      </c>
      <c r="I1899">
        <v>3860</v>
      </c>
      <c r="J1899" t="s">
        <v>163</v>
      </c>
      <c r="K1899">
        <v>6</v>
      </c>
      <c r="L1899" t="s">
        <v>35</v>
      </c>
      <c r="M1899" t="s">
        <v>27</v>
      </c>
    </row>
    <row r="1900" spans="1:13">
      <c r="A1900" t="s">
        <v>194</v>
      </c>
      <c r="B1900" t="s">
        <v>160</v>
      </c>
      <c r="C1900" t="s">
        <v>67</v>
      </c>
      <c r="D1900" t="s">
        <v>4157</v>
      </c>
      <c r="E1900">
        <v>2</v>
      </c>
      <c r="F1900" t="s">
        <v>4158</v>
      </c>
      <c r="G1900" s="10">
        <v>45253</v>
      </c>
      <c r="H1900">
        <v>68400</v>
      </c>
      <c r="I1900">
        <v>11400</v>
      </c>
      <c r="J1900" t="s">
        <v>163</v>
      </c>
      <c r="K1900">
        <v>5</v>
      </c>
      <c r="L1900" t="s">
        <v>35</v>
      </c>
      <c r="M1900" t="s">
        <v>27</v>
      </c>
    </row>
    <row r="1901" spans="1:13">
      <c r="A1901" t="s">
        <v>76</v>
      </c>
      <c r="B1901" t="s">
        <v>72</v>
      </c>
      <c r="C1901" t="s">
        <v>67</v>
      </c>
      <c r="D1901" t="s">
        <v>4159</v>
      </c>
      <c r="E1901">
        <v>1</v>
      </c>
      <c r="F1901" t="s">
        <v>4160</v>
      </c>
      <c r="G1901" s="10">
        <v>45258</v>
      </c>
      <c r="H1901">
        <v>45517</v>
      </c>
      <c r="I1901">
        <v>6350.33</v>
      </c>
      <c r="J1901" t="s">
        <v>75</v>
      </c>
      <c r="K1901">
        <v>5</v>
      </c>
      <c r="L1901" t="s">
        <v>35</v>
      </c>
      <c r="M1901" t="s">
        <v>29</v>
      </c>
    </row>
    <row r="1902" spans="1:13">
      <c r="A1902" t="s">
        <v>297</v>
      </c>
      <c r="B1902" t="s">
        <v>179</v>
      </c>
      <c r="C1902" t="s">
        <v>45</v>
      </c>
      <c r="D1902" t="s">
        <v>4161</v>
      </c>
      <c r="E1902">
        <v>2</v>
      </c>
      <c r="F1902" t="s">
        <v>4162</v>
      </c>
      <c r="G1902" s="10">
        <v>45257</v>
      </c>
      <c r="H1902">
        <v>172833.33</v>
      </c>
      <c r="I1902">
        <v>31167.33</v>
      </c>
      <c r="J1902" t="s">
        <v>517</v>
      </c>
      <c r="K1902">
        <v>5</v>
      </c>
      <c r="L1902" t="s">
        <v>44</v>
      </c>
      <c r="M1902" t="s">
        <v>48</v>
      </c>
    </row>
    <row r="1903" spans="1:13">
      <c r="A1903" t="s">
        <v>194</v>
      </c>
      <c r="B1903" t="s">
        <v>160</v>
      </c>
      <c r="C1903" t="s">
        <v>67</v>
      </c>
      <c r="D1903" t="s">
        <v>4163</v>
      </c>
      <c r="E1903">
        <v>2</v>
      </c>
      <c r="F1903" t="s">
        <v>4164</v>
      </c>
      <c r="G1903" s="10">
        <v>45254</v>
      </c>
      <c r="H1903">
        <v>66000</v>
      </c>
      <c r="I1903">
        <v>11000</v>
      </c>
      <c r="J1903" t="s">
        <v>163</v>
      </c>
      <c r="K1903">
        <v>5</v>
      </c>
      <c r="L1903" t="s">
        <v>35</v>
      </c>
      <c r="M1903" t="s">
        <v>27</v>
      </c>
    </row>
    <row r="1904" spans="1:13">
      <c r="A1904" t="s">
        <v>1303</v>
      </c>
      <c r="B1904" t="s">
        <v>118</v>
      </c>
      <c r="C1904" t="s">
        <v>98</v>
      </c>
      <c r="D1904" t="s">
        <v>4165</v>
      </c>
      <c r="E1904">
        <v>2</v>
      </c>
      <c r="F1904" t="s">
        <v>4166</v>
      </c>
      <c r="G1904" s="10">
        <v>45271</v>
      </c>
      <c r="H1904">
        <v>67200</v>
      </c>
      <c r="I1904">
        <v>17200</v>
      </c>
      <c r="J1904" t="s">
        <v>834</v>
      </c>
      <c r="K1904">
        <v>6</v>
      </c>
      <c r="L1904" t="s">
        <v>37</v>
      </c>
      <c r="M1904" t="s">
        <v>25</v>
      </c>
    </row>
    <row r="1905" spans="1:13">
      <c r="A1905" t="s">
        <v>875</v>
      </c>
      <c r="B1905" t="s">
        <v>146</v>
      </c>
      <c r="C1905" t="s">
        <v>98</v>
      </c>
      <c r="D1905" t="s">
        <v>4167</v>
      </c>
      <c r="E1905">
        <v>1</v>
      </c>
      <c r="F1905" t="s">
        <v>4168</v>
      </c>
      <c r="G1905" s="10">
        <v>45265</v>
      </c>
      <c r="H1905">
        <v>183876</v>
      </c>
      <c r="I1905">
        <v>125543</v>
      </c>
      <c r="J1905" t="s">
        <v>4169</v>
      </c>
      <c r="K1905">
        <v>5</v>
      </c>
      <c r="L1905" t="s">
        <v>24</v>
      </c>
      <c r="M1905" t="s">
        <v>31</v>
      </c>
    </row>
    <row r="1906" spans="1:13">
      <c r="A1906" t="s">
        <v>3831</v>
      </c>
      <c r="B1906" t="s">
        <v>848</v>
      </c>
      <c r="C1906" t="s">
        <v>98</v>
      </c>
      <c r="D1906" t="s">
        <v>4170</v>
      </c>
      <c r="E1906">
        <v>2</v>
      </c>
      <c r="F1906" t="s">
        <v>4171</v>
      </c>
      <c r="G1906" s="10">
        <v>45264</v>
      </c>
      <c r="H1906">
        <v>234024</v>
      </c>
      <c r="I1906">
        <v>92358</v>
      </c>
      <c r="J1906" t="s">
        <v>859</v>
      </c>
      <c r="K1906">
        <v>5</v>
      </c>
      <c r="L1906" t="s">
        <v>24</v>
      </c>
      <c r="M1906" t="s">
        <v>24</v>
      </c>
    </row>
    <row r="1907" spans="1:13">
      <c r="A1907" t="s">
        <v>197</v>
      </c>
      <c r="B1907" t="s">
        <v>160</v>
      </c>
      <c r="C1907" t="s">
        <v>67</v>
      </c>
      <c r="D1907" t="s">
        <v>4172</v>
      </c>
      <c r="E1907">
        <v>2</v>
      </c>
      <c r="F1907" t="s">
        <v>4173</v>
      </c>
      <c r="G1907" s="10">
        <v>45257</v>
      </c>
      <c r="H1907">
        <v>22420</v>
      </c>
      <c r="I1907">
        <v>3420</v>
      </c>
      <c r="J1907" t="s">
        <v>193</v>
      </c>
      <c r="K1907">
        <v>5</v>
      </c>
      <c r="L1907" t="s">
        <v>35</v>
      </c>
      <c r="M1907" t="s">
        <v>27</v>
      </c>
    </row>
    <row r="1908" spans="1:13">
      <c r="A1908" t="s">
        <v>190</v>
      </c>
      <c r="B1908" t="s">
        <v>160</v>
      </c>
      <c r="C1908" t="s">
        <v>67</v>
      </c>
      <c r="D1908" t="s">
        <v>4174</v>
      </c>
      <c r="E1908">
        <v>2</v>
      </c>
      <c r="F1908" t="s">
        <v>4175</v>
      </c>
      <c r="G1908" s="10">
        <v>45258</v>
      </c>
      <c r="H1908">
        <v>60000</v>
      </c>
      <c r="I1908">
        <v>10000</v>
      </c>
      <c r="J1908" t="s">
        <v>163</v>
      </c>
      <c r="K1908">
        <v>5</v>
      </c>
      <c r="L1908" t="s">
        <v>35</v>
      </c>
      <c r="M1908" t="s">
        <v>27</v>
      </c>
    </row>
    <row r="1909" spans="1:13">
      <c r="A1909" t="s">
        <v>92</v>
      </c>
      <c r="B1909" t="s">
        <v>93</v>
      </c>
      <c r="C1909" t="s">
        <v>94</v>
      </c>
      <c r="D1909" t="s">
        <v>4176</v>
      </c>
      <c r="E1909">
        <v>2</v>
      </c>
      <c r="F1909" t="s">
        <v>4177</v>
      </c>
      <c r="G1909" s="10">
        <v>45260</v>
      </c>
      <c r="H1909">
        <v>195300</v>
      </c>
      <c r="I1909">
        <v>28634</v>
      </c>
      <c r="J1909" t="s">
        <v>97</v>
      </c>
      <c r="K1909">
        <v>6</v>
      </c>
      <c r="L1909" t="s">
        <v>41</v>
      </c>
      <c r="M1909" t="s">
        <v>42</v>
      </c>
    </row>
    <row r="1910" spans="1:13">
      <c r="A1910" t="s">
        <v>361</v>
      </c>
      <c r="B1910" t="s">
        <v>72</v>
      </c>
      <c r="C1910" t="s">
        <v>67</v>
      </c>
      <c r="D1910" t="s">
        <v>4178</v>
      </c>
      <c r="E1910">
        <v>1</v>
      </c>
      <c r="F1910" t="s">
        <v>4179</v>
      </c>
      <c r="G1910" s="10">
        <v>45287</v>
      </c>
      <c r="H1910">
        <v>45517</v>
      </c>
      <c r="I1910">
        <v>8017</v>
      </c>
      <c r="J1910" t="s">
        <v>75</v>
      </c>
      <c r="K1910">
        <v>5</v>
      </c>
      <c r="L1910" t="s">
        <v>35</v>
      </c>
      <c r="M1910" t="s">
        <v>29</v>
      </c>
    </row>
    <row r="1911" spans="1:13">
      <c r="A1911" t="s">
        <v>170</v>
      </c>
      <c r="B1911" t="s">
        <v>66</v>
      </c>
      <c r="C1911" t="s">
        <v>67</v>
      </c>
      <c r="D1911" t="s">
        <v>4180</v>
      </c>
      <c r="E1911">
        <v>6</v>
      </c>
      <c r="F1911" t="s">
        <v>4181</v>
      </c>
      <c r="G1911" s="10">
        <v>45258</v>
      </c>
      <c r="H1911">
        <v>34375</v>
      </c>
      <c r="I1911">
        <v>6875</v>
      </c>
      <c r="J1911" t="s">
        <v>70</v>
      </c>
      <c r="K1911">
        <v>5</v>
      </c>
      <c r="L1911" t="s">
        <v>35</v>
      </c>
      <c r="M1911" t="s">
        <v>36</v>
      </c>
    </row>
    <row r="1912" spans="1:13">
      <c r="A1912" t="s">
        <v>65</v>
      </c>
      <c r="B1912" t="s">
        <v>66</v>
      </c>
      <c r="C1912" t="s">
        <v>67</v>
      </c>
      <c r="D1912" t="s">
        <v>4182</v>
      </c>
      <c r="E1912">
        <v>6</v>
      </c>
      <c r="F1912" t="s">
        <v>4183</v>
      </c>
      <c r="G1912" s="10">
        <v>45258</v>
      </c>
      <c r="H1912">
        <v>34375</v>
      </c>
      <c r="I1912">
        <v>6875</v>
      </c>
      <c r="J1912" t="s">
        <v>70</v>
      </c>
      <c r="K1912">
        <v>6</v>
      </c>
      <c r="L1912" t="s">
        <v>35</v>
      </c>
      <c r="M1912" t="s">
        <v>36</v>
      </c>
    </row>
    <row r="1913" spans="1:13">
      <c r="A1913" t="s">
        <v>319</v>
      </c>
      <c r="B1913" t="s">
        <v>179</v>
      </c>
      <c r="C1913" t="s">
        <v>45</v>
      </c>
      <c r="D1913" t="s">
        <v>4184</v>
      </c>
      <c r="E1913">
        <v>2</v>
      </c>
      <c r="F1913" t="s">
        <v>4185</v>
      </c>
      <c r="G1913" s="10">
        <v>45274</v>
      </c>
      <c r="H1913">
        <v>290000</v>
      </c>
      <c r="I1913">
        <v>27500</v>
      </c>
      <c r="J1913" t="s">
        <v>884</v>
      </c>
      <c r="K1913">
        <v>5</v>
      </c>
      <c r="L1913" t="s">
        <v>44</v>
      </c>
      <c r="M1913" t="s">
        <v>45</v>
      </c>
    </row>
    <row r="1914" spans="1:13">
      <c r="A1914" t="s">
        <v>261</v>
      </c>
      <c r="B1914" t="s">
        <v>160</v>
      </c>
      <c r="C1914" t="s">
        <v>67</v>
      </c>
      <c r="D1914" t="s">
        <v>4186</v>
      </c>
      <c r="E1914">
        <v>2</v>
      </c>
      <c r="F1914" t="s">
        <v>4187</v>
      </c>
      <c r="G1914" s="10">
        <v>45258</v>
      </c>
      <c r="H1914">
        <v>48000</v>
      </c>
      <c r="I1914">
        <v>8000</v>
      </c>
      <c r="J1914" t="s">
        <v>163</v>
      </c>
      <c r="K1914">
        <v>6</v>
      </c>
      <c r="L1914" t="s">
        <v>35</v>
      </c>
      <c r="M1914" t="s">
        <v>27</v>
      </c>
    </row>
    <row r="1915" spans="1:13">
      <c r="A1915" t="s">
        <v>319</v>
      </c>
      <c r="B1915" t="s">
        <v>179</v>
      </c>
      <c r="C1915" t="s">
        <v>45</v>
      </c>
      <c r="D1915" t="s">
        <v>4188</v>
      </c>
      <c r="E1915">
        <v>4</v>
      </c>
      <c r="F1915" t="s">
        <v>4189</v>
      </c>
      <c r="G1915" s="10">
        <v>45260</v>
      </c>
      <c r="H1915">
        <v>290000</v>
      </c>
      <c r="I1915">
        <v>27500</v>
      </c>
      <c r="J1915" t="s">
        <v>884</v>
      </c>
      <c r="K1915">
        <v>6</v>
      </c>
      <c r="L1915" t="s">
        <v>44</v>
      </c>
      <c r="M1915" t="s">
        <v>45</v>
      </c>
    </row>
    <row r="1916" spans="1:13">
      <c r="A1916" t="s">
        <v>1193</v>
      </c>
      <c r="B1916" t="s">
        <v>141</v>
      </c>
      <c r="C1916" t="s">
        <v>67</v>
      </c>
      <c r="D1916" t="s">
        <v>4190</v>
      </c>
      <c r="E1916">
        <v>2</v>
      </c>
      <c r="F1916" t="s">
        <v>4191</v>
      </c>
      <c r="G1916" s="10">
        <v>45261</v>
      </c>
      <c r="H1916">
        <v>25872</v>
      </c>
      <c r="I1916">
        <v>5039</v>
      </c>
      <c r="J1916" t="s">
        <v>3680</v>
      </c>
      <c r="K1916">
        <v>6</v>
      </c>
      <c r="L1916" t="s">
        <v>24</v>
      </c>
      <c r="M1916" t="s">
        <v>27</v>
      </c>
    </row>
    <row r="1917" spans="1:13">
      <c r="A1917" t="s">
        <v>1868</v>
      </c>
      <c r="B1917" t="s">
        <v>66</v>
      </c>
      <c r="C1917" t="s">
        <v>67</v>
      </c>
      <c r="D1917" t="s">
        <v>4192</v>
      </c>
      <c r="E1917">
        <v>2</v>
      </c>
      <c r="F1917" t="s">
        <v>4193</v>
      </c>
      <c r="G1917" s="10">
        <v>45260</v>
      </c>
      <c r="H1917">
        <v>48000</v>
      </c>
      <c r="I1917">
        <v>8000</v>
      </c>
      <c r="J1917" t="s">
        <v>163</v>
      </c>
      <c r="K1917">
        <v>6</v>
      </c>
      <c r="L1917" t="s">
        <v>35</v>
      </c>
      <c r="M1917" t="s">
        <v>27</v>
      </c>
    </row>
    <row r="1918" spans="1:13">
      <c r="A1918" t="s">
        <v>186</v>
      </c>
      <c r="B1918" t="s">
        <v>179</v>
      </c>
      <c r="C1918" t="s">
        <v>45</v>
      </c>
      <c r="D1918" t="s">
        <v>4194</v>
      </c>
      <c r="E1918">
        <v>2</v>
      </c>
      <c r="F1918" t="s">
        <v>4195</v>
      </c>
      <c r="G1918" s="10">
        <v>45042</v>
      </c>
      <c r="H1918">
        <v>441000</v>
      </c>
      <c r="I1918">
        <v>191000</v>
      </c>
      <c r="J1918" t="s">
        <v>4196</v>
      </c>
      <c r="K1918">
        <v>5</v>
      </c>
      <c r="L1918" t="s">
        <v>44</v>
      </c>
      <c r="M1918" t="s">
        <v>48</v>
      </c>
    </row>
    <row r="1919" spans="1:13">
      <c r="A1919" t="s">
        <v>190</v>
      </c>
      <c r="B1919" t="s">
        <v>160</v>
      </c>
      <c r="C1919" t="s">
        <v>67</v>
      </c>
      <c r="D1919" t="s">
        <v>4197</v>
      </c>
      <c r="E1919">
        <v>2</v>
      </c>
      <c r="F1919" t="s">
        <v>4198</v>
      </c>
      <c r="G1919" s="10">
        <v>45260</v>
      </c>
      <c r="H1919">
        <v>22420</v>
      </c>
      <c r="I1919">
        <v>3420</v>
      </c>
      <c r="J1919" t="s">
        <v>193</v>
      </c>
      <c r="K1919">
        <v>5</v>
      </c>
      <c r="L1919" t="s">
        <v>35</v>
      </c>
      <c r="M1919" t="s">
        <v>27</v>
      </c>
    </row>
    <row r="1920" spans="1:13">
      <c r="A1920" t="s">
        <v>1544</v>
      </c>
      <c r="B1920" t="s">
        <v>93</v>
      </c>
      <c r="C1920" t="s">
        <v>94</v>
      </c>
      <c r="D1920" t="s">
        <v>4199</v>
      </c>
      <c r="E1920">
        <v>4</v>
      </c>
      <c r="F1920" t="s">
        <v>4200</v>
      </c>
      <c r="G1920" s="10">
        <v>45260</v>
      </c>
      <c r="H1920">
        <v>178500</v>
      </c>
      <c r="I1920">
        <v>28500</v>
      </c>
      <c r="J1920" t="s">
        <v>97</v>
      </c>
      <c r="K1920">
        <v>5</v>
      </c>
      <c r="L1920" t="s">
        <v>41</v>
      </c>
      <c r="M1920" t="s">
        <v>42</v>
      </c>
    </row>
    <row r="1921" spans="1:13">
      <c r="A1921" t="s">
        <v>703</v>
      </c>
      <c r="B1921" t="s">
        <v>179</v>
      </c>
      <c r="C1921" t="s">
        <v>45</v>
      </c>
      <c r="D1921" t="s">
        <v>4201</v>
      </c>
      <c r="E1921">
        <v>4</v>
      </c>
      <c r="F1921" t="s">
        <v>4202</v>
      </c>
      <c r="G1921" s="10">
        <v>45259</v>
      </c>
      <c r="H1921">
        <v>415000</v>
      </c>
      <c r="I1921">
        <v>206666.67</v>
      </c>
      <c r="J1921" t="s">
        <v>189</v>
      </c>
      <c r="K1921">
        <v>5</v>
      </c>
      <c r="L1921" t="s">
        <v>44</v>
      </c>
      <c r="M1921" t="s">
        <v>45</v>
      </c>
    </row>
    <row r="1922" spans="1:13">
      <c r="A1922" t="s">
        <v>3831</v>
      </c>
      <c r="B1922" t="s">
        <v>848</v>
      </c>
      <c r="C1922" t="s">
        <v>98</v>
      </c>
      <c r="D1922" t="s">
        <v>4203</v>
      </c>
      <c r="E1922">
        <v>2</v>
      </c>
      <c r="F1922" t="s">
        <v>4204</v>
      </c>
      <c r="G1922" s="10">
        <v>45264</v>
      </c>
      <c r="H1922">
        <v>119700</v>
      </c>
      <c r="I1922">
        <v>15534</v>
      </c>
      <c r="J1922" t="s">
        <v>834</v>
      </c>
      <c r="K1922">
        <v>5</v>
      </c>
      <c r="L1922" t="s">
        <v>37</v>
      </c>
      <c r="M1922" t="s">
        <v>25</v>
      </c>
    </row>
    <row r="1923" spans="1:13">
      <c r="A1923" t="s">
        <v>2286</v>
      </c>
      <c r="B1923" t="s">
        <v>141</v>
      </c>
      <c r="C1923" t="s">
        <v>67</v>
      </c>
      <c r="D1923" t="s">
        <v>4205</v>
      </c>
      <c r="E1923">
        <v>2</v>
      </c>
      <c r="F1923" t="s">
        <v>4206</v>
      </c>
      <c r="G1923" s="10">
        <v>45260</v>
      </c>
      <c r="H1923">
        <v>37760</v>
      </c>
      <c r="I1923">
        <v>5760</v>
      </c>
      <c r="J1923" t="s">
        <v>193</v>
      </c>
      <c r="K1923">
        <v>5</v>
      </c>
      <c r="L1923" t="s">
        <v>35</v>
      </c>
      <c r="M1923" t="s">
        <v>27</v>
      </c>
    </row>
    <row r="1924" spans="1:13">
      <c r="A1924" t="s">
        <v>341</v>
      </c>
      <c r="B1924" t="s">
        <v>179</v>
      </c>
      <c r="C1924" t="s">
        <v>45</v>
      </c>
      <c r="D1924" t="s">
        <v>4207</v>
      </c>
      <c r="E1924">
        <v>2</v>
      </c>
      <c r="F1924" t="s">
        <v>4208</v>
      </c>
      <c r="G1924" s="10">
        <v>45259</v>
      </c>
      <c r="H1924">
        <v>336000</v>
      </c>
      <c r="I1924">
        <v>227667</v>
      </c>
      <c r="J1924" t="s">
        <v>189</v>
      </c>
      <c r="K1924">
        <v>5</v>
      </c>
      <c r="L1924" t="s">
        <v>44</v>
      </c>
      <c r="M1924" t="s">
        <v>45</v>
      </c>
    </row>
    <row r="1925" spans="1:13">
      <c r="A1925" t="s">
        <v>661</v>
      </c>
      <c r="B1925" t="s">
        <v>179</v>
      </c>
      <c r="C1925" t="s">
        <v>45</v>
      </c>
      <c r="D1925" t="s">
        <v>4209</v>
      </c>
      <c r="E1925">
        <v>4</v>
      </c>
      <c r="F1925" t="s">
        <v>4210</v>
      </c>
      <c r="G1925" s="10">
        <v>45260</v>
      </c>
      <c r="H1925">
        <v>336000</v>
      </c>
      <c r="I1925">
        <v>194333.33</v>
      </c>
      <c r="J1925" t="s">
        <v>189</v>
      </c>
      <c r="K1925">
        <v>6</v>
      </c>
      <c r="L1925" t="s">
        <v>44</v>
      </c>
      <c r="M1925" t="s">
        <v>45</v>
      </c>
    </row>
    <row r="1926" spans="1:13">
      <c r="A1926" t="s">
        <v>1631</v>
      </c>
      <c r="B1926" t="s">
        <v>179</v>
      </c>
      <c r="C1926" t="s">
        <v>45</v>
      </c>
      <c r="D1926" t="s">
        <v>4211</v>
      </c>
      <c r="E1926">
        <v>2</v>
      </c>
      <c r="F1926" t="s">
        <v>4212</v>
      </c>
      <c r="G1926" s="10">
        <v>45065</v>
      </c>
      <c r="H1926">
        <v>441000</v>
      </c>
      <c r="I1926">
        <v>124334</v>
      </c>
      <c r="J1926" t="s">
        <v>4196</v>
      </c>
      <c r="K1926">
        <v>6</v>
      </c>
      <c r="L1926" t="s">
        <v>44</v>
      </c>
      <c r="M1926" t="s">
        <v>48</v>
      </c>
    </row>
    <row r="1927" spans="1:13">
      <c r="A1927" t="s">
        <v>170</v>
      </c>
      <c r="B1927" t="s">
        <v>66</v>
      </c>
      <c r="C1927" t="s">
        <v>67</v>
      </c>
      <c r="D1927" t="s">
        <v>4213</v>
      </c>
      <c r="E1927">
        <v>1</v>
      </c>
      <c r="F1927" t="s">
        <v>4214</v>
      </c>
      <c r="G1927" s="10">
        <v>45267</v>
      </c>
      <c r="H1927">
        <v>45517</v>
      </c>
      <c r="I1927">
        <v>6350.33</v>
      </c>
      <c r="J1927" t="s">
        <v>75</v>
      </c>
      <c r="K1927">
        <v>6</v>
      </c>
      <c r="L1927" t="s">
        <v>35</v>
      </c>
      <c r="M1927" t="s">
        <v>29</v>
      </c>
    </row>
    <row r="1928" spans="1:13">
      <c r="A1928" t="s">
        <v>1631</v>
      </c>
      <c r="B1928" t="s">
        <v>179</v>
      </c>
      <c r="C1928" t="s">
        <v>45</v>
      </c>
      <c r="D1928" t="s">
        <v>4215</v>
      </c>
      <c r="E1928">
        <v>4</v>
      </c>
      <c r="F1928" t="s">
        <v>4216</v>
      </c>
      <c r="G1928" s="10">
        <v>45259</v>
      </c>
      <c r="H1928">
        <v>400000</v>
      </c>
      <c r="I1928">
        <v>175000</v>
      </c>
      <c r="J1928" t="s">
        <v>714</v>
      </c>
      <c r="K1928">
        <v>5</v>
      </c>
      <c r="L1928" t="s">
        <v>44</v>
      </c>
      <c r="M1928" t="s">
        <v>45</v>
      </c>
    </row>
    <row r="1929" spans="1:13">
      <c r="A1929" t="s">
        <v>966</v>
      </c>
      <c r="B1929" t="s">
        <v>215</v>
      </c>
      <c r="C1929" t="s">
        <v>94</v>
      </c>
      <c r="D1929" t="s">
        <v>4217</v>
      </c>
      <c r="E1929">
        <v>2</v>
      </c>
      <c r="F1929" t="s">
        <v>4218</v>
      </c>
      <c r="G1929" s="10">
        <v>45260</v>
      </c>
      <c r="H1929">
        <v>125000</v>
      </c>
      <c r="I1929">
        <v>15000</v>
      </c>
      <c r="J1929" t="s">
        <v>227</v>
      </c>
      <c r="K1929">
        <v>5</v>
      </c>
      <c r="L1929" t="s">
        <v>41</v>
      </c>
      <c r="M1929" t="s">
        <v>42</v>
      </c>
    </row>
    <row r="1930" spans="1:13">
      <c r="A1930" t="s">
        <v>361</v>
      </c>
      <c r="B1930" t="s">
        <v>72</v>
      </c>
      <c r="C1930" t="s">
        <v>67</v>
      </c>
      <c r="D1930" t="s">
        <v>4219</v>
      </c>
      <c r="E1930">
        <v>1</v>
      </c>
      <c r="F1930" t="s">
        <v>4220</v>
      </c>
      <c r="G1930" s="10">
        <v>45267</v>
      </c>
      <c r="H1930">
        <v>45517</v>
      </c>
      <c r="I1930">
        <v>6350.33</v>
      </c>
      <c r="J1930" t="s">
        <v>75</v>
      </c>
      <c r="K1930">
        <v>5</v>
      </c>
      <c r="L1930" t="s">
        <v>35</v>
      </c>
      <c r="M1930" t="s">
        <v>29</v>
      </c>
    </row>
    <row r="1931" spans="1:13">
      <c r="A1931" t="s">
        <v>256</v>
      </c>
      <c r="B1931" t="s">
        <v>160</v>
      </c>
      <c r="C1931" t="s">
        <v>67</v>
      </c>
      <c r="D1931" t="s">
        <v>4221</v>
      </c>
      <c r="E1931">
        <v>2</v>
      </c>
      <c r="F1931" t="s">
        <v>4222</v>
      </c>
      <c r="G1931" s="10">
        <v>45268</v>
      </c>
      <c r="H1931">
        <v>29500</v>
      </c>
      <c r="I1931">
        <v>4500</v>
      </c>
      <c r="J1931" t="s">
        <v>193</v>
      </c>
      <c r="K1931">
        <v>5</v>
      </c>
      <c r="L1931" t="s">
        <v>35</v>
      </c>
      <c r="M1931" t="s">
        <v>27</v>
      </c>
    </row>
    <row r="1932" spans="1:13">
      <c r="A1932" t="s">
        <v>571</v>
      </c>
      <c r="B1932" t="s">
        <v>179</v>
      </c>
      <c r="C1932" t="s">
        <v>45</v>
      </c>
      <c r="D1932" t="s">
        <v>4223</v>
      </c>
      <c r="E1932">
        <v>4</v>
      </c>
      <c r="F1932" t="s">
        <v>4224</v>
      </c>
      <c r="G1932" s="10">
        <v>45260</v>
      </c>
      <c r="H1932">
        <v>302400</v>
      </c>
      <c r="I1932">
        <v>52400</v>
      </c>
      <c r="J1932" t="s">
        <v>189</v>
      </c>
      <c r="K1932">
        <v>6</v>
      </c>
      <c r="L1932" t="s">
        <v>44</v>
      </c>
      <c r="M1932" t="s">
        <v>45</v>
      </c>
    </row>
    <row r="1933" spans="1:13">
      <c r="A1933" t="s">
        <v>1868</v>
      </c>
      <c r="B1933" t="s">
        <v>66</v>
      </c>
      <c r="C1933" t="s">
        <v>67</v>
      </c>
      <c r="D1933" t="s">
        <v>4225</v>
      </c>
      <c r="E1933">
        <v>2</v>
      </c>
      <c r="F1933" t="s">
        <v>4226</v>
      </c>
      <c r="G1933" s="10">
        <v>45264</v>
      </c>
      <c r="H1933">
        <v>65000</v>
      </c>
      <c r="I1933">
        <v>15000</v>
      </c>
      <c r="J1933" t="s">
        <v>163</v>
      </c>
      <c r="K1933">
        <v>5</v>
      </c>
      <c r="L1933" t="s">
        <v>35</v>
      </c>
      <c r="M1933" t="s">
        <v>27</v>
      </c>
    </row>
    <row r="1934" spans="1:13">
      <c r="A1934" t="s">
        <v>159</v>
      </c>
      <c r="B1934" t="s">
        <v>160</v>
      </c>
      <c r="C1934" t="s">
        <v>67</v>
      </c>
      <c r="D1934" t="s">
        <v>4227</v>
      </c>
      <c r="E1934">
        <v>2</v>
      </c>
      <c r="F1934" t="s">
        <v>4228</v>
      </c>
      <c r="G1934" s="10">
        <v>45264</v>
      </c>
      <c r="H1934">
        <v>32500</v>
      </c>
      <c r="I1934">
        <v>7500</v>
      </c>
      <c r="J1934" t="s">
        <v>163</v>
      </c>
      <c r="K1934">
        <v>5</v>
      </c>
      <c r="L1934" t="s">
        <v>35</v>
      </c>
      <c r="M1934" t="s">
        <v>27</v>
      </c>
    </row>
    <row r="1935" spans="1:13">
      <c r="A1935" t="s">
        <v>2562</v>
      </c>
      <c r="B1935" t="s">
        <v>146</v>
      </c>
      <c r="C1935" t="s">
        <v>98</v>
      </c>
      <c r="D1935" t="s">
        <v>4229</v>
      </c>
      <c r="E1935">
        <v>1</v>
      </c>
      <c r="F1935" t="s">
        <v>4230</v>
      </c>
      <c r="G1935" s="10">
        <v>45278</v>
      </c>
      <c r="H1935">
        <v>376110</v>
      </c>
      <c r="I1935">
        <v>34444</v>
      </c>
      <c r="J1935" t="s">
        <v>859</v>
      </c>
      <c r="K1935">
        <v>6</v>
      </c>
      <c r="L1935" t="s">
        <v>24</v>
      </c>
      <c r="M1935" t="s">
        <v>24</v>
      </c>
    </row>
    <row r="1936" spans="1:13">
      <c r="A1936" t="s">
        <v>305</v>
      </c>
      <c r="B1936" t="s">
        <v>118</v>
      </c>
      <c r="C1936" t="s">
        <v>98</v>
      </c>
      <c r="D1936" t="s">
        <v>4231</v>
      </c>
      <c r="E1936">
        <v>4</v>
      </c>
      <c r="F1936" t="s">
        <v>4232</v>
      </c>
      <c r="G1936" s="10">
        <v>45265</v>
      </c>
      <c r="H1936">
        <v>295566.5</v>
      </c>
      <c r="I1936">
        <v>70566.5</v>
      </c>
      <c r="J1936" t="s">
        <v>121</v>
      </c>
      <c r="K1936">
        <v>5</v>
      </c>
      <c r="L1936" t="s">
        <v>24</v>
      </c>
      <c r="M1936" t="s">
        <v>30</v>
      </c>
    </row>
    <row r="1937" spans="1:13">
      <c r="A1937" t="s">
        <v>431</v>
      </c>
      <c r="B1937" t="s">
        <v>160</v>
      </c>
      <c r="C1937" t="s">
        <v>67</v>
      </c>
      <c r="D1937" t="s">
        <v>4233</v>
      </c>
      <c r="E1937">
        <v>2</v>
      </c>
      <c r="F1937" t="s">
        <v>4234</v>
      </c>
      <c r="G1937" s="10">
        <v>45267</v>
      </c>
      <c r="H1937">
        <v>32500</v>
      </c>
      <c r="I1937">
        <v>7500</v>
      </c>
      <c r="J1937" t="s">
        <v>193</v>
      </c>
      <c r="K1937">
        <v>5</v>
      </c>
      <c r="L1937" t="s">
        <v>35</v>
      </c>
      <c r="M1937" t="s">
        <v>27</v>
      </c>
    </row>
    <row r="1938" spans="1:13">
      <c r="A1938" t="s">
        <v>794</v>
      </c>
      <c r="B1938" t="s">
        <v>118</v>
      </c>
      <c r="C1938" t="s">
        <v>98</v>
      </c>
      <c r="D1938" t="s">
        <v>4235</v>
      </c>
      <c r="E1938">
        <v>1</v>
      </c>
      <c r="F1938" t="s">
        <v>4236</v>
      </c>
      <c r="G1938" s="10">
        <v>45267</v>
      </c>
      <c r="H1938">
        <v>200592</v>
      </c>
      <c r="I1938">
        <v>75592</v>
      </c>
      <c r="J1938" t="s">
        <v>744</v>
      </c>
      <c r="K1938">
        <v>5</v>
      </c>
      <c r="L1938" t="s">
        <v>24</v>
      </c>
      <c r="M1938" t="s">
        <v>31</v>
      </c>
    </row>
    <row r="1939" spans="1:13">
      <c r="A1939" t="s">
        <v>1544</v>
      </c>
      <c r="B1939" t="s">
        <v>93</v>
      </c>
      <c r="C1939" t="s">
        <v>94</v>
      </c>
      <c r="D1939" t="s">
        <v>4237</v>
      </c>
      <c r="E1939">
        <v>2</v>
      </c>
      <c r="F1939" t="s">
        <v>4238</v>
      </c>
      <c r="G1939" s="10">
        <v>45279</v>
      </c>
      <c r="H1939">
        <v>155400</v>
      </c>
      <c r="I1939">
        <v>38733.33</v>
      </c>
      <c r="J1939" t="s">
        <v>97</v>
      </c>
      <c r="K1939">
        <v>6</v>
      </c>
      <c r="L1939" t="s">
        <v>41</v>
      </c>
      <c r="M1939" t="s">
        <v>42</v>
      </c>
    </row>
    <row r="1940" spans="1:13">
      <c r="A1940" t="s">
        <v>190</v>
      </c>
      <c r="B1940" t="s">
        <v>160</v>
      </c>
      <c r="C1940" t="s">
        <v>67</v>
      </c>
      <c r="D1940" t="s">
        <v>4239</v>
      </c>
      <c r="E1940">
        <v>2</v>
      </c>
      <c r="F1940" t="s">
        <v>4240</v>
      </c>
      <c r="G1940" s="10">
        <v>45264</v>
      </c>
      <c r="H1940">
        <v>22420</v>
      </c>
      <c r="I1940">
        <v>3420</v>
      </c>
      <c r="J1940" t="s">
        <v>193</v>
      </c>
      <c r="K1940">
        <v>5</v>
      </c>
      <c r="L1940" t="s">
        <v>35</v>
      </c>
      <c r="M1940" t="s">
        <v>27</v>
      </c>
    </row>
    <row r="1941" spans="1:13">
      <c r="A1941" t="s">
        <v>3750</v>
      </c>
      <c r="B1941" t="s">
        <v>118</v>
      </c>
      <c r="C1941" t="s">
        <v>98</v>
      </c>
      <c r="D1941" t="s">
        <v>4241</v>
      </c>
      <c r="E1941">
        <v>4</v>
      </c>
      <c r="F1941" t="s">
        <v>4242</v>
      </c>
      <c r="G1941" s="10">
        <v>45267</v>
      </c>
      <c r="H1941">
        <v>232000</v>
      </c>
      <c r="I1941">
        <v>37000</v>
      </c>
      <c r="J1941" t="s">
        <v>308</v>
      </c>
      <c r="K1941">
        <v>6</v>
      </c>
      <c r="L1941" t="s">
        <v>24</v>
      </c>
      <c r="M1941" t="s">
        <v>32</v>
      </c>
    </row>
    <row r="1942" spans="1:13">
      <c r="A1942" t="s">
        <v>175</v>
      </c>
      <c r="B1942" t="s">
        <v>66</v>
      </c>
      <c r="C1942" t="s">
        <v>67</v>
      </c>
      <c r="D1942" t="s">
        <v>4243</v>
      </c>
      <c r="E1942">
        <v>6</v>
      </c>
      <c r="F1942" t="s">
        <v>4244</v>
      </c>
      <c r="G1942" s="10">
        <v>45261</v>
      </c>
      <c r="H1942">
        <v>34375</v>
      </c>
      <c r="I1942">
        <v>6875</v>
      </c>
      <c r="J1942" t="s">
        <v>70</v>
      </c>
      <c r="K1942">
        <v>5</v>
      </c>
      <c r="L1942" t="s">
        <v>35</v>
      </c>
      <c r="M1942" t="s">
        <v>36</v>
      </c>
    </row>
    <row r="1943" spans="1:13">
      <c r="A1943" t="s">
        <v>3715</v>
      </c>
      <c r="B1943" t="s">
        <v>93</v>
      </c>
      <c r="C1943" t="s">
        <v>94</v>
      </c>
      <c r="D1943" t="s">
        <v>4245</v>
      </c>
      <c r="E1943">
        <v>2</v>
      </c>
      <c r="F1943" t="s">
        <v>4246</v>
      </c>
      <c r="G1943" s="10">
        <v>45279</v>
      </c>
      <c r="H1943">
        <v>151200</v>
      </c>
      <c r="I1943">
        <v>9533.33</v>
      </c>
      <c r="J1943" t="s">
        <v>97</v>
      </c>
      <c r="K1943">
        <v>5</v>
      </c>
      <c r="L1943" t="s">
        <v>41</v>
      </c>
      <c r="M1943" t="s">
        <v>42</v>
      </c>
    </row>
    <row r="1944" spans="1:13">
      <c r="A1944" t="s">
        <v>2367</v>
      </c>
      <c r="B1944" t="s">
        <v>118</v>
      </c>
      <c r="C1944" t="s">
        <v>98</v>
      </c>
      <c r="D1944" t="s">
        <v>4247</v>
      </c>
      <c r="E1944">
        <v>1</v>
      </c>
      <c r="F1944" t="s">
        <v>4248</v>
      </c>
      <c r="G1944" s="10">
        <v>45274</v>
      </c>
      <c r="H1944">
        <v>91938</v>
      </c>
      <c r="I1944">
        <v>21105</v>
      </c>
      <c r="J1944" t="s">
        <v>744</v>
      </c>
      <c r="K1944">
        <v>5</v>
      </c>
      <c r="L1944" t="s">
        <v>24</v>
      </c>
      <c r="M1944" t="s">
        <v>31</v>
      </c>
    </row>
    <row r="1945" spans="1:13">
      <c r="A1945" t="s">
        <v>1658</v>
      </c>
      <c r="B1945" t="s">
        <v>160</v>
      </c>
      <c r="C1945" t="s">
        <v>67</v>
      </c>
      <c r="D1945" t="s">
        <v>4249</v>
      </c>
      <c r="E1945">
        <v>2</v>
      </c>
      <c r="F1945" t="s">
        <v>4250</v>
      </c>
      <c r="G1945" s="10">
        <v>45266</v>
      </c>
      <c r="H1945">
        <v>22302</v>
      </c>
      <c r="I1945">
        <v>3402</v>
      </c>
      <c r="J1945" t="s">
        <v>193</v>
      </c>
      <c r="K1945">
        <v>5</v>
      </c>
      <c r="L1945" t="s">
        <v>35</v>
      </c>
      <c r="M1945" t="s">
        <v>27</v>
      </c>
    </row>
    <row r="1946" spans="1:13">
      <c r="A1946" t="s">
        <v>522</v>
      </c>
      <c r="B1946" t="s">
        <v>72</v>
      </c>
      <c r="C1946" t="s">
        <v>67</v>
      </c>
      <c r="D1946" t="s">
        <v>4251</v>
      </c>
      <c r="E1946">
        <v>1</v>
      </c>
      <c r="F1946" t="s">
        <v>4252</v>
      </c>
      <c r="G1946" s="10">
        <v>45267</v>
      </c>
      <c r="H1946">
        <v>45517</v>
      </c>
      <c r="I1946">
        <v>8017</v>
      </c>
      <c r="J1946" t="s">
        <v>75</v>
      </c>
      <c r="K1946">
        <v>5</v>
      </c>
      <c r="L1946" t="s">
        <v>35</v>
      </c>
      <c r="M1946" t="s">
        <v>29</v>
      </c>
    </row>
    <row r="1947" spans="1:13">
      <c r="A1947" t="s">
        <v>431</v>
      </c>
      <c r="B1947" t="s">
        <v>160</v>
      </c>
      <c r="C1947" t="s">
        <v>67</v>
      </c>
      <c r="D1947" t="s">
        <v>4253</v>
      </c>
      <c r="E1947">
        <v>2</v>
      </c>
      <c r="F1947" t="s">
        <v>4254</v>
      </c>
      <c r="G1947" s="10">
        <v>45268</v>
      </c>
      <c r="H1947">
        <v>47200</v>
      </c>
      <c r="I1947">
        <v>7200</v>
      </c>
      <c r="J1947" t="s">
        <v>193</v>
      </c>
      <c r="K1947">
        <v>5</v>
      </c>
      <c r="L1947" t="s">
        <v>35</v>
      </c>
      <c r="M1947" t="s">
        <v>27</v>
      </c>
    </row>
    <row r="1948" spans="1:13">
      <c r="A1948" t="s">
        <v>305</v>
      </c>
      <c r="B1948" t="s">
        <v>118</v>
      </c>
      <c r="C1948" t="s">
        <v>98</v>
      </c>
      <c r="D1948" t="s">
        <v>4255</v>
      </c>
      <c r="E1948">
        <v>2</v>
      </c>
      <c r="F1948" t="s">
        <v>4256</v>
      </c>
      <c r="G1948" s="10">
        <v>45267</v>
      </c>
      <c r="H1948">
        <v>140000</v>
      </c>
      <c r="I1948">
        <v>40000</v>
      </c>
      <c r="J1948" t="s">
        <v>308</v>
      </c>
      <c r="K1948">
        <v>6</v>
      </c>
      <c r="L1948" t="s">
        <v>24</v>
      </c>
      <c r="M1948" t="s">
        <v>32</v>
      </c>
    </row>
    <row r="1949" spans="1:13">
      <c r="A1949" t="s">
        <v>140</v>
      </c>
      <c r="B1949" t="s">
        <v>141</v>
      </c>
      <c r="C1949" t="s">
        <v>67</v>
      </c>
      <c r="D1949" t="s">
        <v>4257</v>
      </c>
      <c r="E1949">
        <v>2</v>
      </c>
      <c r="F1949" t="s">
        <v>4258</v>
      </c>
      <c r="G1949" s="10">
        <v>45294</v>
      </c>
      <c r="H1949">
        <v>135000</v>
      </c>
      <c r="I1949">
        <v>55834</v>
      </c>
      <c r="J1949" t="s">
        <v>3381</v>
      </c>
      <c r="K1949">
        <v>5</v>
      </c>
      <c r="L1949" t="s">
        <v>24</v>
      </c>
      <c r="M1949" t="s">
        <v>32</v>
      </c>
    </row>
    <row r="1950" spans="1:13">
      <c r="A1950" t="s">
        <v>190</v>
      </c>
      <c r="B1950" t="s">
        <v>160</v>
      </c>
      <c r="C1950" t="s">
        <v>67</v>
      </c>
      <c r="D1950" t="s">
        <v>4259</v>
      </c>
      <c r="E1950">
        <v>2</v>
      </c>
      <c r="F1950" t="s">
        <v>4260</v>
      </c>
      <c r="G1950" s="10">
        <v>45275</v>
      </c>
      <c r="H1950">
        <v>65000</v>
      </c>
      <c r="I1950">
        <v>15000</v>
      </c>
      <c r="J1950" t="s">
        <v>163</v>
      </c>
      <c r="K1950">
        <v>6</v>
      </c>
      <c r="L1950" t="s">
        <v>35</v>
      </c>
      <c r="M1950" t="s">
        <v>27</v>
      </c>
    </row>
    <row r="1951" spans="1:13">
      <c r="A1951" t="s">
        <v>251</v>
      </c>
      <c r="B1951" t="s">
        <v>160</v>
      </c>
      <c r="C1951" t="s">
        <v>67</v>
      </c>
      <c r="D1951" t="s">
        <v>4261</v>
      </c>
      <c r="E1951">
        <v>2</v>
      </c>
      <c r="F1951" t="s">
        <v>4262</v>
      </c>
      <c r="G1951" s="10">
        <v>45267</v>
      </c>
      <c r="H1951">
        <v>22420</v>
      </c>
      <c r="I1951">
        <v>3420</v>
      </c>
      <c r="J1951" t="s">
        <v>193</v>
      </c>
      <c r="K1951">
        <v>5</v>
      </c>
      <c r="L1951" t="s">
        <v>35</v>
      </c>
      <c r="M1951" t="s">
        <v>27</v>
      </c>
    </row>
    <row r="1952" spans="1:13">
      <c r="A1952" t="s">
        <v>190</v>
      </c>
      <c r="B1952" t="s">
        <v>160</v>
      </c>
      <c r="C1952" t="s">
        <v>67</v>
      </c>
      <c r="D1952" t="s">
        <v>4263</v>
      </c>
      <c r="E1952">
        <v>2</v>
      </c>
      <c r="F1952" t="s">
        <v>4264</v>
      </c>
      <c r="G1952" s="10">
        <v>45266</v>
      </c>
      <c r="H1952">
        <v>22420</v>
      </c>
      <c r="I1952">
        <v>3420</v>
      </c>
      <c r="J1952" t="s">
        <v>193</v>
      </c>
      <c r="K1952">
        <v>5</v>
      </c>
      <c r="L1952" t="s">
        <v>35</v>
      </c>
      <c r="M1952" t="s">
        <v>27</v>
      </c>
    </row>
    <row r="1953" spans="1:13">
      <c r="A1953" t="s">
        <v>261</v>
      </c>
      <c r="B1953" t="s">
        <v>160</v>
      </c>
      <c r="C1953" t="s">
        <v>67</v>
      </c>
      <c r="D1953" t="s">
        <v>4265</v>
      </c>
      <c r="E1953">
        <v>2</v>
      </c>
      <c r="F1953" t="s">
        <v>4266</v>
      </c>
      <c r="G1953" s="10">
        <v>45266</v>
      </c>
      <c r="H1953">
        <v>22420</v>
      </c>
      <c r="I1953">
        <v>3420</v>
      </c>
      <c r="J1953" t="s">
        <v>193</v>
      </c>
      <c r="K1953">
        <v>5</v>
      </c>
      <c r="L1953" t="s">
        <v>35</v>
      </c>
      <c r="M1953" t="s">
        <v>27</v>
      </c>
    </row>
    <row r="1954" spans="1:13">
      <c r="A1954" t="s">
        <v>190</v>
      </c>
      <c r="B1954" t="s">
        <v>160</v>
      </c>
      <c r="C1954" t="s">
        <v>67</v>
      </c>
      <c r="D1954" t="s">
        <v>4267</v>
      </c>
      <c r="E1954">
        <v>2</v>
      </c>
      <c r="F1954" t="s">
        <v>4268</v>
      </c>
      <c r="G1954" s="10">
        <v>45266</v>
      </c>
      <c r="H1954">
        <v>22420</v>
      </c>
      <c r="I1954">
        <v>3420</v>
      </c>
      <c r="J1954" t="s">
        <v>193</v>
      </c>
      <c r="K1954">
        <v>5</v>
      </c>
      <c r="L1954" t="s">
        <v>35</v>
      </c>
      <c r="M1954" t="s">
        <v>27</v>
      </c>
    </row>
    <row r="1955" spans="1:13">
      <c r="A1955" t="s">
        <v>1193</v>
      </c>
      <c r="B1955" t="s">
        <v>141</v>
      </c>
      <c r="C1955" t="s">
        <v>67</v>
      </c>
      <c r="D1955" t="s">
        <v>4269</v>
      </c>
      <c r="E1955">
        <v>2</v>
      </c>
      <c r="F1955" t="s">
        <v>4270</v>
      </c>
      <c r="G1955" s="10">
        <v>45268</v>
      </c>
      <c r="H1955">
        <v>37800</v>
      </c>
      <c r="I1955">
        <v>6134</v>
      </c>
      <c r="J1955" t="s">
        <v>3680</v>
      </c>
      <c r="K1955">
        <v>5</v>
      </c>
      <c r="L1955" t="s">
        <v>24</v>
      </c>
      <c r="M1955" t="s">
        <v>27</v>
      </c>
    </row>
    <row r="1956" spans="1:13">
      <c r="A1956" t="s">
        <v>2389</v>
      </c>
      <c r="B1956" t="s">
        <v>2267</v>
      </c>
      <c r="C1956" t="s">
        <v>94</v>
      </c>
      <c r="D1956" t="s">
        <v>4271</v>
      </c>
      <c r="E1956">
        <v>2</v>
      </c>
      <c r="F1956" t="s">
        <v>4272</v>
      </c>
      <c r="G1956" s="10">
        <v>45261</v>
      </c>
      <c r="H1956">
        <v>34000</v>
      </c>
      <c r="I1956">
        <v>9000</v>
      </c>
      <c r="J1956" t="s">
        <v>4037</v>
      </c>
      <c r="K1956">
        <v>5</v>
      </c>
      <c r="L1956" t="s">
        <v>41</v>
      </c>
      <c r="M1956" t="s">
        <v>33</v>
      </c>
    </row>
    <row r="1957" spans="1:13">
      <c r="A1957" t="s">
        <v>29</v>
      </c>
      <c r="B1957" t="s">
        <v>98</v>
      </c>
      <c r="C1957" t="s">
        <v>29</v>
      </c>
      <c r="D1957" t="s">
        <v>4273</v>
      </c>
      <c r="E1957">
        <v>1</v>
      </c>
      <c r="F1957" t="s">
        <v>4274</v>
      </c>
      <c r="G1957" s="10">
        <v>45278</v>
      </c>
      <c r="H1957">
        <v>45517</v>
      </c>
      <c r="I1957">
        <v>6350.33</v>
      </c>
      <c r="J1957" t="s">
        <v>75</v>
      </c>
      <c r="K1957">
        <v>6</v>
      </c>
      <c r="L1957" t="s">
        <v>35</v>
      </c>
      <c r="M1957" t="s">
        <v>29</v>
      </c>
    </row>
    <row r="1958" spans="1:13">
      <c r="A1958" t="s">
        <v>1817</v>
      </c>
      <c r="B1958" t="s">
        <v>224</v>
      </c>
      <c r="C1958" t="s">
        <v>94</v>
      </c>
      <c r="D1958" t="s">
        <v>4275</v>
      </c>
      <c r="E1958">
        <v>2</v>
      </c>
      <c r="F1958" t="s">
        <v>4276</v>
      </c>
      <c r="G1958" s="10">
        <v>45281</v>
      </c>
      <c r="H1958">
        <v>97000</v>
      </c>
      <c r="I1958">
        <v>12000</v>
      </c>
      <c r="J1958" t="s">
        <v>227</v>
      </c>
      <c r="K1958">
        <v>6</v>
      </c>
      <c r="L1958" t="s">
        <v>41</v>
      </c>
      <c r="M1958" t="s">
        <v>42</v>
      </c>
    </row>
    <row r="1959" spans="1:13">
      <c r="A1959" t="s">
        <v>431</v>
      </c>
      <c r="B1959" t="s">
        <v>160</v>
      </c>
      <c r="C1959" t="s">
        <v>67</v>
      </c>
      <c r="D1959" t="s">
        <v>4277</v>
      </c>
      <c r="E1959">
        <v>2</v>
      </c>
      <c r="F1959" t="s">
        <v>4278</v>
      </c>
      <c r="G1959" s="10">
        <v>45267</v>
      </c>
      <c r="H1959">
        <v>22420</v>
      </c>
      <c r="I1959">
        <v>3420</v>
      </c>
      <c r="J1959" t="s">
        <v>193</v>
      </c>
      <c r="K1959">
        <v>6</v>
      </c>
      <c r="L1959" t="s">
        <v>35</v>
      </c>
      <c r="M1959" t="s">
        <v>27</v>
      </c>
    </row>
    <row r="1960" spans="1:13">
      <c r="A1960" t="s">
        <v>480</v>
      </c>
      <c r="B1960" t="s">
        <v>215</v>
      </c>
      <c r="C1960" t="s">
        <v>94</v>
      </c>
      <c r="D1960" t="s">
        <v>4279</v>
      </c>
      <c r="E1960">
        <v>2</v>
      </c>
      <c r="F1960" t="s">
        <v>4280</v>
      </c>
      <c r="G1960" s="10">
        <v>45268</v>
      </c>
      <c r="H1960">
        <v>87000</v>
      </c>
      <c r="I1960">
        <v>12000</v>
      </c>
      <c r="J1960" t="s">
        <v>227</v>
      </c>
      <c r="K1960">
        <v>5</v>
      </c>
      <c r="L1960" t="s">
        <v>41</v>
      </c>
      <c r="M1960" t="s">
        <v>42</v>
      </c>
    </row>
    <row r="1961" spans="1:13">
      <c r="A1961" t="s">
        <v>4064</v>
      </c>
      <c r="B1961" t="s">
        <v>146</v>
      </c>
      <c r="C1961" t="s">
        <v>98</v>
      </c>
      <c r="D1961" t="s">
        <v>4281</v>
      </c>
      <c r="E1961">
        <v>1</v>
      </c>
      <c r="F1961" t="s">
        <v>4282</v>
      </c>
      <c r="G1961" s="10">
        <v>45274</v>
      </c>
      <c r="H1961">
        <v>376110</v>
      </c>
      <c r="I1961">
        <v>34444</v>
      </c>
      <c r="J1961" t="s">
        <v>859</v>
      </c>
      <c r="K1961">
        <v>5</v>
      </c>
      <c r="L1961" t="s">
        <v>24</v>
      </c>
      <c r="M1961" t="s">
        <v>24</v>
      </c>
    </row>
    <row r="1962" spans="1:13">
      <c r="A1962" t="s">
        <v>197</v>
      </c>
      <c r="B1962" t="s">
        <v>160</v>
      </c>
      <c r="C1962" t="s">
        <v>67</v>
      </c>
      <c r="D1962" t="s">
        <v>4283</v>
      </c>
      <c r="E1962">
        <v>2</v>
      </c>
      <c r="F1962" t="s">
        <v>4284</v>
      </c>
      <c r="G1962" s="10">
        <v>45267</v>
      </c>
      <c r="H1962">
        <v>22420</v>
      </c>
      <c r="I1962">
        <v>3420</v>
      </c>
      <c r="J1962" t="s">
        <v>193</v>
      </c>
      <c r="K1962">
        <v>6</v>
      </c>
      <c r="L1962" t="s">
        <v>35</v>
      </c>
      <c r="M1962" t="s">
        <v>27</v>
      </c>
    </row>
    <row r="1963" spans="1:13">
      <c r="A1963" t="s">
        <v>190</v>
      </c>
      <c r="B1963" t="s">
        <v>160</v>
      </c>
      <c r="C1963" t="s">
        <v>67</v>
      </c>
      <c r="D1963" t="s">
        <v>4285</v>
      </c>
      <c r="E1963">
        <v>2</v>
      </c>
      <c r="F1963" t="s">
        <v>4286</v>
      </c>
      <c r="G1963" s="10">
        <v>45268</v>
      </c>
      <c r="H1963">
        <v>65000</v>
      </c>
      <c r="I1963">
        <v>15000</v>
      </c>
      <c r="J1963" t="s">
        <v>163</v>
      </c>
      <c r="K1963">
        <v>6</v>
      </c>
      <c r="L1963" t="s">
        <v>35</v>
      </c>
      <c r="M1963" t="s">
        <v>27</v>
      </c>
    </row>
    <row r="1964" spans="1:13">
      <c r="A1964" t="s">
        <v>65</v>
      </c>
      <c r="B1964" t="s">
        <v>66</v>
      </c>
      <c r="C1964" t="s">
        <v>67</v>
      </c>
      <c r="D1964" t="s">
        <v>4287</v>
      </c>
      <c r="E1964">
        <v>2</v>
      </c>
      <c r="F1964" t="s">
        <v>4288</v>
      </c>
      <c r="G1964" s="10">
        <v>45271</v>
      </c>
      <c r="H1964">
        <v>65000</v>
      </c>
      <c r="I1964">
        <v>15000</v>
      </c>
      <c r="J1964" t="s">
        <v>163</v>
      </c>
      <c r="K1964">
        <v>5</v>
      </c>
      <c r="L1964" t="s">
        <v>35</v>
      </c>
      <c r="M1964" t="s">
        <v>27</v>
      </c>
    </row>
    <row r="1965" spans="1:13">
      <c r="A1965" t="s">
        <v>190</v>
      </c>
      <c r="B1965" t="s">
        <v>160</v>
      </c>
      <c r="C1965" t="s">
        <v>67</v>
      </c>
      <c r="D1965" t="s">
        <v>4289</v>
      </c>
      <c r="E1965">
        <v>2</v>
      </c>
      <c r="F1965" t="s">
        <v>4290</v>
      </c>
      <c r="G1965" s="10">
        <v>45268</v>
      </c>
      <c r="H1965">
        <v>29500</v>
      </c>
      <c r="I1965">
        <v>4500</v>
      </c>
      <c r="J1965" t="s">
        <v>193</v>
      </c>
      <c r="K1965">
        <v>5</v>
      </c>
      <c r="L1965" t="s">
        <v>35</v>
      </c>
      <c r="M1965" t="s">
        <v>27</v>
      </c>
    </row>
    <row r="1966" spans="1:13">
      <c r="A1966" t="s">
        <v>1983</v>
      </c>
      <c r="B1966" t="s">
        <v>179</v>
      </c>
      <c r="C1966" t="s">
        <v>45</v>
      </c>
      <c r="D1966" t="s">
        <v>4291</v>
      </c>
      <c r="E1966">
        <v>2</v>
      </c>
      <c r="F1966" t="s">
        <v>4292</v>
      </c>
      <c r="G1966" s="10">
        <v>45268</v>
      </c>
      <c r="H1966">
        <v>81333.33</v>
      </c>
      <c r="I1966">
        <v>14667.33</v>
      </c>
      <c r="J1966" t="s">
        <v>517</v>
      </c>
      <c r="K1966">
        <v>5</v>
      </c>
      <c r="L1966" t="s">
        <v>44</v>
      </c>
      <c r="M1966" t="s">
        <v>48</v>
      </c>
    </row>
    <row r="1967" spans="1:13">
      <c r="A1967" t="s">
        <v>159</v>
      </c>
      <c r="B1967" t="s">
        <v>160</v>
      </c>
      <c r="C1967" t="s">
        <v>67</v>
      </c>
      <c r="D1967" t="s">
        <v>4293</v>
      </c>
      <c r="E1967">
        <v>2</v>
      </c>
      <c r="F1967" t="s">
        <v>4294</v>
      </c>
      <c r="G1967" s="10">
        <v>45271</v>
      </c>
      <c r="H1967">
        <v>65000</v>
      </c>
      <c r="I1967">
        <v>15000</v>
      </c>
      <c r="J1967" t="s">
        <v>163</v>
      </c>
      <c r="K1967">
        <v>6</v>
      </c>
      <c r="L1967" t="s">
        <v>35</v>
      </c>
      <c r="M1967" t="s">
        <v>27</v>
      </c>
    </row>
    <row r="1968" spans="1:13">
      <c r="A1968" t="s">
        <v>3715</v>
      </c>
      <c r="B1968" t="s">
        <v>93</v>
      </c>
      <c r="C1968" t="s">
        <v>94</v>
      </c>
      <c r="D1968" t="s">
        <v>4295</v>
      </c>
      <c r="E1968">
        <v>2</v>
      </c>
      <c r="F1968" t="s">
        <v>4296</v>
      </c>
      <c r="G1968" s="10">
        <v>45278</v>
      </c>
      <c r="H1968">
        <v>161700</v>
      </c>
      <c r="I1968">
        <v>53366.67</v>
      </c>
      <c r="J1968" t="s">
        <v>97</v>
      </c>
      <c r="K1968">
        <v>5</v>
      </c>
      <c r="L1968" t="s">
        <v>41</v>
      </c>
      <c r="M1968" t="s">
        <v>42</v>
      </c>
    </row>
    <row r="1969" spans="1:13">
      <c r="A1969" t="s">
        <v>42</v>
      </c>
      <c r="B1969" t="s">
        <v>41</v>
      </c>
      <c r="C1969" t="s">
        <v>42</v>
      </c>
      <c r="D1969" t="s">
        <v>777</v>
      </c>
      <c r="E1969">
        <v>2</v>
      </c>
      <c r="F1969" t="s">
        <v>4297</v>
      </c>
      <c r="G1969" s="10">
        <v>45279</v>
      </c>
      <c r="H1969">
        <v>189000</v>
      </c>
      <c r="I1969">
        <v>14000</v>
      </c>
      <c r="J1969" t="s">
        <v>97</v>
      </c>
      <c r="K1969">
        <v>5</v>
      </c>
      <c r="L1969" t="s">
        <v>41</v>
      </c>
      <c r="M1969" t="s">
        <v>42</v>
      </c>
    </row>
    <row r="1970" spans="1:13">
      <c r="A1970" t="s">
        <v>431</v>
      </c>
      <c r="B1970" t="s">
        <v>160</v>
      </c>
      <c r="C1970" t="s">
        <v>67</v>
      </c>
      <c r="D1970" t="s">
        <v>4298</v>
      </c>
      <c r="E1970">
        <v>2</v>
      </c>
      <c r="F1970" t="s">
        <v>4299</v>
      </c>
      <c r="G1970" s="10">
        <v>45272</v>
      </c>
      <c r="H1970">
        <v>62400</v>
      </c>
      <c r="I1970">
        <v>14400</v>
      </c>
      <c r="J1970" t="s">
        <v>163</v>
      </c>
      <c r="K1970">
        <v>5</v>
      </c>
      <c r="L1970" t="s">
        <v>35</v>
      </c>
      <c r="M1970" t="s">
        <v>27</v>
      </c>
    </row>
    <row r="1971" spans="1:13">
      <c r="A1971" t="s">
        <v>4300</v>
      </c>
      <c r="B1971" t="s">
        <v>1983</v>
      </c>
      <c r="C1971" t="s">
        <v>45</v>
      </c>
      <c r="D1971" t="s">
        <v>4301</v>
      </c>
      <c r="E1971">
        <v>2</v>
      </c>
      <c r="F1971" t="s">
        <v>4302</v>
      </c>
      <c r="G1971" s="10">
        <v>45273</v>
      </c>
      <c r="H1971">
        <v>47783.33</v>
      </c>
      <c r="I1971">
        <v>8617.33</v>
      </c>
      <c r="J1971" t="s">
        <v>517</v>
      </c>
      <c r="K1971">
        <v>5</v>
      </c>
      <c r="L1971" t="s">
        <v>44</v>
      </c>
      <c r="M1971" t="s">
        <v>48</v>
      </c>
    </row>
    <row r="1972" spans="1:13">
      <c r="A1972" t="s">
        <v>4303</v>
      </c>
      <c r="B1972" t="s">
        <v>1983</v>
      </c>
      <c r="C1972" t="s">
        <v>45</v>
      </c>
      <c r="D1972" t="s">
        <v>4304</v>
      </c>
      <c r="E1972">
        <v>2</v>
      </c>
      <c r="F1972" t="s">
        <v>4305</v>
      </c>
      <c r="G1972" s="10">
        <v>45273</v>
      </c>
      <c r="H1972">
        <v>48800</v>
      </c>
      <c r="I1972">
        <v>8800</v>
      </c>
      <c r="J1972" t="s">
        <v>517</v>
      </c>
      <c r="K1972">
        <v>5</v>
      </c>
      <c r="L1972" t="s">
        <v>44</v>
      </c>
      <c r="M1972" t="s">
        <v>48</v>
      </c>
    </row>
    <row r="1973" spans="1:13">
      <c r="A1973" t="s">
        <v>170</v>
      </c>
      <c r="B1973" t="s">
        <v>66</v>
      </c>
      <c r="C1973" t="s">
        <v>67</v>
      </c>
      <c r="D1973" t="s">
        <v>4306</v>
      </c>
      <c r="E1973">
        <v>2</v>
      </c>
      <c r="F1973" t="s">
        <v>4307</v>
      </c>
      <c r="G1973" s="10">
        <v>45271</v>
      </c>
      <c r="H1973">
        <v>32500</v>
      </c>
      <c r="I1973">
        <v>7500</v>
      </c>
      <c r="J1973" t="s">
        <v>163</v>
      </c>
      <c r="K1973">
        <v>6</v>
      </c>
      <c r="L1973" t="s">
        <v>35</v>
      </c>
      <c r="M1973" t="s">
        <v>27</v>
      </c>
    </row>
    <row r="1974" spans="1:13">
      <c r="A1974" t="s">
        <v>4308</v>
      </c>
      <c r="B1974" t="s">
        <v>916</v>
      </c>
      <c r="C1974" t="s">
        <v>51</v>
      </c>
      <c r="D1974" t="s">
        <v>4309</v>
      </c>
      <c r="E1974">
        <v>2</v>
      </c>
      <c r="F1974" t="s">
        <v>4310</v>
      </c>
      <c r="G1974" s="10">
        <v>45272</v>
      </c>
      <c r="H1974">
        <v>229910</v>
      </c>
      <c r="I1974">
        <v>74077</v>
      </c>
      <c r="J1974" t="s">
        <v>4311</v>
      </c>
      <c r="K1974">
        <v>6</v>
      </c>
      <c r="L1974" t="s">
        <v>44</v>
      </c>
      <c r="M1974" t="s">
        <v>49</v>
      </c>
    </row>
    <row r="1975" spans="1:13">
      <c r="A1975" t="s">
        <v>261</v>
      </c>
      <c r="B1975" t="s">
        <v>160</v>
      </c>
      <c r="C1975" t="s">
        <v>67</v>
      </c>
      <c r="D1975" t="s">
        <v>4312</v>
      </c>
      <c r="E1975">
        <v>2</v>
      </c>
      <c r="F1975" t="s">
        <v>4313</v>
      </c>
      <c r="G1975" s="10">
        <v>45278</v>
      </c>
      <c r="H1975">
        <v>47783.33</v>
      </c>
      <c r="I1975">
        <v>8617.33</v>
      </c>
      <c r="J1975" t="s">
        <v>517</v>
      </c>
      <c r="K1975">
        <v>5</v>
      </c>
      <c r="L1975" t="s">
        <v>44</v>
      </c>
      <c r="M1975" t="s">
        <v>48</v>
      </c>
    </row>
    <row r="1976" spans="1:13">
      <c r="A1976" t="s">
        <v>190</v>
      </c>
      <c r="B1976" t="s">
        <v>160</v>
      </c>
      <c r="C1976" t="s">
        <v>67</v>
      </c>
      <c r="D1976" t="s">
        <v>4314</v>
      </c>
      <c r="E1976">
        <v>2</v>
      </c>
      <c r="F1976" t="s">
        <v>4315</v>
      </c>
      <c r="G1976" s="10">
        <v>45274</v>
      </c>
      <c r="H1976">
        <v>22420</v>
      </c>
      <c r="I1976">
        <v>3420</v>
      </c>
      <c r="J1976" t="s">
        <v>193</v>
      </c>
      <c r="K1976">
        <v>5</v>
      </c>
      <c r="L1976" t="s">
        <v>35</v>
      </c>
      <c r="M1976" t="s">
        <v>27</v>
      </c>
    </row>
    <row r="1977" spans="1:13">
      <c r="A1977" t="s">
        <v>65</v>
      </c>
      <c r="B1977" t="s">
        <v>66</v>
      </c>
      <c r="C1977" t="s">
        <v>67</v>
      </c>
      <c r="D1977" t="s">
        <v>4316</v>
      </c>
      <c r="E1977">
        <v>6</v>
      </c>
      <c r="F1977" t="s">
        <v>4317</v>
      </c>
      <c r="G1977" s="10">
        <v>45273</v>
      </c>
      <c r="H1977">
        <v>36600</v>
      </c>
      <c r="I1977">
        <v>6100</v>
      </c>
      <c r="J1977" t="s">
        <v>70</v>
      </c>
      <c r="K1977">
        <v>5</v>
      </c>
      <c r="L1977" t="s">
        <v>35</v>
      </c>
      <c r="M1977" t="s">
        <v>36</v>
      </c>
    </row>
    <row r="1978" spans="1:13">
      <c r="A1978" t="s">
        <v>1868</v>
      </c>
      <c r="B1978" t="s">
        <v>66</v>
      </c>
      <c r="C1978" t="s">
        <v>67</v>
      </c>
      <c r="D1978" t="s">
        <v>4318</v>
      </c>
      <c r="E1978">
        <v>1</v>
      </c>
      <c r="F1978" t="s">
        <v>4319</v>
      </c>
      <c r="G1978" s="10">
        <v>45273</v>
      </c>
      <c r="H1978">
        <v>95004</v>
      </c>
      <c r="I1978">
        <v>15838</v>
      </c>
      <c r="J1978" t="s">
        <v>4320</v>
      </c>
      <c r="K1978">
        <v>6</v>
      </c>
      <c r="L1978" t="s">
        <v>24</v>
      </c>
      <c r="M1978" t="s">
        <v>24</v>
      </c>
    </row>
    <row r="1979" spans="1:13">
      <c r="A1979" t="s">
        <v>256</v>
      </c>
      <c r="B1979" t="s">
        <v>160</v>
      </c>
      <c r="C1979" t="s">
        <v>67</v>
      </c>
      <c r="D1979" t="s">
        <v>4321</v>
      </c>
      <c r="E1979">
        <v>2</v>
      </c>
      <c r="F1979" t="s">
        <v>4322</v>
      </c>
      <c r="G1979" s="10">
        <v>45273</v>
      </c>
      <c r="H1979">
        <v>22420</v>
      </c>
      <c r="I1979">
        <v>3420</v>
      </c>
      <c r="J1979" t="s">
        <v>193</v>
      </c>
      <c r="K1979">
        <v>5</v>
      </c>
      <c r="L1979" t="s">
        <v>35</v>
      </c>
      <c r="M1979" t="s">
        <v>27</v>
      </c>
    </row>
    <row r="1980" spans="1:13">
      <c r="A1980" t="s">
        <v>261</v>
      </c>
      <c r="B1980" t="s">
        <v>160</v>
      </c>
      <c r="C1980" t="s">
        <v>67</v>
      </c>
      <c r="D1980" t="s">
        <v>4323</v>
      </c>
      <c r="E1980">
        <v>2</v>
      </c>
      <c r="F1980" t="s">
        <v>4324</v>
      </c>
      <c r="G1980" s="10">
        <v>45278</v>
      </c>
      <c r="H1980">
        <v>65000</v>
      </c>
      <c r="I1980">
        <v>15000</v>
      </c>
      <c r="J1980" t="s">
        <v>163</v>
      </c>
      <c r="K1980">
        <v>5</v>
      </c>
      <c r="L1980" t="s">
        <v>35</v>
      </c>
      <c r="M1980" t="s">
        <v>27</v>
      </c>
    </row>
    <row r="1981" spans="1:13">
      <c r="A1981" t="s">
        <v>431</v>
      </c>
      <c r="B1981" t="s">
        <v>160</v>
      </c>
      <c r="C1981" t="s">
        <v>67</v>
      </c>
      <c r="D1981" t="s">
        <v>4325</v>
      </c>
      <c r="E1981">
        <v>2</v>
      </c>
      <c r="F1981" t="s">
        <v>4326</v>
      </c>
      <c r="G1981" s="10">
        <v>45274</v>
      </c>
      <c r="H1981">
        <v>22420</v>
      </c>
      <c r="I1981">
        <v>3420</v>
      </c>
      <c r="J1981" t="s">
        <v>193</v>
      </c>
      <c r="K1981">
        <v>5</v>
      </c>
      <c r="L1981" t="s">
        <v>35</v>
      </c>
      <c r="M1981" t="s">
        <v>27</v>
      </c>
    </row>
    <row r="1982" spans="1:13">
      <c r="A1982" t="s">
        <v>261</v>
      </c>
      <c r="B1982" t="s">
        <v>160</v>
      </c>
      <c r="C1982" t="s">
        <v>67</v>
      </c>
      <c r="D1982" t="s">
        <v>4327</v>
      </c>
      <c r="E1982">
        <v>2</v>
      </c>
      <c r="F1982" t="s">
        <v>4328</v>
      </c>
      <c r="G1982" s="10">
        <v>45274</v>
      </c>
      <c r="H1982">
        <v>22420</v>
      </c>
      <c r="I1982">
        <v>3420</v>
      </c>
      <c r="J1982" t="s">
        <v>193</v>
      </c>
      <c r="K1982">
        <v>5</v>
      </c>
      <c r="L1982" t="s">
        <v>35</v>
      </c>
      <c r="M1982" t="s">
        <v>27</v>
      </c>
    </row>
    <row r="1983" spans="1:13">
      <c r="A1983" t="s">
        <v>1193</v>
      </c>
      <c r="B1983" t="s">
        <v>141</v>
      </c>
      <c r="C1983" t="s">
        <v>67</v>
      </c>
      <c r="D1983" t="s">
        <v>4329</v>
      </c>
      <c r="E1983">
        <v>1</v>
      </c>
      <c r="F1983" t="s">
        <v>4330</v>
      </c>
      <c r="G1983" s="10">
        <v>45281</v>
      </c>
      <c r="H1983">
        <v>88200</v>
      </c>
      <c r="I1983">
        <v>13200</v>
      </c>
      <c r="J1983" t="s">
        <v>834</v>
      </c>
      <c r="K1983">
        <v>5</v>
      </c>
      <c r="L1983" t="s">
        <v>37</v>
      </c>
      <c r="M1983" t="s">
        <v>25</v>
      </c>
    </row>
    <row r="1984" spans="1:13">
      <c r="A1984" t="s">
        <v>602</v>
      </c>
      <c r="B1984" t="s">
        <v>224</v>
      </c>
      <c r="C1984" t="s">
        <v>94</v>
      </c>
      <c r="D1984" t="s">
        <v>4331</v>
      </c>
      <c r="E1984">
        <v>2</v>
      </c>
      <c r="F1984" t="s">
        <v>4332</v>
      </c>
      <c r="G1984" s="10">
        <v>45275</v>
      </c>
      <c r="H1984">
        <v>37000</v>
      </c>
      <c r="I1984">
        <v>2000</v>
      </c>
      <c r="J1984" t="s">
        <v>227</v>
      </c>
      <c r="K1984">
        <v>6</v>
      </c>
      <c r="L1984" t="s">
        <v>41</v>
      </c>
      <c r="M1984" t="s">
        <v>42</v>
      </c>
    </row>
    <row r="1985" spans="1:13">
      <c r="A1985" t="s">
        <v>186</v>
      </c>
      <c r="B1985" t="s">
        <v>179</v>
      </c>
      <c r="C1985" t="s">
        <v>45</v>
      </c>
      <c r="D1985" t="s">
        <v>4333</v>
      </c>
      <c r="E1985">
        <v>2</v>
      </c>
      <c r="F1985" t="s">
        <v>4334</v>
      </c>
      <c r="G1985" s="10">
        <v>45273</v>
      </c>
      <c r="H1985">
        <v>253698.48</v>
      </c>
      <c r="I1985">
        <v>153698.48000000001</v>
      </c>
      <c r="J1985" t="s">
        <v>2077</v>
      </c>
      <c r="K1985">
        <v>5</v>
      </c>
      <c r="L1985" t="s">
        <v>44</v>
      </c>
      <c r="M1985" t="s">
        <v>45</v>
      </c>
    </row>
    <row r="1986" spans="1:13">
      <c r="A1986" t="s">
        <v>71</v>
      </c>
      <c r="B1986" t="s">
        <v>72</v>
      </c>
      <c r="C1986" t="s">
        <v>67</v>
      </c>
      <c r="D1986" t="s">
        <v>4335</v>
      </c>
      <c r="E1986">
        <v>1</v>
      </c>
      <c r="F1986" t="s">
        <v>4336</v>
      </c>
      <c r="G1986" s="10">
        <v>45287</v>
      </c>
      <c r="H1986">
        <v>45517.5</v>
      </c>
      <c r="I1986">
        <v>8017.5</v>
      </c>
      <c r="J1986" t="s">
        <v>75</v>
      </c>
      <c r="K1986">
        <v>5</v>
      </c>
      <c r="L1986" t="s">
        <v>35</v>
      </c>
      <c r="M1986" t="s">
        <v>29</v>
      </c>
    </row>
    <row r="1987" spans="1:13">
      <c r="A1987" t="s">
        <v>341</v>
      </c>
      <c r="B1987" t="s">
        <v>179</v>
      </c>
      <c r="C1987" t="s">
        <v>45</v>
      </c>
      <c r="D1987" t="s">
        <v>4337</v>
      </c>
      <c r="E1987">
        <v>2</v>
      </c>
      <c r="F1987" t="s">
        <v>4338</v>
      </c>
      <c r="G1987" s="10">
        <v>45273</v>
      </c>
      <c r="H1987">
        <v>436800</v>
      </c>
      <c r="I1987">
        <v>186800</v>
      </c>
      <c r="J1987" t="s">
        <v>189</v>
      </c>
      <c r="K1987">
        <v>6</v>
      </c>
      <c r="L1987" t="s">
        <v>44</v>
      </c>
      <c r="M1987" t="s">
        <v>45</v>
      </c>
    </row>
    <row r="1988" spans="1:13">
      <c r="A1988" t="s">
        <v>211</v>
      </c>
      <c r="B1988" t="s">
        <v>179</v>
      </c>
      <c r="C1988" t="s">
        <v>45</v>
      </c>
      <c r="D1988" t="s">
        <v>4339</v>
      </c>
      <c r="E1988">
        <v>2</v>
      </c>
      <c r="F1988" t="s">
        <v>4340</v>
      </c>
      <c r="G1988" s="10">
        <v>45072</v>
      </c>
      <c r="H1988">
        <v>483000</v>
      </c>
      <c r="I1988">
        <v>166334</v>
      </c>
      <c r="J1988" t="s">
        <v>4196</v>
      </c>
      <c r="K1988">
        <v>5</v>
      </c>
      <c r="L1988" t="s">
        <v>44</v>
      </c>
      <c r="M1988" t="s">
        <v>48</v>
      </c>
    </row>
    <row r="1989" spans="1:13">
      <c r="A1989" t="s">
        <v>361</v>
      </c>
      <c r="B1989" t="s">
        <v>72</v>
      </c>
      <c r="C1989" t="s">
        <v>67</v>
      </c>
      <c r="D1989" t="s">
        <v>4341</v>
      </c>
      <c r="E1989">
        <v>1</v>
      </c>
      <c r="F1989" t="s">
        <v>4342</v>
      </c>
      <c r="G1989" s="10">
        <v>45308</v>
      </c>
      <c r="H1989">
        <v>45517</v>
      </c>
      <c r="I1989">
        <v>6350.33</v>
      </c>
      <c r="J1989" t="s">
        <v>75</v>
      </c>
      <c r="K1989">
        <v>5</v>
      </c>
      <c r="L1989" t="s">
        <v>35</v>
      </c>
      <c r="M1989" t="s">
        <v>29</v>
      </c>
    </row>
    <row r="1990" spans="1:13">
      <c r="A1990" t="s">
        <v>261</v>
      </c>
      <c r="B1990" t="s">
        <v>160</v>
      </c>
      <c r="C1990" t="s">
        <v>67</v>
      </c>
      <c r="D1990" t="s">
        <v>4343</v>
      </c>
      <c r="E1990">
        <v>2</v>
      </c>
      <c r="F1990" t="s">
        <v>4344</v>
      </c>
      <c r="G1990" s="10">
        <v>45278</v>
      </c>
      <c r="H1990">
        <v>48800</v>
      </c>
      <c r="I1990">
        <v>8800</v>
      </c>
      <c r="J1990" t="s">
        <v>517</v>
      </c>
      <c r="K1990">
        <v>5</v>
      </c>
      <c r="L1990" t="s">
        <v>44</v>
      </c>
      <c r="M1990" t="s">
        <v>48</v>
      </c>
    </row>
    <row r="1991" spans="1:13">
      <c r="A1991" t="s">
        <v>3950</v>
      </c>
      <c r="B1991" t="s">
        <v>215</v>
      </c>
      <c r="C1991" t="s">
        <v>94</v>
      </c>
      <c r="D1991" t="s">
        <v>4345</v>
      </c>
      <c r="E1991">
        <v>2</v>
      </c>
      <c r="F1991" t="s">
        <v>4346</v>
      </c>
      <c r="G1991" s="10">
        <v>45280</v>
      </c>
      <c r="H1991">
        <v>192500</v>
      </c>
      <c r="I1991">
        <v>17500</v>
      </c>
      <c r="J1991" t="s">
        <v>227</v>
      </c>
      <c r="K1991">
        <v>5</v>
      </c>
      <c r="L1991" t="s">
        <v>41</v>
      </c>
      <c r="M1991" t="s">
        <v>42</v>
      </c>
    </row>
    <row r="1992" spans="1:13">
      <c r="A1992" t="s">
        <v>1868</v>
      </c>
      <c r="B1992" t="s">
        <v>66</v>
      </c>
      <c r="C1992" t="s">
        <v>67</v>
      </c>
      <c r="D1992" t="s">
        <v>4347</v>
      </c>
      <c r="E1992">
        <v>2</v>
      </c>
      <c r="F1992" t="s">
        <v>4348</v>
      </c>
      <c r="G1992" s="10">
        <v>45286</v>
      </c>
      <c r="H1992">
        <v>62400</v>
      </c>
      <c r="I1992">
        <v>14400</v>
      </c>
      <c r="J1992" t="s">
        <v>163</v>
      </c>
      <c r="K1992">
        <v>5</v>
      </c>
      <c r="L1992" t="s">
        <v>35</v>
      </c>
      <c r="M1992" t="s">
        <v>27</v>
      </c>
    </row>
    <row r="1993" spans="1:13">
      <c r="A1993" t="s">
        <v>159</v>
      </c>
      <c r="B1993" t="s">
        <v>160</v>
      </c>
      <c r="C1993" t="s">
        <v>67</v>
      </c>
      <c r="D1993" t="s">
        <v>4349</v>
      </c>
      <c r="E1993">
        <v>2</v>
      </c>
      <c r="F1993" t="s">
        <v>4350</v>
      </c>
      <c r="G1993" s="10">
        <v>45274</v>
      </c>
      <c r="H1993">
        <v>32500</v>
      </c>
      <c r="I1993">
        <v>7500</v>
      </c>
      <c r="J1993" t="s">
        <v>163</v>
      </c>
      <c r="K1993">
        <v>6</v>
      </c>
      <c r="L1993" t="s">
        <v>35</v>
      </c>
      <c r="M1993" t="s">
        <v>27</v>
      </c>
    </row>
    <row r="1994" spans="1:13">
      <c r="A1994" t="s">
        <v>159</v>
      </c>
      <c r="B1994" t="s">
        <v>160</v>
      </c>
      <c r="C1994" t="s">
        <v>67</v>
      </c>
      <c r="D1994" t="s">
        <v>4351</v>
      </c>
      <c r="E1994">
        <v>2</v>
      </c>
      <c r="F1994" t="s">
        <v>4352</v>
      </c>
      <c r="G1994" s="10">
        <v>45274</v>
      </c>
      <c r="H1994">
        <v>32500</v>
      </c>
      <c r="I1994">
        <v>7500</v>
      </c>
      <c r="J1994" t="s">
        <v>163</v>
      </c>
      <c r="K1994">
        <v>6</v>
      </c>
      <c r="L1994" t="s">
        <v>35</v>
      </c>
      <c r="M1994" t="s">
        <v>27</v>
      </c>
    </row>
    <row r="1995" spans="1:13">
      <c r="A1995" t="s">
        <v>76</v>
      </c>
      <c r="B1995" t="s">
        <v>72</v>
      </c>
      <c r="C1995" t="s">
        <v>67</v>
      </c>
      <c r="D1995" t="s">
        <v>4353</v>
      </c>
      <c r="E1995">
        <v>1</v>
      </c>
      <c r="F1995" t="s">
        <v>4354</v>
      </c>
      <c r="G1995" s="10">
        <v>45341</v>
      </c>
      <c r="H1995">
        <v>45517</v>
      </c>
      <c r="I1995">
        <v>6350.33</v>
      </c>
      <c r="J1995" t="s">
        <v>75</v>
      </c>
      <c r="K1995">
        <v>5</v>
      </c>
      <c r="L1995" t="s">
        <v>35</v>
      </c>
      <c r="M1995" t="s">
        <v>29</v>
      </c>
    </row>
    <row r="1996" spans="1:13">
      <c r="A1996" t="s">
        <v>261</v>
      </c>
      <c r="B1996" t="s">
        <v>160</v>
      </c>
      <c r="C1996" t="s">
        <v>67</v>
      </c>
      <c r="D1996" t="s">
        <v>4355</v>
      </c>
      <c r="E1996">
        <v>2</v>
      </c>
      <c r="F1996" t="s">
        <v>4356</v>
      </c>
      <c r="G1996" s="10">
        <v>45278</v>
      </c>
      <c r="H1996">
        <v>48800</v>
      </c>
      <c r="I1996">
        <v>8800</v>
      </c>
      <c r="J1996" t="s">
        <v>517</v>
      </c>
      <c r="K1996">
        <v>6</v>
      </c>
      <c r="L1996" t="s">
        <v>44</v>
      </c>
      <c r="M1996" t="s">
        <v>48</v>
      </c>
    </row>
    <row r="1997" spans="1:13">
      <c r="A1997" t="s">
        <v>170</v>
      </c>
      <c r="B1997" t="s">
        <v>66</v>
      </c>
      <c r="C1997" t="s">
        <v>67</v>
      </c>
      <c r="D1997" t="s">
        <v>4357</v>
      </c>
      <c r="E1997">
        <v>1</v>
      </c>
      <c r="F1997" t="s">
        <v>4358</v>
      </c>
      <c r="G1997" s="10">
        <v>45278</v>
      </c>
      <c r="H1997">
        <v>45517</v>
      </c>
      <c r="I1997">
        <v>9683.67</v>
      </c>
      <c r="J1997" t="s">
        <v>75</v>
      </c>
      <c r="K1997">
        <v>6</v>
      </c>
      <c r="L1997" t="s">
        <v>35</v>
      </c>
      <c r="M1997" t="s">
        <v>29</v>
      </c>
    </row>
    <row r="1998" spans="1:13">
      <c r="A1998" t="s">
        <v>4064</v>
      </c>
      <c r="B1998" t="s">
        <v>146</v>
      </c>
      <c r="C1998" t="s">
        <v>98</v>
      </c>
      <c r="D1998" t="s">
        <v>4359</v>
      </c>
      <c r="E1998">
        <v>1</v>
      </c>
      <c r="F1998" t="s">
        <v>4360</v>
      </c>
      <c r="G1998" s="10">
        <v>45296</v>
      </c>
      <c r="H1998">
        <v>268000</v>
      </c>
      <c r="I1998">
        <v>72167</v>
      </c>
      <c r="J1998" t="s">
        <v>1890</v>
      </c>
      <c r="K1998">
        <v>5</v>
      </c>
      <c r="L1998" t="s">
        <v>24</v>
      </c>
      <c r="M1998" t="s">
        <v>32</v>
      </c>
    </row>
    <row r="1999" spans="1:13">
      <c r="A1999" t="s">
        <v>571</v>
      </c>
      <c r="B1999" t="s">
        <v>179</v>
      </c>
      <c r="C1999" t="s">
        <v>45</v>
      </c>
      <c r="D1999" t="s">
        <v>4361</v>
      </c>
      <c r="E1999">
        <v>2</v>
      </c>
      <c r="F1999" t="s">
        <v>4362</v>
      </c>
      <c r="G1999" s="10">
        <v>45274</v>
      </c>
      <c r="H1999">
        <v>268800</v>
      </c>
      <c r="I1999">
        <v>152134</v>
      </c>
      <c r="J1999" t="s">
        <v>189</v>
      </c>
      <c r="K1999">
        <v>5</v>
      </c>
      <c r="L1999" t="s">
        <v>44</v>
      </c>
      <c r="M1999" t="s">
        <v>45</v>
      </c>
    </row>
    <row r="2000" spans="1:13">
      <c r="A2000" t="s">
        <v>3284</v>
      </c>
      <c r="B2000" t="s">
        <v>160</v>
      </c>
      <c r="C2000" t="s">
        <v>67</v>
      </c>
      <c r="D2000" t="s">
        <v>4363</v>
      </c>
      <c r="E2000">
        <v>2</v>
      </c>
      <c r="F2000" t="s">
        <v>4364</v>
      </c>
      <c r="G2000" s="10">
        <v>45278</v>
      </c>
      <c r="H2000">
        <v>48800</v>
      </c>
      <c r="I2000">
        <v>8800</v>
      </c>
      <c r="J2000" t="s">
        <v>517</v>
      </c>
      <c r="K2000">
        <v>6</v>
      </c>
      <c r="L2000" t="s">
        <v>44</v>
      </c>
      <c r="M2000" t="s">
        <v>48</v>
      </c>
    </row>
    <row r="2001" spans="1:13">
      <c r="A2001" t="s">
        <v>2880</v>
      </c>
      <c r="B2001" t="s">
        <v>848</v>
      </c>
      <c r="C2001" t="s">
        <v>98</v>
      </c>
      <c r="D2001" t="s">
        <v>4365</v>
      </c>
      <c r="E2001">
        <v>1</v>
      </c>
      <c r="F2001" t="s">
        <v>4366</v>
      </c>
      <c r="G2001" s="10">
        <v>45295</v>
      </c>
      <c r="H2001">
        <v>175518</v>
      </c>
      <c r="I2001">
        <v>67185</v>
      </c>
      <c r="J2001" t="s">
        <v>744</v>
      </c>
      <c r="K2001">
        <v>5</v>
      </c>
      <c r="L2001" t="s">
        <v>24</v>
      </c>
      <c r="M2001" t="s">
        <v>31</v>
      </c>
    </row>
    <row r="2002" spans="1:13">
      <c r="A2002" t="s">
        <v>571</v>
      </c>
      <c r="B2002" t="s">
        <v>179</v>
      </c>
      <c r="C2002" t="s">
        <v>45</v>
      </c>
      <c r="D2002" t="s">
        <v>4367</v>
      </c>
      <c r="E2002">
        <v>2</v>
      </c>
      <c r="F2002" t="s">
        <v>4368</v>
      </c>
      <c r="G2002" s="10">
        <v>45275</v>
      </c>
      <c r="H2002">
        <v>268800</v>
      </c>
      <c r="I2002">
        <v>10467</v>
      </c>
      <c r="J2002" t="s">
        <v>189</v>
      </c>
      <c r="K2002">
        <v>5</v>
      </c>
      <c r="L2002" t="s">
        <v>44</v>
      </c>
      <c r="M2002" t="s">
        <v>45</v>
      </c>
    </row>
    <row r="2003" spans="1:13">
      <c r="A2003" t="s">
        <v>197</v>
      </c>
      <c r="B2003" t="s">
        <v>160</v>
      </c>
      <c r="C2003" t="s">
        <v>67</v>
      </c>
      <c r="D2003" t="s">
        <v>4369</v>
      </c>
      <c r="E2003">
        <v>2</v>
      </c>
      <c r="F2003" t="s">
        <v>4370</v>
      </c>
      <c r="G2003" s="10">
        <v>45278</v>
      </c>
      <c r="H2003">
        <v>22420</v>
      </c>
      <c r="I2003">
        <v>3420</v>
      </c>
      <c r="J2003" t="s">
        <v>193</v>
      </c>
      <c r="K2003">
        <v>5</v>
      </c>
      <c r="L2003" t="s">
        <v>35</v>
      </c>
      <c r="M2003" t="s">
        <v>27</v>
      </c>
    </row>
    <row r="2004" spans="1:13">
      <c r="A2004" t="s">
        <v>197</v>
      </c>
      <c r="B2004" t="s">
        <v>160</v>
      </c>
      <c r="C2004" t="s">
        <v>67</v>
      </c>
      <c r="D2004" t="s">
        <v>4371</v>
      </c>
      <c r="E2004">
        <v>2</v>
      </c>
      <c r="F2004" t="s">
        <v>4372</v>
      </c>
      <c r="G2004" s="10">
        <v>45279</v>
      </c>
      <c r="H2004">
        <v>25000.66</v>
      </c>
      <c r="I2004">
        <v>3813.66</v>
      </c>
      <c r="J2004" t="s">
        <v>193</v>
      </c>
      <c r="K2004">
        <v>5</v>
      </c>
      <c r="L2004" t="s">
        <v>35</v>
      </c>
      <c r="M2004" t="s">
        <v>27</v>
      </c>
    </row>
    <row r="2005" spans="1:13">
      <c r="A2005" t="s">
        <v>984</v>
      </c>
      <c r="B2005" t="s">
        <v>28</v>
      </c>
      <c r="C2005" t="s">
        <v>238</v>
      </c>
      <c r="D2005" t="s">
        <v>4373</v>
      </c>
      <c r="E2005">
        <v>2</v>
      </c>
      <c r="F2005" t="s">
        <v>4374</v>
      </c>
      <c r="G2005" s="10">
        <v>45301</v>
      </c>
      <c r="H2005">
        <v>124824</v>
      </c>
      <c r="I2005">
        <v>62324</v>
      </c>
      <c r="J2005" t="s">
        <v>126</v>
      </c>
      <c r="K2005">
        <v>5</v>
      </c>
      <c r="L2005" t="s">
        <v>24</v>
      </c>
      <c r="M2005" t="s">
        <v>26</v>
      </c>
    </row>
    <row r="2006" spans="1:13">
      <c r="A2006" t="s">
        <v>1193</v>
      </c>
      <c r="B2006" t="s">
        <v>141</v>
      </c>
      <c r="C2006" t="s">
        <v>67</v>
      </c>
      <c r="D2006" t="s">
        <v>4375</v>
      </c>
      <c r="E2006">
        <v>2</v>
      </c>
      <c r="F2006" t="s">
        <v>4376</v>
      </c>
      <c r="G2006" s="10">
        <v>45281</v>
      </c>
      <c r="H2006">
        <v>25000.66</v>
      </c>
      <c r="I2006">
        <v>3813.66</v>
      </c>
      <c r="J2006" t="s">
        <v>193</v>
      </c>
      <c r="K2006">
        <v>5</v>
      </c>
      <c r="L2006" t="s">
        <v>35</v>
      </c>
      <c r="M2006" t="s">
        <v>27</v>
      </c>
    </row>
    <row r="2007" spans="1:13">
      <c r="A2007" t="s">
        <v>197</v>
      </c>
      <c r="B2007" t="s">
        <v>160</v>
      </c>
      <c r="C2007" t="s">
        <v>67</v>
      </c>
      <c r="D2007" t="s">
        <v>4377</v>
      </c>
      <c r="E2007">
        <v>2</v>
      </c>
      <c r="F2007" t="s">
        <v>4378</v>
      </c>
      <c r="G2007" s="10">
        <v>45281</v>
      </c>
      <c r="H2007">
        <v>22420</v>
      </c>
      <c r="I2007">
        <v>3420</v>
      </c>
      <c r="J2007" t="s">
        <v>193</v>
      </c>
      <c r="K2007">
        <v>5</v>
      </c>
      <c r="L2007" t="s">
        <v>35</v>
      </c>
      <c r="M2007" t="s">
        <v>27</v>
      </c>
    </row>
    <row r="2008" spans="1:13">
      <c r="A2008" t="s">
        <v>197</v>
      </c>
      <c r="B2008" t="s">
        <v>160</v>
      </c>
      <c r="C2008" t="s">
        <v>67</v>
      </c>
      <c r="D2008" t="s">
        <v>4379</v>
      </c>
      <c r="E2008">
        <v>2</v>
      </c>
      <c r="F2008" t="s">
        <v>4380</v>
      </c>
      <c r="G2008" s="10">
        <v>45280</v>
      </c>
      <c r="H2008">
        <v>24898</v>
      </c>
      <c r="I2008">
        <v>3798</v>
      </c>
      <c r="J2008" t="s">
        <v>193</v>
      </c>
      <c r="K2008">
        <v>6</v>
      </c>
      <c r="L2008" t="s">
        <v>35</v>
      </c>
      <c r="M2008" t="s">
        <v>27</v>
      </c>
    </row>
    <row r="2009" spans="1:13">
      <c r="A2009" t="s">
        <v>256</v>
      </c>
      <c r="B2009" t="s">
        <v>160</v>
      </c>
      <c r="C2009" t="s">
        <v>67</v>
      </c>
      <c r="D2009" t="s">
        <v>4381</v>
      </c>
      <c r="E2009">
        <v>2</v>
      </c>
      <c r="F2009" t="s">
        <v>4382</v>
      </c>
      <c r="G2009" s="10">
        <v>45279</v>
      </c>
      <c r="H2009">
        <v>25960</v>
      </c>
      <c r="I2009">
        <v>3960</v>
      </c>
      <c r="J2009" t="s">
        <v>193</v>
      </c>
      <c r="K2009">
        <v>5</v>
      </c>
      <c r="L2009" t="s">
        <v>35</v>
      </c>
      <c r="M2009" t="s">
        <v>27</v>
      </c>
    </row>
    <row r="2010" spans="1:13">
      <c r="A2010" t="s">
        <v>1868</v>
      </c>
      <c r="B2010" t="s">
        <v>66</v>
      </c>
      <c r="C2010" t="s">
        <v>67</v>
      </c>
      <c r="D2010" t="s">
        <v>4383</v>
      </c>
      <c r="E2010">
        <v>2</v>
      </c>
      <c r="F2010" t="s">
        <v>4384</v>
      </c>
      <c r="G2010" s="10">
        <v>45279</v>
      </c>
      <c r="H2010">
        <v>32500</v>
      </c>
      <c r="I2010">
        <v>7500</v>
      </c>
      <c r="J2010" t="s">
        <v>163</v>
      </c>
      <c r="K2010">
        <v>5</v>
      </c>
      <c r="L2010" t="s">
        <v>35</v>
      </c>
      <c r="M2010" t="s">
        <v>27</v>
      </c>
    </row>
    <row r="2011" spans="1:13">
      <c r="A2011" t="s">
        <v>197</v>
      </c>
      <c r="B2011" t="s">
        <v>160</v>
      </c>
      <c r="C2011" t="s">
        <v>67</v>
      </c>
      <c r="D2011" t="s">
        <v>4385</v>
      </c>
      <c r="E2011">
        <v>2</v>
      </c>
      <c r="F2011" t="s">
        <v>4386</v>
      </c>
      <c r="G2011" s="10">
        <v>45280</v>
      </c>
      <c r="H2011">
        <v>65000</v>
      </c>
      <c r="I2011">
        <v>15000</v>
      </c>
      <c r="J2011" t="s">
        <v>163</v>
      </c>
      <c r="K2011">
        <v>6</v>
      </c>
      <c r="L2011" t="s">
        <v>35</v>
      </c>
      <c r="M2011" t="s">
        <v>27</v>
      </c>
    </row>
    <row r="2012" spans="1:13">
      <c r="A2012" t="s">
        <v>2877</v>
      </c>
      <c r="B2012" t="s">
        <v>848</v>
      </c>
      <c r="C2012" t="s">
        <v>98</v>
      </c>
      <c r="D2012" t="s">
        <v>4387</v>
      </c>
      <c r="E2012">
        <v>1</v>
      </c>
      <c r="F2012" t="s">
        <v>4388</v>
      </c>
      <c r="G2012" s="10">
        <v>45295</v>
      </c>
      <c r="H2012">
        <v>183876</v>
      </c>
      <c r="I2012">
        <v>100543</v>
      </c>
      <c r="J2012" t="s">
        <v>744</v>
      </c>
      <c r="K2012">
        <v>5</v>
      </c>
      <c r="L2012" t="s">
        <v>24</v>
      </c>
      <c r="M2012" t="s">
        <v>31</v>
      </c>
    </row>
    <row r="2013" spans="1:13">
      <c r="A2013" t="s">
        <v>676</v>
      </c>
      <c r="B2013" t="s">
        <v>28</v>
      </c>
      <c r="C2013" t="s">
        <v>238</v>
      </c>
      <c r="D2013" t="s">
        <v>4389</v>
      </c>
      <c r="E2013">
        <v>2</v>
      </c>
      <c r="F2013" t="s">
        <v>4390</v>
      </c>
      <c r="G2013" s="10">
        <v>45288</v>
      </c>
      <c r="H2013">
        <v>157500</v>
      </c>
      <c r="I2013">
        <v>61667</v>
      </c>
      <c r="J2013" t="s">
        <v>834</v>
      </c>
      <c r="K2013">
        <v>5</v>
      </c>
      <c r="L2013" t="s">
        <v>37</v>
      </c>
      <c r="M2013" t="s">
        <v>25</v>
      </c>
    </row>
    <row r="2014" spans="1:13">
      <c r="A2014" t="s">
        <v>661</v>
      </c>
      <c r="B2014" t="s">
        <v>179</v>
      </c>
      <c r="C2014" t="s">
        <v>45</v>
      </c>
      <c r="D2014" t="s">
        <v>4391</v>
      </c>
      <c r="E2014">
        <v>2</v>
      </c>
      <c r="F2014" t="s">
        <v>4392</v>
      </c>
      <c r="G2014" s="10">
        <v>45280</v>
      </c>
      <c r="H2014">
        <v>165000</v>
      </c>
      <c r="I2014">
        <v>73334</v>
      </c>
      <c r="J2014" t="s">
        <v>653</v>
      </c>
      <c r="K2014">
        <v>5</v>
      </c>
      <c r="L2014" t="s">
        <v>44</v>
      </c>
      <c r="M2014" t="s">
        <v>45</v>
      </c>
    </row>
    <row r="2015" spans="1:13">
      <c r="A2015" t="s">
        <v>65</v>
      </c>
      <c r="B2015" t="s">
        <v>66</v>
      </c>
      <c r="C2015" t="s">
        <v>67</v>
      </c>
      <c r="D2015" t="s">
        <v>4393</v>
      </c>
      <c r="E2015">
        <v>6</v>
      </c>
      <c r="F2015" t="s">
        <v>4394</v>
      </c>
      <c r="G2015" s="10">
        <v>45286</v>
      </c>
      <c r="H2015">
        <v>34375</v>
      </c>
      <c r="I2015">
        <v>6875</v>
      </c>
      <c r="J2015" t="s">
        <v>70</v>
      </c>
      <c r="K2015">
        <v>5</v>
      </c>
      <c r="L2015" t="s">
        <v>35</v>
      </c>
      <c r="M2015" t="s">
        <v>36</v>
      </c>
    </row>
    <row r="2016" spans="1:13">
      <c r="A2016" t="s">
        <v>3726</v>
      </c>
      <c r="B2016" t="s">
        <v>1983</v>
      </c>
      <c r="C2016" t="s">
        <v>45</v>
      </c>
      <c r="D2016" t="s">
        <v>4395</v>
      </c>
      <c r="E2016">
        <v>2</v>
      </c>
      <c r="F2016" t="s">
        <v>4396</v>
      </c>
      <c r="G2016" s="10">
        <v>45282</v>
      </c>
      <c r="H2016">
        <v>38799.86</v>
      </c>
      <c r="I2016">
        <v>5466.86</v>
      </c>
      <c r="J2016" t="s">
        <v>300</v>
      </c>
      <c r="K2016">
        <v>5</v>
      </c>
      <c r="L2016" t="s">
        <v>44</v>
      </c>
      <c r="M2016" t="s">
        <v>48</v>
      </c>
    </row>
    <row r="2017" spans="1:13">
      <c r="A2017" t="s">
        <v>1044</v>
      </c>
      <c r="B2017" t="s">
        <v>93</v>
      </c>
      <c r="C2017" t="s">
        <v>94</v>
      </c>
      <c r="D2017" t="s">
        <v>4397</v>
      </c>
      <c r="E2017">
        <v>2</v>
      </c>
      <c r="F2017" t="s">
        <v>4398</v>
      </c>
      <c r="G2017" s="10">
        <v>45289</v>
      </c>
      <c r="H2017">
        <v>170000</v>
      </c>
      <c r="I2017">
        <v>5416.67</v>
      </c>
      <c r="J2017" t="s">
        <v>227</v>
      </c>
      <c r="K2017">
        <v>5</v>
      </c>
      <c r="L2017" t="s">
        <v>41</v>
      </c>
      <c r="M2017" t="s">
        <v>42</v>
      </c>
    </row>
    <row r="2018" spans="1:13">
      <c r="A2018" t="s">
        <v>297</v>
      </c>
      <c r="B2018" t="s">
        <v>179</v>
      </c>
      <c r="C2018" t="s">
        <v>45</v>
      </c>
      <c r="D2018" t="s">
        <v>4399</v>
      </c>
      <c r="E2018">
        <v>2</v>
      </c>
      <c r="F2018" t="s">
        <v>4400</v>
      </c>
      <c r="G2018" s="10">
        <v>45286</v>
      </c>
      <c r="H2018">
        <v>71166.67</v>
      </c>
      <c r="I2018">
        <v>12833.67</v>
      </c>
      <c r="J2018" t="s">
        <v>517</v>
      </c>
      <c r="K2018">
        <v>5</v>
      </c>
      <c r="L2018" t="s">
        <v>44</v>
      </c>
      <c r="M2018" t="s">
        <v>48</v>
      </c>
    </row>
    <row r="2019" spans="1:13">
      <c r="A2019" t="s">
        <v>4401</v>
      </c>
      <c r="B2019" t="s">
        <v>848</v>
      </c>
      <c r="C2019" t="s">
        <v>98</v>
      </c>
      <c r="D2019" t="s">
        <v>4402</v>
      </c>
      <c r="E2019">
        <v>1</v>
      </c>
      <c r="F2019" t="s">
        <v>4403</v>
      </c>
      <c r="G2019" s="10">
        <v>45307</v>
      </c>
      <c r="H2019">
        <v>210621.6</v>
      </c>
      <c r="I2019">
        <v>102288.6</v>
      </c>
      <c r="J2019" t="s">
        <v>744</v>
      </c>
      <c r="K2019">
        <v>5</v>
      </c>
      <c r="L2019" t="s">
        <v>24</v>
      </c>
      <c r="M2019" t="s">
        <v>31</v>
      </c>
    </row>
    <row r="2020" spans="1:13">
      <c r="A2020" t="s">
        <v>1983</v>
      </c>
      <c r="B2020" t="s">
        <v>179</v>
      </c>
      <c r="C2020" t="s">
        <v>45</v>
      </c>
      <c r="D2020" t="s">
        <v>3394</v>
      </c>
      <c r="E2020">
        <v>4</v>
      </c>
      <c r="F2020" t="s">
        <v>4404</v>
      </c>
      <c r="G2020" s="10">
        <v>45279</v>
      </c>
      <c r="H2020">
        <v>436800</v>
      </c>
      <c r="I2020">
        <v>61800</v>
      </c>
      <c r="J2020" t="s">
        <v>189</v>
      </c>
      <c r="K2020">
        <v>6</v>
      </c>
      <c r="L2020" t="s">
        <v>44</v>
      </c>
      <c r="M2020" t="s">
        <v>45</v>
      </c>
    </row>
    <row r="2021" spans="1:13">
      <c r="A2021" t="s">
        <v>190</v>
      </c>
      <c r="B2021" t="s">
        <v>160</v>
      </c>
      <c r="C2021" t="s">
        <v>67</v>
      </c>
      <c r="D2021" t="s">
        <v>4405</v>
      </c>
      <c r="E2021">
        <v>2</v>
      </c>
      <c r="F2021" t="s">
        <v>4406</v>
      </c>
      <c r="G2021" s="10">
        <v>45287</v>
      </c>
      <c r="H2021">
        <v>22420</v>
      </c>
      <c r="I2021">
        <v>3420</v>
      </c>
      <c r="J2021" t="s">
        <v>193</v>
      </c>
      <c r="K2021">
        <v>5</v>
      </c>
      <c r="L2021" t="s">
        <v>35</v>
      </c>
      <c r="M2021" t="s">
        <v>27</v>
      </c>
    </row>
    <row r="2022" spans="1:13">
      <c r="A2022" t="s">
        <v>1868</v>
      </c>
      <c r="B2022" t="s">
        <v>66</v>
      </c>
      <c r="C2022" t="s">
        <v>67</v>
      </c>
      <c r="D2022" t="s">
        <v>4407</v>
      </c>
      <c r="E2022">
        <v>6</v>
      </c>
      <c r="F2022" t="s">
        <v>4408</v>
      </c>
      <c r="G2022" s="10">
        <v>45286</v>
      </c>
      <c r="H2022">
        <v>34375</v>
      </c>
      <c r="I2022">
        <v>6875</v>
      </c>
      <c r="J2022" t="s">
        <v>70</v>
      </c>
      <c r="K2022">
        <v>5</v>
      </c>
      <c r="L2022" t="s">
        <v>35</v>
      </c>
      <c r="M2022" t="s">
        <v>36</v>
      </c>
    </row>
    <row r="2023" spans="1:13">
      <c r="A2023" t="s">
        <v>645</v>
      </c>
      <c r="B2023" t="s">
        <v>28</v>
      </c>
      <c r="C2023" t="s">
        <v>238</v>
      </c>
      <c r="D2023" t="s">
        <v>4409</v>
      </c>
      <c r="E2023">
        <v>2</v>
      </c>
      <c r="F2023" t="s">
        <v>4410</v>
      </c>
      <c r="G2023" s="10">
        <v>45301</v>
      </c>
      <c r="H2023">
        <v>124824</v>
      </c>
      <c r="I2023">
        <v>37324</v>
      </c>
      <c r="J2023" t="s">
        <v>126</v>
      </c>
      <c r="K2023">
        <v>5</v>
      </c>
      <c r="L2023" t="s">
        <v>24</v>
      </c>
      <c r="M2023" t="s">
        <v>26</v>
      </c>
    </row>
    <row r="2024" spans="1:13">
      <c r="A2024" t="s">
        <v>602</v>
      </c>
      <c r="B2024" t="s">
        <v>224</v>
      </c>
      <c r="C2024" t="s">
        <v>94</v>
      </c>
      <c r="D2024" t="s">
        <v>4411</v>
      </c>
      <c r="E2024">
        <v>2</v>
      </c>
      <c r="F2024" t="s">
        <v>4412</v>
      </c>
      <c r="G2024" s="10">
        <v>45294</v>
      </c>
      <c r="H2024">
        <v>26000</v>
      </c>
      <c r="I2024">
        <v>4000</v>
      </c>
      <c r="J2024" t="s">
        <v>227</v>
      </c>
      <c r="K2024">
        <v>6</v>
      </c>
      <c r="L2024" t="s">
        <v>41</v>
      </c>
      <c r="M2024" t="s">
        <v>42</v>
      </c>
    </row>
    <row r="2025" spans="1:13">
      <c r="A2025" t="s">
        <v>1820</v>
      </c>
      <c r="B2025" t="s">
        <v>215</v>
      </c>
      <c r="C2025" t="s">
        <v>94</v>
      </c>
      <c r="D2025" t="s">
        <v>4413</v>
      </c>
      <c r="E2025">
        <v>2</v>
      </c>
      <c r="F2025" t="s">
        <v>4414</v>
      </c>
      <c r="G2025" s="10">
        <v>45282</v>
      </c>
      <c r="H2025">
        <v>35000</v>
      </c>
      <c r="I2025">
        <v>5000</v>
      </c>
      <c r="J2025" t="s">
        <v>227</v>
      </c>
      <c r="K2025">
        <v>5</v>
      </c>
      <c r="L2025" t="s">
        <v>41</v>
      </c>
      <c r="M2025" t="s">
        <v>42</v>
      </c>
    </row>
    <row r="2026" spans="1:13">
      <c r="A2026" t="s">
        <v>4017</v>
      </c>
      <c r="B2026" t="s">
        <v>1983</v>
      </c>
      <c r="C2026" t="s">
        <v>45</v>
      </c>
      <c r="D2026" t="s">
        <v>4415</v>
      </c>
      <c r="E2026">
        <v>2</v>
      </c>
      <c r="F2026" t="s">
        <v>4416</v>
      </c>
      <c r="G2026" s="10">
        <v>45286</v>
      </c>
      <c r="H2026">
        <v>48500.1</v>
      </c>
      <c r="I2026">
        <v>6834.1</v>
      </c>
      <c r="J2026" t="s">
        <v>300</v>
      </c>
      <c r="K2026">
        <v>5</v>
      </c>
      <c r="L2026" t="s">
        <v>44</v>
      </c>
      <c r="M2026" t="s">
        <v>48</v>
      </c>
    </row>
    <row r="2027" spans="1:13">
      <c r="A2027" t="s">
        <v>261</v>
      </c>
      <c r="B2027" t="s">
        <v>160</v>
      </c>
      <c r="C2027" t="s">
        <v>67</v>
      </c>
      <c r="D2027" t="s">
        <v>4417</v>
      </c>
      <c r="E2027">
        <v>2</v>
      </c>
      <c r="F2027" t="s">
        <v>4418</v>
      </c>
      <c r="G2027" s="10">
        <v>45282</v>
      </c>
      <c r="H2027">
        <v>25000.66</v>
      </c>
      <c r="I2027">
        <v>3813.66</v>
      </c>
      <c r="J2027" t="s">
        <v>193</v>
      </c>
      <c r="K2027">
        <v>5</v>
      </c>
      <c r="L2027" t="s">
        <v>35</v>
      </c>
      <c r="M2027" t="s">
        <v>27</v>
      </c>
    </row>
    <row r="2028" spans="1:13">
      <c r="A2028" t="s">
        <v>261</v>
      </c>
      <c r="B2028" t="s">
        <v>160</v>
      </c>
      <c r="C2028" t="s">
        <v>67</v>
      </c>
      <c r="D2028" t="s">
        <v>4419</v>
      </c>
      <c r="E2028">
        <v>2</v>
      </c>
      <c r="F2028" t="s">
        <v>4420</v>
      </c>
      <c r="G2028" s="10">
        <v>45286</v>
      </c>
      <c r="H2028">
        <v>22420</v>
      </c>
      <c r="I2028">
        <v>3420</v>
      </c>
      <c r="J2028" t="s">
        <v>193</v>
      </c>
      <c r="K2028">
        <v>5</v>
      </c>
      <c r="L2028" t="s">
        <v>35</v>
      </c>
      <c r="M2028" t="s">
        <v>27</v>
      </c>
    </row>
    <row r="2029" spans="1:13">
      <c r="A2029" t="s">
        <v>251</v>
      </c>
      <c r="B2029" t="s">
        <v>160</v>
      </c>
      <c r="C2029" t="s">
        <v>67</v>
      </c>
      <c r="D2029" t="s">
        <v>4421</v>
      </c>
      <c r="E2029">
        <v>2</v>
      </c>
      <c r="F2029" t="s">
        <v>4422</v>
      </c>
      <c r="G2029" s="10">
        <v>45282</v>
      </c>
      <c r="H2029">
        <v>29500</v>
      </c>
      <c r="I2029">
        <v>4500</v>
      </c>
      <c r="J2029" t="s">
        <v>193</v>
      </c>
      <c r="K2029">
        <v>5</v>
      </c>
      <c r="L2029" t="s">
        <v>35</v>
      </c>
      <c r="M2029" t="s">
        <v>27</v>
      </c>
    </row>
    <row r="2030" spans="1:13">
      <c r="A2030" t="s">
        <v>159</v>
      </c>
      <c r="B2030" t="s">
        <v>160</v>
      </c>
      <c r="C2030" t="s">
        <v>67</v>
      </c>
      <c r="D2030" t="s">
        <v>4423</v>
      </c>
      <c r="E2030">
        <v>2</v>
      </c>
      <c r="F2030" t="s">
        <v>4424</v>
      </c>
      <c r="G2030" s="10">
        <v>45282</v>
      </c>
      <c r="H2030">
        <v>24898</v>
      </c>
      <c r="I2030">
        <v>3798</v>
      </c>
      <c r="J2030" t="s">
        <v>193</v>
      </c>
      <c r="K2030">
        <v>5</v>
      </c>
      <c r="L2030" t="s">
        <v>35</v>
      </c>
      <c r="M2030" t="s">
        <v>27</v>
      </c>
    </row>
    <row r="2031" spans="1:13">
      <c r="A2031" t="s">
        <v>190</v>
      </c>
      <c r="B2031" t="s">
        <v>160</v>
      </c>
      <c r="C2031" t="s">
        <v>67</v>
      </c>
      <c r="D2031" t="s">
        <v>4425</v>
      </c>
      <c r="E2031">
        <v>2</v>
      </c>
      <c r="F2031" t="s">
        <v>4426</v>
      </c>
      <c r="G2031" s="10">
        <v>45282</v>
      </c>
      <c r="H2031">
        <v>22420</v>
      </c>
      <c r="I2031">
        <v>3420</v>
      </c>
      <c r="J2031" t="s">
        <v>193</v>
      </c>
      <c r="K2031">
        <v>5</v>
      </c>
      <c r="L2031" t="s">
        <v>35</v>
      </c>
      <c r="M2031" t="s">
        <v>27</v>
      </c>
    </row>
    <row r="2032" spans="1:13">
      <c r="A2032" t="s">
        <v>1868</v>
      </c>
      <c r="B2032" t="s">
        <v>66</v>
      </c>
      <c r="C2032" t="s">
        <v>67</v>
      </c>
      <c r="D2032" t="s">
        <v>4427</v>
      </c>
      <c r="E2032">
        <v>6</v>
      </c>
      <c r="F2032" t="s">
        <v>4428</v>
      </c>
      <c r="G2032" s="10">
        <v>45286</v>
      </c>
      <c r="H2032">
        <v>34375</v>
      </c>
      <c r="I2032">
        <v>6875</v>
      </c>
      <c r="J2032" t="s">
        <v>70</v>
      </c>
      <c r="K2032">
        <v>6</v>
      </c>
      <c r="L2032" t="s">
        <v>35</v>
      </c>
      <c r="M2032" t="s">
        <v>36</v>
      </c>
    </row>
    <row r="2033" spans="1:13">
      <c r="A2033" t="s">
        <v>522</v>
      </c>
      <c r="B2033" t="s">
        <v>72</v>
      </c>
      <c r="C2033" t="s">
        <v>67</v>
      </c>
      <c r="D2033" t="s">
        <v>4429</v>
      </c>
      <c r="E2033">
        <v>1</v>
      </c>
      <c r="F2033" t="s">
        <v>4430</v>
      </c>
      <c r="G2033" s="10">
        <v>45315</v>
      </c>
      <c r="H2033">
        <v>45517</v>
      </c>
      <c r="I2033">
        <v>8017</v>
      </c>
      <c r="J2033" t="s">
        <v>75</v>
      </c>
      <c r="K2033">
        <v>6</v>
      </c>
      <c r="L2033" t="s">
        <v>35</v>
      </c>
      <c r="M2033" t="s">
        <v>29</v>
      </c>
    </row>
    <row r="2034" spans="1:13">
      <c r="A2034" t="s">
        <v>431</v>
      </c>
      <c r="B2034" t="s">
        <v>160</v>
      </c>
      <c r="C2034" t="s">
        <v>67</v>
      </c>
      <c r="D2034" t="s">
        <v>4431</v>
      </c>
      <c r="E2034">
        <v>2</v>
      </c>
      <c r="F2034" t="s">
        <v>4432</v>
      </c>
      <c r="G2034" s="10">
        <v>45294</v>
      </c>
      <c r="H2034">
        <v>22420</v>
      </c>
      <c r="I2034">
        <v>3420</v>
      </c>
      <c r="J2034" t="s">
        <v>193</v>
      </c>
      <c r="K2034">
        <v>5</v>
      </c>
      <c r="L2034" t="s">
        <v>35</v>
      </c>
      <c r="M2034" t="s">
        <v>27</v>
      </c>
    </row>
    <row r="2035" spans="1:13">
      <c r="A2035" t="s">
        <v>4017</v>
      </c>
      <c r="B2035" t="s">
        <v>1983</v>
      </c>
      <c r="C2035" t="s">
        <v>45</v>
      </c>
      <c r="D2035" t="s">
        <v>4433</v>
      </c>
      <c r="E2035">
        <v>2</v>
      </c>
      <c r="F2035" t="s">
        <v>4434</v>
      </c>
      <c r="G2035" s="10">
        <v>45288</v>
      </c>
      <c r="H2035">
        <v>225000</v>
      </c>
      <c r="I2035">
        <v>75000</v>
      </c>
      <c r="J2035" t="s">
        <v>884</v>
      </c>
      <c r="K2035">
        <v>5</v>
      </c>
      <c r="L2035" t="s">
        <v>44</v>
      </c>
      <c r="M2035" t="s">
        <v>45</v>
      </c>
    </row>
    <row r="2036" spans="1:13">
      <c r="A2036" t="s">
        <v>190</v>
      </c>
      <c r="B2036" t="s">
        <v>160</v>
      </c>
      <c r="C2036" t="s">
        <v>67</v>
      </c>
      <c r="D2036" t="s">
        <v>4435</v>
      </c>
      <c r="E2036">
        <v>2</v>
      </c>
      <c r="F2036" t="s">
        <v>4436</v>
      </c>
      <c r="G2036" s="10">
        <v>45287</v>
      </c>
      <c r="H2036">
        <v>22420</v>
      </c>
      <c r="I2036">
        <v>3420</v>
      </c>
      <c r="J2036" t="s">
        <v>193</v>
      </c>
      <c r="K2036">
        <v>5</v>
      </c>
      <c r="L2036" t="s">
        <v>35</v>
      </c>
      <c r="M2036" t="s">
        <v>27</v>
      </c>
    </row>
    <row r="2037" spans="1:13">
      <c r="A2037" t="s">
        <v>190</v>
      </c>
      <c r="B2037" t="s">
        <v>160</v>
      </c>
      <c r="C2037" t="s">
        <v>67</v>
      </c>
      <c r="D2037" t="s">
        <v>4437</v>
      </c>
      <c r="E2037">
        <v>2</v>
      </c>
      <c r="F2037" t="s">
        <v>4438</v>
      </c>
      <c r="G2037" s="10">
        <v>45287</v>
      </c>
      <c r="H2037">
        <v>22420</v>
      </c>
      <c r="I2037">
        <v>3420</v>
      </c>
      <c r="J2037" t="s">
        <v>193</v>
      </c>
      <c r="K2037">
        <v>6</v>
      </c>
      <c r="L2037" t="s">
        <v>35</v>
      </c>
      <c r="M2037" t="s">
        <v>27</v>
      </c>
    </row>
    <row r="2038" spans="1:13">
      <c r="A2038" t="s">
        <v>261</v>
      </c>
      <c r="B2038" t="s">
        <v>160</v>
      </c>
      <c r="C2038" t="s">
        <v>67</v>
      </c>
      <c r="D2038" t="s">
        <v>4439</v>
      </c>
      <c r="E2038">
        <v>2</v>
      </c>
      <c r="F2038" t="s">
        <v>4440</v>
      </c>
      <c r="G2038" s="10">
        <v>45288</v>
      </c>
      <c r="H2038">
        <v>22420</v>
      </c>
      <c r="I2038">
        <v>3420</v>
      </c>
      <c r="J2038" t="s">
        <v>193</v>
      </c>
      <c r="K2038">
        <v>5</v>
      </c>
      <c r="L2038" t="s">
        <v>35</v>
      </c>
      <c r="M2038" t="s">
        <v>27</v>
      </c>
    </row>
    <row r="2039" spans="1:13">
      <c r="A2039" t="s">
        <v>628</v>
      </c>
      <c r="B2039" t="s">
        <v>66</v>
      </c>
      <c r="C2039" t="s">
        <v>67</v>
      </c>
      <c r="D2039" t="s">
        <v>4441</v>
      </c>
      <c r="E2039">
        <v>2</v>
      </c>
      <c r="F2039" t="s">
        <v>4442</v>
      </c>
      <c r="G2039" s="10">
        <v>45293</v>
      </c>
      <c r="H2039">
        <v>65000</v>
      </c>
      <c r="I2039">
        <v>15000</v>
      </c>
      <c r="J2039" t="s">
        <v>163</v>
      </c>
      <c r="K2039">
        <v>5</v>
      </c>
      <c r="L2039" t="s">
        <v>35</v>
      </c>
      <c r="M2039" t="s">
        <v>27</v>
      </c>
    </row>
    <row r="2040" spans="1:13">
      <c r="A2040" t="s">
        <v>140</v>
      </c>
      <c r="B2040" t="s">
        <v>141</v>
      </c>
      <c r="C2040" t="s">
        <v>67</v>
      </c>
      <c r="D2040" t="s">
        <v>4443</v>
      </c>
      <c r="E2040">
        <v>2</v>
      </c>
      <c r="F2040" t="s">
        <v>4444</v>
      </c>
      <c r="G2040" s="10">
        <v>45286</v>
      </c>
      <c r="H2040">
        <v>29500</v>
      </c>
      <c r="I2040">
        <v>4500</v>
      </c>
      <c r="J2040" t="s">
        <v>193</v>
      </c>
      <c r="K2040">
        <v>5</v>
      </c>
      <c r="L2040" t="s">
        <v>35</v>
      </c>
      <c r="M2040" t="s">
        <v>27</v>
      </c>
    </row>
    <row r="2041" spans="1:13">
      <c r="A2041" t="s">
        <v>522</v>
      </c>
      <c r="B2041" t="s">
        <v>72</v>
      </c>
      <c r="C2041" t="s">
        <v>67</v>
      </c>
      <c r="D2041" t="s">
        <v>4445</v>
      </c>
      <c r="E2041">
        <v>1</v>
      </c>
      <c r="F2041" t="s">
        <v>4446</v>
      </c>
      <c r="G2041" s="10">
        <v>45299</v>
      </c>
      <c r="H2041">
        <v>45517</v>
      </c>
      <c r="I2041">
        <v>8017</v>
      </c>
      <c r="J2041" t="s">
        <v>75</v>
      </c>
      <c r="K2041">
        <v>5</v>
      </c>
      <c r="L2041" t="s">
        <v>35</v>
      </c>
      <c r="M2041" t="s">
        <v>29</v>
      </c>
    </row>
    <row r="2042" spans="1:13">
      <c r="A2042" t="s">
        <v>130</v>
      </c>
      <c r="B2042" t="s">
        <v>82</v>
      </c>
      <c r="C2042" t="s">
        <v>28</v>
      </c>
      <c r="D2042" t="s">
        <v>4447</v>
      </c>
      <c r="E2042">
        <v>2</v>
      </c>
      <c r="F2042" t="s">
        <v>4448</v>
      </c>
      <c r="G2042" s="10">
        <v>45293</v>
      </c>
      <c r="H2042">
        <v>121464</v>
      </c>
      <c r="I2042">
        <v>36464</v>
      </c>
      <c r="J2042" t="s">
        <v>126</v>
      </c>
      <c r="K2042">
        <v>5</v>
      </c>
      <c r="L2042" t="s">
        <v>24</v>
      </c>
      <c r="M2042" t="s">
        <v>26</v>
      </c>
    </row>
    <row r="2043" spans="1:13">
      <c r="A2043" t="s">
        <v>4449</v>
      </c>
      <c r="B2043" t="s">
        <v>160</v>
      </c>
      <c r="C2043" t="s">
        <v>67</v>
      </c>
      <c r="D2043" t="s">
        <v>4450</v>
      </c>
      <c r="E2043">
        <v>2</v>
      </c>
      <c r="F2043" t="s">
        <v>4451</v>
      </c>
      <c r="G2043" s="10">
        <v>45287</v>
      </c>
      <c r="H2043">
        <v>22420</v>
      </c>
      <c r="I2043">
        <v>3420</v>
      </c>
      <c r="J2043" t="s">
        <v>193</v>
      </c>
      <c r="K2043">
        <v>6</v>
      </c>
      <c r="L2043" t="s">
        <v>35</v>
      </c>
      <c r="M2043" t="s">
        <v>27</v>
      </c>
    </row>
    <row r="2044" spans="1:13">
      <c r="A2044" t="s">
        <v>140</v>
      </c>
      <c r="B2044" t="s">
        <v>141</v>
      </c>
      <c r="C2044" t="s">
        <v>67</v>
      </c>
      <c r="D2044" t="s">
        <v>4452</v>
      </c>
      <c r="E2044">
        <v>1</v>
      </c>
      <c r="F2044" t="s">
        <v>4453</v>
      </c>
      <c r="G2044" s="10">
        <v>45292</v>
      </c>
      <c r="H2044">
        <v>70308</v>
      </c>
      <c r="I2044">
        <v>21014</v>
      </c>
      <c r="J2044" t="s">
        <v>144</v>
      </c>
      <c r="K2044">
        <v>5</v>
      </c>
      <c r="L2044" t="s">
        <v>38</v>
      </c>
      <c r="M2044" t="s">
        <v>25</v>
      </c>
    </row>
    <row r="2045" spans="1:13">
      <c r="A2045" t="s">
        <v>1193</v>
      </c>
      <c r="B2045" t="s">
        <v>141</v>
      </c>
      <c r="C2045" t="s">
        <v>67</v>
      </c>
      <c r="D2045" t="s">
        <v>4454</v>
      </c>
      <c r="E2045">
        <v>1</v>
      </c>
      <c r="F2045" t="s">
        <v>4455</v>
      </c>
      <c r="G2045" s="10">
        <v>45292</v>
      </c>
      <c r="H2045">
        <v>70308</v>
      </c>
      <c r="I2045">
        <v>12003</v>
      </c>
      <c r="J2045" t="s">
        <v>144</v>
      </c>
      <c r="K2045">
        <v>5</v>
      </c>
      <c r="L2045" t="s">
        <v>38</v>
      </c>
      <c r="M2045" t="s">
        <v>25</v>
      </c>
    </row>
    <row r="2046" spans="1:13">
      <c r="A2046" t="s">
        <v>140</v>
      </c>
      <c r="B2046" t="s">
        <v>141</v>
      </c>
      <c r="C2046" t="s">
        <v>67</v>
      </c>
      <c r="D2046" t="s">
        <v>4456</v>
      </c>
      <c r="E2046">
        <v>1</v>
      </c>
      <c r="F2046" t="s">
        <v>4457</v>
      </c>
      <c r="G2046" s="10">
        <v>45295</v>
      </c>
      <c r="H2046">
        <v>39900</v>
      </c>
      <c r="I2046">
        <v>8234</v>
      </c>
      <c r="J2046" t="s">
        <v>144</v>
      </c>
      <c r="K2046">
        <v>5</v>
      </c>
      <c r="L2046" t="s">
        <v>38</v>
      </c>
      <c r="M2046" t="s">
        <v>25</v>
      </c>
    </row>
    <row r="2047" spans="1:13">
      <c r="A2047" t="s">
        <v>178</v>
      </c>
      <c r="B2047" t="s">
        <v>179</v>
      </c>
      <c r="C2047" t="s">
        <v>45</v>
      </c>
      <c r="D2047" t="s">
        <v>4458</v>
      </c>
      <c r="E2047">
        <v>4</v>
      </c>
      <c r="F2047" t="s">
        <v>4459</v>
      </c>
      <c r="G2047" s="10">
        <v>45287</v>
      </c>
      <c r="H2047">
        <v>225000</v>
      </c>
      <c r="I2047">
        <v>50000</v>
      </c>
      <c r="J2047" t="s">
        <v>714</v>
      </c>
      <c r="K2047">
        <v>6</v>
      </c>
      <c r="L2047" t="s">
        <v>44</v>
      </c>
      <c r="M2047" t="s">
        <v>45</v>
      </c>
    </row>
    <row r="2048" spans="1:13">
      <c r="A2048" t="s">
        <v>4017</v>
      </c>
      <c r="B2048" t="s">
        <v>1983</v>
      </c>
      <c r="C2048" t="s">
        <v>45</v>
      </c>
      <c r="D2048" t="s">
        <v>4460</v>
      </c>
      <c r="E2048">
        <v>1</v>
      </c>
      <c r="F2048" t="s">
        <v>4461</v>
      </c>
      <c r="G2048" s="10">
        <v>45288</v>
      </c>
      <c r="H2048">
        <v>340583.33</v>
      </c>
      <c r="I2048">
        <v>61417.33</v>
      </c>
      <c r="J2048" t="s">
        <v>517</v>
      </c>
      <c r="K2048">
        <v>5</v>
      </c>
      <c r="L2048" t="s">
        <v>44</v>
      </c>
      <c r="M2048" t="s">
        <v>48</v>
      </c>
    </row>
    <row r="2049" spans="1:13">
      <c r="A2049" t="s">
        <v>251</v>
      </c>
      <c r="B2049" t="s">
        <v>160</v>
      </c>
      <c r="C2049" t="s">
        <v>67</v>
      </c>
      <c r="D2049" t="s">
        <v>4462</v>
      </c>
      <c r="E2049">
        <v>2</v>
      </c>
      <c r="F2049" t="s">
        <v>4463</v>
      </c>
      <c r="G2049" s="10">
        <v>45288</v>
      </c>
      <c r="H2049">
        <v>22420</v>
      </c>
      <c r="I2049">
        <v>3420</v>
      </c>
      <c r="J2049" t="s">
        <v>193</v>
      </c>
      <c r="K2049">
        <v>5</v>
      </c>
      <c r="L2049" t="s">
        <v>35</v>
      </c>
      <c r="M2049" t="s">
        <v>27</v>
      </c>
    </row>
    <row r="2050" spans="1:13">
      <c r="A2050" t="s">
        <v>319</v>
      </c>
      <c r="B2050" t="s">
        <v>179</v>
      </c>
      <c r="C2050" t="s">
        <v>45</v>
      </c>
      <c r="D2050" t="s">
        <v>4464</v>
      </c>
      <c r="E2050">
        <v>2</v>
      </c>
      <c r="F2050" t="s">
        <v>4465</v>
      </c>
      <c r="G2050" s="10">
        <v>45093</v>
      </c>
      <c r="H2050">
        <v>483000</v>
      </c>
      <c r="I2050">
        <v>116334</v>
      </c>
      <c r="J2050" t="s">
        <v>4196</v>
      </c>
      <c r="K2050">
        <v>6</v>
      </c>
      <c r="L2050" t="s">
        <v>44</v>
      </c>
      <c r="M2050" t="s">
        <v>48</v>
      </c>
    </row>
    <row r="2051" spans="1:13">
      <c r="A2051" t="s">
        <v>984</v>
      </c>
      <c r="B2051" t="s">
        <v>28</v>
      </c>
      <c r="C2051" t="s">
        <v>238</v>
      </c>
      <c r="D2051" t="s">
        <v>4466</v>
      </c>
      <c r="E2051">
        <v>2</v>
      </c>
      <c r="F2051" t="s">
        <v>4467</v>
      </c>
      <c r="G2051" s="10">
        <v>45309</v>
      </c>
      <c r="H2051">
        <v>92400</v>
      </c>
      <c r="I2051">
        <v>34067</v>
      </c>
      <c r="J2051" t="s">
        <v>126</v>
      </c>
      <c r="K2051">
        <v>5</v>
      </c>
      <c r="L2051" t="s">
        <v>24</v>
      </c>
      <c r="M2051" t="s">
        <v>26</v>
      </c>
    </row>
    <row r="2052" spans="1:13">
      <c r="A2052" t="s">
        <v>1868</v>
      </c>
      <c r="B2052" t="s">
        <v>66</v>
      </c>
      <c r="C2052" t="s">
        <v>67</v>
      </c>
      <c r="D2052" t="s">
        <v>4468</v>
      </c>
      <c r="E2052">
        <v>6</v>
      </c>
      <c r="F2052" t="s">
        <v>4469</v>
      </c>
      <c r="G2052" s="10">
        <v>45293</v>
      </c>
      <c r="H2052">
        <v>34375</v>
      </c>
      <c r="I2052">
        <v>6875</v>
      </c>
      <c r="J2052" t="s">
        <v>70</v>
      </c>
      <c r="K2052">
        <v>5</v>
      </c>
      <c r="L2052" t="s">
        <v>35</v>
      </c>
      <c r="M2052" t="s">
        <v>36</v>
      </c>
    </row>
    <row r="2053" spans="1:13">
      <c r="A2053" t="s">
        <v>3284</v>
      </c>
      <c r="B2053" t="s">
        <v>160</v>
      </c>
      <c r="C2053" t="s">
        <v>67</v>
      </c>
      <c r="D2053" t="s">
        <v>4470</v>
      </c>
      <c r="E2053">
        <v>2</v>
      </c>
      <c r="F2053" t="s">
        <v>4471</v>
      </c>
      <c r="G2053" s="10">
        <v>45299</v>
      </c>
      <c r="H2053">
        <v>65000</v>
      </c>
      <c r="I2053">
        <v>15000</v>
      </c>
      <c r="J2053" t="s">
        <v>163</v>
      </c>
      <c r="K2053">
        <v>5</v>
      </c>
      <c r="L2053" t="s">
        <v>35</v>
      </c>
      <c r="M2053" t="s">
        <v>27</v>
      </c>
    </row>
    <row r="2054" spans="1:13">
      <c r="A2054" t="s">
        <v>136</v>
      </c>
      <c r="B2054" t="s">
        <v>117</v>
      </c>
      <c r="C2054" t="s">
        <v>137</v>
      </c>
      <c r="D2054" t="s">
        <v>4472</v>
      </c>
      <c r="E2054">
        <v>4</v>
      </c>
      <c r="F2054" t="s">
        <v>4473</v>
      </c>
      <c r="G2054" s="10">
        <v>45301</v>
      </c>
      <c r="H2054">
        <v>251231.53</v>
      </c>
      <c r="I2054">
        <v>51231.53</v>
      </c>
      <c r="J2054" t="s">
        <v>121</v>
      </c>
      <c r="K2054">
        <v>5</v>
      </c>
      <c r="L2054" t="s">
        <v>24</v>
      </c>
      <c r="M2054" t="s">
        <v>30</v>
      </c>
    </row>
    <row r="2055" spans="1:13">
      <c r="A2055" t="s">
        <v>4308</v>
      </c>
      <c r="B2055" t="s">
        <v>916</v>
      </c>
      <c r="C2055" t="s">
        <v>51</v>
      </c>
      <c r="D2055" t="s">
        <v>4474</v>
      </c>
      <c r="E2055">
        <v>2</v>
      </c>
      <c r="F2055" t="s">
        <v>4475</v>
      </c>
      <c r="G2055" s="10">
        <v>45294</v>
      </c>
      <c r="H2055">
        <v>229910</v>
      </c>
      <c r="I2055">
        <v>67410</v>
      </c>
      <c r="J2055" t="s">
        <v>4311</v>
      </c>
      <c r="K2055">
        <v>5</v>
      </c>
      <c r="L2055" t="s">
        <v>44</v>
      </c>
      <c r="M2055" t="s">
        <v>49</v>
      </c>
    </row>
    <row r="2056" spans="1:13">
      <c r="A2056" t="s">
        <v>661</v>
      </c>
      <c r="B2056" t="s">
        <v>179</v>
      </c>
      <c r="C2056" t="s">
        <v>45</v>
      </c>
      <c r="D2056" t="s">
        <v>4476</v>
      </c>
      <c r="E2056">
        <v>2</v>
      </c>
      <c r="F2056" t="s">
        <v>4477</v>
      </c>
      <c r="G2056" s="10">
        <v>45293</v>
      </c>
      <c r="H2056">
        <v>336000</v>
      </c>
      <c r="I2056">
        <v>177667</v>
      </c>
      <c r="J2056" t="s">
        <v>189</v>
      </c>
      <c r="K2056">
        <v>6</v>
      </c>
      <c r="L2056" t="s">
        <v>44</v>
      </c>
      <c r="M2056" t="s">
        <v>45</v>
      </c>
    </row>
    <row r="2057" spans="1:13">
      <c r="A2057" t="s">
        <v>661</v>
      </c>
      <c r="B2057" t="s">
        <v>179</v>
      </c>
      <c r="C2057" t="s">
        <v>45</v>
      </c>
      <c r="D2057" t="s">
        <v>4478</v>
      </c>
      <c r="E2057">
        <v>4</v>
      </c>
      <c r="F2057" t="s">
        <v>4479</v>
      </c>
      <c r="G2057" s="10">
        <v>45288</v>
      </c>
      <c r="H2057">
        <v>436000</v>
      </c>
      <c r="I2057">
        <v>102666.67</v>
      </c>
      <c r="J2057" t="s">
        <v>189</v>
      </c>
      <c r="K2057">
        <v>5</v>
      </c>
      <c r="L2057" t="s">
        <v>44</v>
      </c>
      <c r="M2057" t="s">
        <v>45</v>
      </c>
    </row>
    <row r="2058" spans="1:13">
      <c r="A2058" t="s">
        <v>4303</v>
      </c>
      <c r="B2058" t="s">
        <v>1983</v>
      </c>
      <c r="C2058" t="s">
        <v>45</v>
      </c>
      <c r="D2058" t="s">
        <v>4480</v>
      </c>
      <c r="E2058">
        <v>2</v>
      </c>
      <c r="F2058" t="s">
        <v>4481</v>
      </c>
      <c r="G2058" s="10">
        <v>45289</v>
      </c>
      <c r="H2058">
        <v>48800</v>
      </c>
      <c r="I2058">
        <v>8800</v>
      </c>
      <c r="J2058" t="s">
        <v>517</v>
      </c>
      <c r="K2058">
        <v>5</v>
      </c>
      <c r="L2058" t="s">
        <v>44</v>
      </c>
      <c r="M2058" t="s">
        <v>48</v>
      </c>
    </row>
    <row r="2059" spans="1:13">
      <c r="A2059" t="s">
        <v>194</v>
      </c>
      <c r="B2059" t="s">
        <v>160</v>
      </c>
      <c r="C2059" t="s">
        <v>67</v>
      </c>
      <c r="D2059" t="s">
        <v>4482</v>
      </c>
      <c r="E2059">
        <v>2</v>
      </c>
      <c r="F2059" t="s">
        <v>4483</v>
      </c>
      <c r="G2059" s="10">
        <v>45289</v>
      </c>
      <c r="H2059">
        <v>45750</v>
      </c>
      <c r="I2059">
        <v>8250</v>
      </c>
      <c r="J2059" t="s">
        <v>517</v>
      </c>
      <c r="K2059">
        <v>5</v>
      </c>
      <c r="L2059" t="s">
        <v>44</v>
      </c>
      <c r="M2059" t="s">
        <v>48</v>
      </c>
    </row>
    <row r="2060" spans="1:13">
      <c r="A2060" t="s">
        <v>3284</v>
      </c>
      <c r="B2060" t="s">
        <v>160</v>
      </c>
      <c r="C2060" t="s">
        <v>67</v>
      </c>
      <c r="D2060" t="s">
        <v>4484</v>
      </c>
      <c r="E2060">
        <v>2</v>
      </c>
      <c r="F2060" t="s">
        <v>4485</v>
      </c>
      <c r="G2060" s="10">
        <v>45293</v>
      </c>
      <c r="H2060">
        <v>65000</v>
      </c>
      <c r="I2060">
        <v>15000</v>
      </c>
      <c r="J2060" t="s">
        <v>163</v>
      </c>
      <c r="K2060">
        <v>5</v>
      </c>
      <c r="L2060" t="s">
        <v>35</v>
      </c>
      <c r="M2060" t="s">
        <v>27</v>
      </c>
    </row>
    <row r="2061" spans="1:13">
      <c r="A2061" t="s">
        <v>194</v>
      </c>
      <c r="B2061" t="s">
        <v>160</v>
      </c>
      <c r="C2061" t="s">
        <v>67</v>
      </c>
      <c r="D2061" t="s">
        <v>4486</v>
      </c>
      <c r="E2061">
        <v>2</v>
      </c>
      <c r="F2061" t="s">
        <v>4487</v>
      </c>
      <c r="G2061" s="10">
        <v>45289</v>
      </c>
      <c r="H2061">
        <v>65000</v>
      </c>
      <c r="I2061">
        <v>15000</v>
      </c>
      <c r="J2061" t="s">
        <v>163</v>
      </c>
      <c r="K2061">
        <v>5</v>
      </c>
      <c r="L2061" t="s">
        <v>35</v>
      </c>
      <c r="M2061" t="s">
        <v>27</v>
      </c>
    </row>
    <row r="2062" spans="1:13">
      <c r="A2062" t="s">
        <v>4034</v>
      </c>
      <c r="B2062" t="s">
        <v>1030</v>
      </c>
      <c r="C2062" t="s">
        <v>94</v>
      </c>
      <c r="D2062" t="s">
        <v>4488</v>
      </c>
      <c r="E2062">
        <v>2</v>
      </c>
      <c r="F2062" t="s">
        <v>4489</v>
      </c>
      <c r="G2062" s="10">
        <v>45301</v>
      </c>
      <c r="H2062">
        <v>168000</v>
      </c>
      <c r="I2062">
        <v>59666.67</v>
      </c>
      <c r="J2062" t="s">
        <v>97</v>
      </c>
      <c r="K2062">
        <v>5</v>
      </c>
      <c r="L2062" t="s">
        <v>41</v>
      </c>
      <c r="M2062" t="s">
        <v>42</v>
      </c>
    </row>
    <row r="2063" spans="1:13">
      <c r="A2063" t="s">
        <v>194</v>
      </c>
      <c r="B2063" t="s">
        <v>160</v>
      </c>
      <c r="C2063" t="s">
        <v>67</v>
      </c>
      <c r="D2063" t="s">
        <v>4490</v>
      </c>
      <c r="E2063">
        <v>2</v>
      </c>
      <c r="F2063" t="s">
        <v>4491</v>
      </c>
      <c r="G2063" s="10">
        <v>45301</v>
      </c>
      <c r="H2063">
        <v>65000</v>
      </c>
      <c r="I2063">
        <v>15000</v>
      </c>
      <c r="J2063" t="s">
        <v>163</v>
      </c>
      <c r="K2063">
        <v>6</v>
      </c>
      <c r="L2063" t="s">
        <v>35</v>
      </c>
      <c r="M2063" t="s">
        <v>27</v>
      </c>
    </row>
    <row r="2064" spans="1:13">
      <c r="A2064" t="s">
        <v>3874</v>
      </c>
      <c r="B2064" t="s">
        <v>179</v>
      </c>
      <c r="C2064" t="s">
        <v>45</v>
      </c>
      <c r="D2064" t="s">
        <v>4492</v>
      </c>
      <c r="E2064">
        <v>2</v>
      </c>
      <c r="F2064" t="s">
        <v>4493</v>
      </c>
      <c r="G2064" s="10">
        <v>45289</v>
      </c>
      <c r="H2064">
        <v>279617.52</v>
      </c>
      <c r="I2064">
        <v>104617.52</v>
      </c>
      <c r="J2064" t="s">
        <v>2077</v>
      </c>
      <c r="K2064">
        <v>6</v>
      </c>
      <c r="L2064" t="s">
        <v>44</v>
      </c>
      <c r="M2064" t="s">
        <v>45</v>
      </c>
    </row>
    <row r="2065" spans="1:13">
      <c r="A2065" t="s">
        <v>361</v>
      </c>
      <c r="B2065" t="s">
        <v>72</v>
      </c>
      <c r="C2065" t="s">
        <v>67</v>
      </c>
      <c r="D2065" t="s">
        <v>4494</v>
      </c>
      <c r="E2065">
        <v>1</v>
      </c>
      <c r="F2065" t="s">
        <v>4495</v>
      </c>
      <c r="G2065" s="10">
        <v>45299</v>
      </c>
      <c r="H2065">
        <v>45517</v>
      </c>
      <c r="I2065">
        <v>6350.33</v>
      </c>
      <c r="J2065" t="s">
        <v>75</v>
      </c>
      <c r="K2065">
        <v>5</v>
      </c>
      <c r="L2065" t="s">
        <v>35</v>
      </c>
      <c r="M2065" t="s">
        <v>29</v>
      </c>
    </row>
    <row r="2066" spans="1:13">
      <c r="A2066" t="s">
        <v>4133</v>
      </c>
      <c r="B2066" t="s">
        <v>215</v>
      </c>
      <c r="C2066" t="s">
        <v>94</v>
      </c>
      <c r="D2066" t="s">
        <v>4496</v>
      </c>
      <c r="E2066">
        <v>2</v>
      </c>
      <c r="F2066" t="s">
        <v>4497</v>
      </c>
      <c r="G2066" s="10">
        <v>45328</v>
      </c>
      <c r="H2066">
        <v>120000</v>
      </c>
      <c r="I2066">
        <v>40833.33</v>
      </c>
      <c r="J2066" t="s">
        <v>227</v>
      </c>
      <c r="K2066">
        <v>5</v>
      </c>
      <c r="L2066" t="s">
        <v>41</v>
      </c>
      <c r="M2066" t="s">
        <v>42</v>
      </c>
    </row>
    <row r="2067" spans="1:13">
      <c r="A2067" t="s">
        <v>261</v>
      </c>
      <c r="B2067" t="s">
        <v>160</v>
      </c>
      <c r="C2067" t="s">
        <v>67</v>
      </c>
      <c r="D2067" t="s">
        <v>4498</v>
      </c>
      <c r="E2067">
        <v>2</v>
      </c>
      <c r="F2067" t="s">
        <v>4499</v>
      </c>
      <c r="G2067" s="10">
        <v>45295</v>
      </c>
      <c r="H2067">
        <v>22420</v>
      </c>
      <c r="I2067">
        <v>3420</v>
      </c>
      <c r="J2067" t="s">
        <v>193</v>
      </c>
      <c r="K2067">
        <v>5</v>
      </c>
      <c r="L2067" t="s">
        <v>35</v>
      </c>
      <c r="M2067" t="s">
        <v>27</v>
      </c>
    </row>
    <row r="2068" spans="1:13">
      <c r="A2068" t="s">
        <v>197</v>
      </c>
      <c r="B2068" t="s">
        <v>160</v>
      </c>
      <c r="C2068" t="s">
        <v>67</v>
      </c>
      <c r="D2068" t="s">
        <v>4500</v>
      </c>
      <c r="E2068">
        <v>2</v>
      </c>
      <c r="F2068" t="s">
        <v>4501</v>
      </c>
      <c r="G2068" s="10">
        <v>45296</v>
      </c>
      <c r="H2068">
        <v>29500</v>
      </c>
      <c r="I2068">
        <v>4500</v>
      </c>
      <c r="J2068" t="s">
        <v>193</v>
      </c>
      <c r="K2068">
        <v>5</v>
      </c>
      <c r="L2068" t="s">
        <v>35</v>
      </c>
      <c r="M2068" t="s">
        <v>27</v>
      </c>
    </row>
    <row r="2069" spans="1:13">
      <c r="A2069" t="s">
        <v>1228</v>
      </c>
      <c r="B2069" t="s">
        <v>224</v>
      </c>
      <c r="C2069" t="s">
        <v>94</v>
      </c>
      <c r="D2069" t="s">
        <v>4502</v>
      </c>
      <c r="E2069">
        <v>2</v>
      </c>
      <c r="F2069" t="s">
        <v>4503</v>
      </c>
      <c r="G2069" s="10">
        <v>45296</v>
      </c>
      <c r="H2069">
        <v>122917</v>
      </c>
      <c r="I2069">
        <v>18751</v>
      </c>
      <c r="J2069" t="s">
        <v>3844</v>
      </c>
      <c r="K2069">
        <v>5</v>
      </c>
      <c r="L2069" t="s">
        <v>41</v>
      </c>
      <c r="M2069" t="s">
        <v>41</v>
      </c>
    </row>
    <row r="2070" spans="1:13">
      <c r="A2070" t="s">
        <v>256</v>
      </c>
      <c r="B2070" t="s">
        <v>160</v>
      </c>
      <c r="C2070" t="s">
        <v>67</v>
      </c>
      <c r="D2070" t="s">
        <v>4504</v>
      </c>
      <c r="E2070">
        <v>2</v>
      </c>
      <c r="F2070" t="s">
        <v>4505</v>
      </c>
      <c r="G2070" s="10">
        <v>45295</v>
      </c>
      <c r="H2070">
        <v>41300</v>
      </c>
      <c r="I2070">
        <v>6300</v>
      </c>
      <c r="J2070" t="s">
        <v>193</v>
      </c>
      <c r="K2070">
        <v>5</v>
      </c>
      <c r="L2070" t="s">
        <v>35</v>
      </c>
      <c r="M2070" t="s">
        <v>27</v>
      </c>
    </row>
    <row r="2071" spans="1:13">
      <c r="A2071" t="s">
        <v>676</v>
      </c>
      <c r="B2071" t="s">
        <v>28</v>
      </c>
      <c r="C2071" t="s">
        <v>238</v>
      </c>
      <c r="D2071" t="s">
        <v>4506</v>
      </c>
      <c r="E2071">
        <v>2</v>
      </c>
      <c r="F2071" t="s">
        <v>4507</v>
      </c>
      <c r="G2071" s="10">
        <v>45296</v>
      </c>
      <c r="H2071">
        <v>105504</v>
      </c>
      <c r="I2071">
        <v>26338</v>
      </c>
      <c r="J2071" t="s">
        <v>126</v>
      </c>
      <c r="K2071">
        <v>5</v>
      </c>
      <c r="L2071" t="s">
        <v>24</v>
      </c>
      <c r="M2071" t="s">
        <v>26</v>
      </c>
    </row>
    <row r="2072" spans="1:13">
      <c r="A2072" t="s">
        <v>194</v>
      </c>
      <c r="B2072" t="s">
        <v>160</v>
      </c>
      <c r="C2072" t="s">
        <v>67</v>
      </c>
      <c r="D2072" t="s">
        <v>4508</v>
      </c>
      <c r="E2072">
        <v>2</v>
      </c>
      <c r="F2072" t="s">
        <v>4509</v>
      </c>
      <c r="G2072" s="10">
        <v>45295</v>
      </c>
      <c r="H2072">
        <v>23600</v>
      </c>
      <c r="I2072">
        <v>3600</v>
      </c>
      <c r="J2072" t="s">
        <v>193</v>
      </c>
      <c r="K2072">
        <v>5</v>
      </c>
      <c r="L2072" t="s">
        <v>35</v>
      </c>
      <c r="M2072" t="s">
        <v>27</v>
      </c>
    </row>
    <row r="2073" spans="1:13">
      <c r="A2073" t="s">
        <v>1447</v>
      </c>
      <c r="B2073" t="s">
        <v>179</v>
      </c>
      <c r="C2073" t="s">
        <v>45</v>
      </c>
      <c r="D2073" t="s">
        <v>4510</v>
      </c>
      <c r="E2073">
        <v>2</v>
      </c>
      <c r="F2073" t="s">
        <v>4511</v>
      </c>
      <c r="G2073" s="10">
        <v>45294</v>
      </c>
      <c r="H2073">
        <v>350000</v>
      </c>
      <c r="I2073">
        <v>50000</v>
      </c>
      <c r="J2073" t="s">
        <v>189</v>
      </c>
      <c r="K2073">
        <v>5</v>
      </c>
      <c r="L2073" t="s">
        <v>44</v>
      </c>
      <c r="M2073" t="s">
        <v>45</v>
      </c>
    </row>
    <row r="2074" spans="1:13">
      <c r="A2074" t="s">
        <v>1039</v>
      </c>
      <c r="B2074" t="s">
        <v>28</v>
      </c>
      <c r="C2074" t="s">
        <v>238</v>
      </c>
      <c r="D2074" t="s">
        <v>4512</v>
      </c>
      <c r="E2074">
        <v>2</v>
      </c>
      <c r="F2074" t="s">
        <v>4513</v>
      </c>
      <c r="G2074" s="10">
        <v>45323</v>
      </c>
      <c r="H2074">
        <v>178500</v>
      </c>
      <c r="I2074">
        <v>28500</v>
      </c>
      <c r="J2074" t="s">
        <v>834</v>
      </c>
      <c r="K2074">
        <v>5</v>
      </c>
      <c r="L2074" t="s">
        <v>37</v>
      </c>
      <c r="M2074" t="s">
        <v>25</v>
      </c>
    </row>
    <row r="2075" spans="1:13">
      <c r="A2075" t="s">
        <v>190</v>
      </c>
      <c r="B2075" t="s">
        <v>160</v>
      </c>
      <c r="C2075" t="s">
        <v>67</v>
      </c>
      <c r="D2075" t="s">
        <v>4514</v>
      </c>
      <c r="E2075">
        <v>1</v>
      </c>
      <c r="F2075" t="s">
        <v>4515</v>
      </c>
      <c r="G2075" s="10">
        <v>45299</v>
      </c>
      <c r="H2075">
        <v>43953</v>
      </c>
      <c r="I2075">
        <v>12628</v>
      </c>
      <c r="J2075" t="s">
        <v>144</v>
      </c>
      <c r="K2075">
        <v>5</v>
      </c>
      <c r="L2075" t="s">
        <v>38</v>
      </c>
      <c r="M2075" t="s">
        <v>25</v>
      </c>
    </row>
    <row r="2076" spans="1:13">
      <c r="A2076" t="s">
        <v>190</v>
      </c>
      <c r="B2076" t="s">
        <v>160</v>
      </c>
      <c r="C2076" t="s">
        <v>67</v>
      </c>
      <c r="D2076" t="s">
        <v>4516</v>
      </c>
      <c r="E2076">
        <v>2</v>
      </c>
      <c r="F2076" t="s">
        <v>4517</v>
      </c>
      <c r="G2076" s="10">
        <v>45299</v>
      </c>
      <c r="H2076">
        <v>22420</v>
      </c>
      <c r="I2076">
        <v>3420</v>
      </c>
      <c r="J2076" t="s">
        <v>163</v>
      </c>
      <c r="K2076">
        <v>6</v>
      </c>
      <c r="L2076" t="s">
        <v>35</v>
      </c>
      <c r="M2076" t="s">
        <v>27</v>
      </c>
    </row>
    <row r="2077" spans="1:13">
      <c r="A2077" t="s">
        <v>159</v>
      </c>
      <c r="B2077" t="s">
        <v>160</v>
      </c>
      <c r="C2077" t="s">
        <v>67</v>
      </c>
      <c r="D2077" t="s">
        <v>4518</v>
      </c>
      <c r="E2077">
        <v>2</v>
      </c>
      <c r="F2077" t="s">
        <v>4519</v>
      </c>
      <c r="G2077" s="10">
        <v>45306</v>
      </c>
      <c r="H2077">
        <v>22847</v>
      </c>
      <c r="I2077">
        <v>3485</v>
      </c>
      <c r="J2077" t="s">
        <v>193</v>
      </c>
      <c r="K2077">
        <v>5</v>
      </c>
      <c r="L2077" t="s">
        <v>35</v>
      </c>
      <c r="M2077" t="s">
        <v>27</v>
      </c>
    </row>
    <row r="2078" spans="1:13">
      <c r="A2078" t="s">
        <v>2286</v>
      </c>
      <c r="B2078" t="s">
        <v>141</v>
      </c>
      <c r="C2078" t="s">
        <v>67</v>
      </c>
      <c r="D2078" t="s">
        <v>4520</v>
      </c>
      <c r="E2078">
        <v>1</v>
      </c>
      <c r="F2078" t="s">
        <v>4521</v>
      </c>
      <c r="G2078" s="10">
        <v>45299</v>
      </c>
      <c r="H2078">
        <v>43953</v>
      </c>
      <c r="I2078">
        <v>11137</v>
      </c>
      <c r="J2078" t="s">
        <v>144</v>
      </c>
      <c r="K2078">
        <v>5</v>
      </c>
      <c r="L2078" t="s">
        <v>38</v>
      </c>
      <c r="M2078" t="s">
        <v>25</v>
      </c>
    </row>
    <row r="2079" spans="1:13">
      <c r="A2079" t="s">
        <v>197</v>
      </c>
      <c r="B2079" t="s">
        <v>160</v>
      </c>
      <c r="C2079" t="s">
        <v>67</v>
      </c>
      <c r="D2079" t="s">
        <v>4522</v>
      </c>
      <c r="E2079">
        <v>2</v>
      </c>
      <c r="F2079" t="s">
        <v>4523</v>
      </c>
      <c r="G2079" s="10">
        <v>45306</v>
      </c>
      <c r="H2079">
        <v>22847</v>
      </c>
      <c r="I2079">
        <v>3485</v>
      </c>
      <c r="J2079" t="s">
        <v>193</v>
      </c>
      <c r="K2079">
        <v>5</v>
      </c>
      <c r="L2079" t="s">
        <v>35</v>
      </c>
      <c r="M2079" t="s">
        <v>27</v>
      </c>
    </row>
    <row r="2080" spans="1:13">
      <c r="A2080" t="s">
        <v>251</v>
      </c>
      <c r="B2080" t="s">
        <v>160</v>
      </c>
      <c r="C2080" t="s">
        <v>67</v>
      </c>
      <c r="D2080" t="s">
        <v>4524</v>
      </c>
      <c r="E2080">
        <v>2</v>
      </c>
      <c r="F2080" t="s">
        <v>4525</v>
      </c>
      <c r="G2080" s="10">
        <v>45299</v>
      </c>
      <c r="H2080">
        <v>22847</v>
      </c>
      <c r="I2080">
        <v>3485</v>
      </c>
      <c r="J2080" t="s">
        <v>193</v>
      </c>
      <c r="K2080">
        <v>5</v>
      </c>
      <c r="L2080" t="s">
        <v>35</v>
      </c>
      <c r="M2080" t="s">
        <v>27</v>
      </c>
    </row>
    <row r="2081" spans="1:13">
      <c r="A2081" t="s">
        <v>194</v>
      </c>
      <c r="B2081" t="s">
        <v>160</v>
      </c>
      <c r="C2081" t="s">
        <v>67</v>
      </c>
      <c r="D2081" t="s">
        <v>4526</v>
      </c>
      <c r="E2081">
        <v>1</v>
      </c>
      <c r="F2081" t="s">
        <v>4527</v>
      </c>
      <c r="G2081" s="10">
        <v>45299</v>
      </c>
      <c r="H2081">
        <v>43953</v>
      </c>
      <c r="I2081">
        <v>12628</v>
      </c>
      <c r="J2081" t="s">
        <v>144</v>
      </c>
      <c r="K2081">
        <v>5</v>
      </c>
      <c r="L2081" t="s">
        <v>38</v>
      </c>
      <c r="M2081" t="s">
        <v>25</v>
      </c>
    </row>
    <row r="2082" spans="1:13">
      <c r="A2082" t="s">
        <v>140</v>
      </c>
      <c r="B2082" t="s">
        <v>141</v>
      </c>
      <c r="C2082" t="s">
        <v>67</v>
      </c>
      <c r="D2082" t="s">
        <v>4528</v>
      </c>
      <c r="E2082">
        <v>2</v>
      </c>
      <c r="F2082" t="s">
        <v>4529</v>
      </c>
      <c r="G2082" s="10">
        <v>45296</v>
      </c>
      <c r="H2082">
        <v>29500</v>
      </c>
      <c r="I2082">
        <v>4500</v>
      </c>
      <c r="J2082" t="s">
        <v>193</v>
      </c>
      <c r="K2082">
        <v>5</v>
      </c>
      <c r="L2082" t="s">
        <v>35</v>
      </c>
      <c r="M2082" t="s">
        <v>27</v>
      </c>
    </row>
    <row r="2083" spans="1:13">
      <c r="A2083" t="s">
        <v>261</v>
      </c>
      <c r="B2083" t="s">
        <v>160</v>
      </c>
      <c r="C2083" t="s">
        <v>67</v>
      </c>
      <c r="D2083" t="s">
        <v>4530</v>
      </c>
      <c r="E2083">
        <v>2</v>
      </c>
      <c r="F2083" t="s">
        <v>4531</v>
      </c>
      <c r="G2083" s="10">
        <v>45302</v>
      </c>
      <c r="H2083">
        <v>65000</v>
      </c>
      <c r="I2083">
        <v>15000</v>
      </c>
      <c r="J2083" t="s">
        <v>163</v>
      </c>
      <c r="K2083">
        <v>5</v>
      </c>
      <c r="L2083" t="s">
        <v>35</v>
      </c>
      <c r="M2083" t="s">
        <v>27</v>
      </c>
    </row>
    <row r="2084" spans="1:13">
      <c r="A2084" t="s">
        <v>2367</v>
      </c>
      <c r="B2084" t="s">
        <v>118</v>
      </c>
      <c r="C2084" t="s">
        <v>98</v>
      </c>
      <c r="D2084" t="s">
        <v>4532</v>
      </c>
      <c r="E2084">
        <v>1</v>
      </c>
      <c r="F2084" t="s">
        <v>4533</v>
      </c>
      <c r="G2084" s="10">
        <v>45306</v>
      </c>
      <c r="H2084">
        <v>128078.82</v>
      </c>
      <c r="I2084">
        <v>19745.82</v>
      </c>
      <c r="J2084" t="s">
        <v>121</v>
      </c>
      <c r="K2084">
        <v>5</v>
      </c>
      <c r="L2084" t="s">
        <v>24</v>
      </c>
      <c r="M2084" t="s">
        <v>30</v>
      </c>
    </row>
    <row r="2085" spans="1:13">
      <c r="A2085" t="s">
        <v>261</v>
      </c>
      <c r="B2085" t="s">
        <v>160</v>
      </c>
      <c r="C2085" t="s">
        <v>67</v>
      </c>
      <c r="D2085" t="s">
        <v>4534</v>
      </c>
      <c r="E2085">
        <v>2</v>
      </c>
      <c r="F2085" t="s">
        <v>4535</v>
      </c>
      <c r="G2085" s="10">
        <v>45300</v>
      </c>
      <c r="H2085">
        <v>65000</v>
      </c>
      <c r="I2085">
        <v>15000</v>
      </c>
      <c r="J2085" t="s">
        <v>163</v>
      </c>
      <c r="K2085">
        <v>5</v>
      </c>
      <c r="L2085" t="s">
        <v>35</v>
      </c>
      <c r="M2085" t="s">
        <v>27</v>
      </c>
    </row>
    <row r="2086" spans="1:13">
      <c r="A2086" t="s">
        <v>194</v>
      </c>
      <c r="B2086" t="s">
        <v>160</v>
      </c>
      <c r="C2086" t="s">
        <v>67</v>
      </c>
      <c r="D2086" t="s">
        <v>4536</v>
      </c>
      <c r="E2086">
        <v>2</v>
      </c>
      <c r="F2086" t="s">
        <v>4537</v>
      </c>
      <c r="G2086" s="10">
        <v>45301</v>
      </c>
      <c r="H2086">
        <v>65000</v>
      </c>
      <c r="I2086">
        <v>15000</v>
      </c>
      <c r="J2086" t="s">
        <v>163</v>
      </c>
      <c r="K2086">
        <v>5</v>
      </c>
      <c r="L2086" t="s">
        <v>35</v>
      </c>
      <c r="M2086" t="s">
        <v>27</v>
      </c>
    </row>
    <row r="2087" spans="1:13">
      <c r="A2087" t="s">
        <v>140</v>
      </c>
      <c r="B2087" t="s">
        <v>141</v>
      </c>
      <c r="C2087" t="s">
        <v>67</v>
      </c>
      <c r="D2087" t="s">
        <v>4538</v>
      </c>
      <c r="E2087">
        <v>1</v>
      </c>
      <c r="F2087" t="s">
        <v>4539</v>
      </c>
      <c r="G2087" s="10">
        <v>45330</v>
      </c>
      <c r="H2087">
        <v>70308</v>
      </c>
      <c r="I2087">
        <v>12442</v>
      </c>
      <c r="J2087" t="s">
        <v>144</v>
      </c>
      <c r="K2087">
        <v>5</v>
      </c>
      <c r="L2087" t="s">
        <v>38</v>
      </c>
      <c r="M2087" t="s">
        <v>25</v>
      </c>
    </row>
    <row r="2088" spans="1:13">
      <c r="A2088" t="s">
        <v>1193</v>
      </c>
      <c r="B2088" t="s">
        <v>141</v>
      </c>
      <c r="C2088" t="s">
        <v>67</v>
      </c>
      <c r="D2088" t="s">
        <v>4540</v>
      </c>
      <c r="E2088">
        <v>1</v>
      </c>
      <c r="F2088" t="s">
        <v>4541</v>
      </c>
      <c r="G2088" s="10">
        <v>45299</v>
      </c>
      <c r="H2088">
        <v>67200</v>
      </c>
      <c r="I2088">
        <v>25534</v>
      </c>
      <c r="J2088" t="s">
        <v>144</v>
      </c>
      <c r="K2088">
        <v>5</v>
      </c>
      <c r="L2088" t="s">
        <v>38</v>
      </c>
      <c r="M2088" t="s">
        <v>25</v>
      </c>
    </row>
    <row r="2089" spans="1:13">
      <c r="A2089" t="s">
        <v>65</v>
      </c>
      <c r="B2089" t="s">
        <v>66</v>
      </c>
      <c r="C2089" t="s">
        <v>67</v>
      </c>
      <c r="D2089" t="s">
        <v>4542</v>
      </c>
      <c r="E2089">
        <v>6</v>
      </c>
      <c r="F2089" t="s">
        <v>4543</v>
      </c>
      <c r="G2089" s="10">
        <v>45299</v>
      </c>
      <c r="H2089">
        <v>34375</v>
      </c>
      <c r="I2089">
        <v>6875</v>
      </c>
      <c r="J2089" t="s">
        <v>70</v>
      </c>
      <c r="K2089">
        <v>5</v>
      </c>
      <c r="L2089" t="s">
        <v>35</v>
      </c>
      <c r="M2089" t="s">
        <v>36</v>
      </c>
    </row>
    <row r="2090" spans="1:13">
      <c r="A2090" t="s">
        <v>159</v>
      </c>
      <c r="B2090" t="s">
        <v>160</v>
      </c>
      <c r="C2090" t="s">
        <v>67</v>
      </c>
      <c r="D2090" t="s">
        <v>4544</v>
      </c>
      <c r="E2090">
        <v>2</v>
      </c>
      <c r="F2090" t="s">
        <v>4545</v>
      </c>
      <c r="G2090" s="10">
        <v>45302</v>
      </c>
      <c r="H2090">
        <v>22420</v>
      </c>
      <c r="I2090">
        <v>3420</v>
      </c>
      <c r="J2090" t="s">
        <v>193</v>
      </c>
      <c r="K2090">
        <v>5</v>
      </c>
      <c r="L2090" t="s">
        <v>35</v>
      </c>
      <c r="M2090" t="s">
        <v>27</v>
      </c>
    </row>
    <row r="2091" spans="1:13">
      <c r="A2091" t="s">
        <v>602</v>
      </c>
      <c r="B2091" t="s">
        <v>224</v>
      </c>
      <c r="C2091" t="s">
        <v>94</v>
      </c>
      <c r="D2091" t="s">
        <v>4546</v>
      </c>
      <c r="E2091">
        <v>2</v>
      </c>
      <c r="F2091" t="s">
        <v>4547</v>
      </c>
      <c r="G2091" s="10">
        <v>45300</v>
      </c>
      <c r="H2091">
        <v>26000</v>
      </c>
      <c r="I2091">
        <v>4000</v>
      </c>
      <c r="J2091" t="s">
        <v>227</v>
      </c>
      <c r="K2091">
        <v>5</v>
      </c>
      <c r="L2091" t="s">
        <v>41</v>
      </c>
      <c r="M2091" t="s">
        <v>42</v>
      </c>
    </row>
    <row r="2092" spans="1:13">
      <c r="A2092" t="s">
        <v>251</v>
      </c>
      <c r="B2092" t="s">
        <v>160</v>
      </c>
      <c r="C2092" t="s">
        <v>67</v>
      </c>
      <c r="D2092" t="s">
        <v>4548</v>
      </c>
      <c r="E2092">
        <v>2</v>
      </c>
      <c r="F2092" t="s">
        <v>4549</v>
      </c>
      <c r="G2092" s="10">
        <v>45300</v>
      </c>
      <c r="H2092">
        <v>32500</v>
      </c>
      <c r="I2092">
        <v>7500</v>
      </c>
      <c r="J2092" t="s">
        <v>193</v>
      </c>
      <c r="K2092">
        <v>6</v>
      </c>
      <c r="L2092" t="s">
        <v>35</v>
      </c>
      <c r="M2092" t="s">
        <v>27</v>
      </c>
    </row>
    <row r="2093" spans="1:13">
      <c r="A2093" t="s">
        <v>251</v>
      </c>
      <c r="B2093" t="s">
        <v>160</v>
      </c>
      <c r="C2093" t="s">
        <v>67</v>
      </c>
      <c r="D2093" t="s">
        <v>4550</v>
      </c>
      <c r="E2093">
        <v>2</v>
      </c>
      <c r="F2093" t="s">
        <v>4551</v>
      </c>
      <c r="G2093" s="10">
        <v>45300</v>
      </c>
      <c r="H2093">
        <v>32500</v>
      </c>
      <c r="I2093">
        <v>7500</v>
      </c>
      <c r="J2093" t="s">
        <v>193</v>
      </c>
      <c r="K2093">
        <v>5</v>
      </c>
      <c r="L2093" t="s">
        <v>35</v>
      </c>
      <c r="M2093" t="s">
        <v>27</v>
      </c>
    </row>
    <row r="2094" spans="1:13">
      <c r="A2094" t="s">
        <v>251</v>
      </c>
      <c r="B2094" t="s">
        <v>160</v>
      </c>
      <c r="C2094" t="s">
        <v>67</v>
      </c>
      <c r="D2094" t="s">
        <v>4552</v>
      </c>
      <c r="E2094">
        <v>2</v>
      </c>
      <c r="F2094" t="s">
        <v>4553</v>
      </c>
      <c r="G2094" s="10">
        <v>45306</v>
      </c>
      <c r="H2094">
        <v>22847</v>
      </c>
      <c r="I2094">
        <v>3485</v>
      </c>
      <c r="J2094" t="s">
        <v>193</v>
      </c>
      <c r="K2094">
        <v>5</v>
      </c>
      <c r="L2094" t="s">
        <v>35</v>
      </c>
      <c r="M2094" t="s">
        <v>27</v>
      </c>
    </row>
    <row r="2095" spans="1:13">
      <c r="A2095" t="s">
        <v>190</v>
      </c>
      <c r="B2095" t="s">
        <v>160</v>
      </c>
      <c r="C2095" t="s">
        <v>67</v>
      </c>
      <c r="D2095" t="s">
        <v>4554</v>
      </c>
      <c r="E2095">
        <v>2</v>
      </c>
      <c r="F2095" t="s">
        <v>4555</v>
      </c>
      <c r="G2095" s="10">
        <v>45302</v>
      </c>
      <c r="H2095">
        <v>22420</v>
      </c>
      <c r="I2095">
        <v>3420</v>
      </c>
      <c r="J2095" t="s">
        <v>193</v>
      </c>
      <c r="K2095">
        <v>6</v>
      </c>
      <c r="L2095" t="s">
        <v>35</v>
      </c>
      <c r="M2095" t="s">
        <v>27</v>
      </c>
    </row>
    <row r="2096" spans="1:13">
      <c r="A2096" t="s">
        <v>190</v>
      </c>
      <c r="B2096" t="s">
        <v>160</v>
      </c>
      <c r="C2096" t="s">
        <v>67</v>
      </c>
      <c r="D2096" t="s">
        <v>4556</v>
      </c>
      <c r="E2096">
        <v>2</v>
      </c>
      <c r="F2096" t="s">
        <v>4557</v>
      </c>
      <c r="G2096" s="10">
        <v>45302</v>
      </c>
      <c r="H2096">
        <v>22420</v>
      </c>
      <c r="I2096">
        <v>3420</v>
      </c>
      <c r="J2096" t="s">
        <v>193</v>
      </c>
      <c r="K2096">
        <v>5</v>
      </c>
      <c r="L2096" t="s">
        <v>35</v>
      </c>
      <c r="M2096" t="s">
        <v>27</v>
      </c>
    </row>
    <row r="2097" spans="1:13">
      <c r="A2097" t="s">
        <v>1044</v>
      </c>
      <c r="B2097" t="s">
        <v>93</v>
      </c>
      <c r="C2097" t="s">
        <v>94</v>
      </c>
      <c r="D2097" t="s">
        <v>4558</v>
      </c>
      <c r="E2097">
        <v>7</v>
      </c>
      <c r="F2097" t="s">
        <v>4559</v>
      </c>
      <c r="G2097" s="10">
        <v>45334</v>
      </c>
      <c r="H2097">
        <v>88292</v>
      </c>
      <c r="I2097">
        <v>3802</v>
      </c>
      <c r="J2097" t="s">
        <v>313</v>
      </c>
      <c r="K2097">
        <v>5</v>
      </c>
      <c r="L2097" t="s">
        <v>41</v>
      </c>
      <c r="M2097" t="s">
        <v>42</v>
      </c>
    </row>
    <row r="2098" spans="1:13">
      <c r="A2098" t="s">
        <v>197</v>
      </c>
      <c r="B2098" t="s">
        <v>160</v>
      </c>
      <c r="C2098" t="s">
        <v>67</v>
      </c>
      <c r="D2098" t="s">
        <v>4560</v>
      </c>
      <c r="E2098">
        <v>2</v>
      </c>
      <c r="F2098" t="s">
        <v>4561</v>
      </c>
      <c r="G2098" s="10">
        <v>45302</v>
      </c>
      <c r="H2098">
        <v>22420</v>
      </c>
      <c r="I2098">
        <v>3420</v>
      </c>
      <c r="J2098" t="s">
        <v>193</v>
      </c>
      <c r="K2098">
        <v>6</v>
      </c>
      <c r="L2098" t="s">
        <v>35</v>
      </c>
      <c r="M2098" t="s">
        <v>27</v>
      </c>
    </row>
    <row r="2099" spans="1:13">
      <c r="A2099" t="s">
        <v>251</v>
      </c>
      <c r="B2099" t="s">
        <v>160</v>
      </c>
      <c r="C2099" t="s">
        <v>67</v>
      </c>
      <c r="D2099" t="s">
        <v>4562</v>
      </c>
      <c r="E2099">
        <v>2</v>
      </c>
      <c r="F2099" t="s">
        <v>4563</v>
      </c>
      <c r="G2099" s="10">
        <v>45302</v>
      </c>
      <c r="H2099">
        <v>22420</v>
      </c>
      <c r="I2099">
        <v>3420</v>
      </c>
      <c r="J2099" t="s">
        <v>193</v>
      </c>
      <c r="K2099">
        <v>5</v>
      </c>
      <c r="L2099" t="s">
        <v>35</v>
      </c>
      <c r="M2099" t="s">
        <v>27</v>
      </c>
    </row>
    <row r="2100" spans="1:13">
      <c r="A2100" t="s">
        <v>251</v>
      </c>
      <c r="B2100" t="s">
        <v>160</v>
      </c>
      <c r="C2100" t="s">
        <v>67</v>
      </c>
      <c r="D2100" t="s">
        <v>4564</v>
      </c>
      <c r="E2100">
        <v>2</v>
      </c>
      <c r="F2100" t="s">
        <v>4565</v>
      </c>
      <c r="G2100" s="10">
        <v>45302</v>
      </c>
      <c r="H2100">
        <v>22420</v>
      </c>
      <c r="I2100">
        <v>3420</v>
      </c>
      <c r="J2100" t="s">
        <v>193</v>
      </c>
      <c r="K2100">
        <v>5</v>
      </c>
      <c r="L2100" t="s">
        <v>35</v>
      </c>
      <c r="M2100" t="s">
        <v>27</v>
      </c>
    </row>
    <row r="2101" spans="1:13">
      <c r="A2101" t="s">
        <v>2488</v>
      </c>
      <c r="B2101" t="s">
        <v>916</v>
      </c>
      <c r="C2101" t="s">
        <v>51</v>
      </c>
      <c r="D2101" t="s">
        <v>4566</v>
      </c>
      <c r="E2101">
        <v>2</v>
      </c>
      <c r="F2101" t="s">
        <v>4567</v>
      </c>
      <c r="G2101" s="10">
        <v>45306</v>
      </c>
      <c r="H2101">
        <v>155000</v>
      </c>
      <c r="I2101">
        <v>46667</v>
      </c>
      <c r="J2101" t="s">
        <v>4568</v>
      </c>
      <c r="K2101">
        <v>5</v>
      </c>
      <c r="L2101" t="s">
        <v>50</v>
      </c>
      <c r="M2101" t="s">
        <v>51</v>
      </c>
    </row>
    <row r="2102" spans="1:13">
      <c r="A2102" t="s">
        <v>297</v>
      </c>
      <c r="B2102" t="s">
        <v>179</v>
      </c>
      <c r="C2102" t="s">
        <v>45</v>
      </c>
      <c r="D2102" t="s">
        <v>4569</v>
      </c>
      <c r="E2102">
        <v>2</v>
      </c>
      <c r="F2102" t="s">
        <v>4570</v>
      </c>
      <c r="G2102" s="10">
        <v>45303</v>
      </c>
      <c r="H2102">
        <v>81333.33</v>
      </c>
      <c r="I2102">
        <v>14667.33</v>
      </c>
      <c r="J2102" t="s">
        <v>517</v>
      </c>
      <c r="K2102">
        <v>5</v>
      </c>
      <c r="L2102" t="s">
        <v>44</v>
      </c>
      <c r="M2102" t="s">
        <v>48</v>
      </c>
    </row>
    <row r="2103" spans="1:13">
      <c r="A2103" t="s">
        <v>661</v>
      </c>
      <c r="B2103" t="s">
        <v>179</v>
      </c>
      <c r="C2103" t="s">
        <v>45</v>
      </c>
      <c r="D2103" t="s">
        <v>4571</v>
      </c>
      <c r="E2103">
        <v>2</v>
      </c>
      <c r="F2103" t="s">
        <v>4572</v>
      </c>
      <c r="G2103" s="10">
        <v>45303</v>
      </c>
      <c r="H2103">
        <v>360000</v>
      </c>
      <c r="I2103">
        <v>185000</v>
      </c>
      <c r="J2103" t="s">
        <v>714</v>
      </c>
      <c r="K2103">
        <v>5</v>
      </c>
      <c r="L2103" t="s">
        <v>44</v>
      </c>
      <c r="M2103" t="s">
        <v>45</v>
      </c>
    </row>
    <row r="2104" spans="1:13">
      <c r="A2104" t="s">
        <v>251</v>
      </c>
      <c r="B2104" t="s">
        <v>160</v>
      </c>
      <c r="C2104" t="s">
        <v>67</v>
      </c>
      <c r="D2104" t="s">
        <v>4573</v>
      </c>
      <c r="E2104">
        <v>2</v>
      </c>
      <c r="F2104" t="s">
        <v>4574</v>
      </c>
      <c r="G2104" s="10">
        <v>45306</v>
      </c>
      <c r="H2104">
        <v>22420</v>
      </c>
      <c r="I2104">
        <v>3420</v>
      </c>
      <c r="J2104" t="s">
        <v>193</v>
      </c>
      <c r="K2104">
        <v>6</v>
      </c>
      <c r="L2104" t="s">
        <v>35</v>
      </c>
      <c r="M2104" t="s">
        <v>27</v>
      </c>
    </row>
    <row r="2105" spans="1:13">
      <c r="A2105" t="s">
        <v>2012</v>
      </c>
      <c r="B2105" t="s">
        <v>43</v>
      </c>
      <c r="C2105" t="s">
        <v>94</v>
      </c>
      <c r="D2105" t="s">
        <v>4575</v>
      </c>
      <c r="E2105">
        <v>2</v>
      </c>
      <c r="F2105" t="s">
        <v>4576</v>
      </c>
      <c r="G2105" s="10">
        <v>45337</v>
      </c>
      <c r="H2105">
        <v>197064</v>
      </c>
      <c r="I2105">
        <v>54564</v>
      </c>
      <c r="J2105" t="s">
        <v>1414</v>
      </c>
      <c r="K2105">
        <v>5</v>
      </c>
      <c r="L2105" t="s">
        <v>44</v>
      </c>
      <c r="M2105" t="s">
        <v>49</v>
      </c>
    </row>
    <row r="2106" spans="1:13">
      <c r="A2106" t="s">
        <v>341</v>
      </c>
      <c r="B2106" t="s">
        <v>179</v>
      </c>
      <c r="C2106" t="s">
        <v>45</v>
      </c>
      <c r="D2106" t="s">
        <v>4577</v>
      </c>
      <c r="E2106">
        <v>2</v>
      </c>
      <c r="F2106" t="s">
        <v>4578</v>
      </c>
      <c r="G2106" s="10">
        <v>45303</v>
      </c>
      <c r="H2106">
        <v>230000</v>
      </c>
      <c r="I2106">
        <v>71667</v>
      </c>
      <c r="J2106" t="s">
        <v>714</v>
      </c>
      <c r="K2106">
        <v>5</v>
      </c>
      <c r="L2106" t="s">
        <v>44</v>
      </c>
      <c r="M2106" t="s">
        <v>45</v>
      </c>
    </row>
    <row r="2107" spans="1:13">
      <c r="A2107" t="s">
        <v>361</v>
      </c>
      <c r="B2107" t="s">
        <v>72</v>
      </c>
      <c r="C2107" t="s">
        <v>67</v>
      </c>
      <c r="D2107" t="s">
        <v>4579</v>
      </c>
      <c r="E2107">
        <v>1</v>
      </c>
      <c r="F2107" t="s">
        <v>4580</v>
      </c>
      <c r="G2107" s="10">
        <v>45321</v>
      </c>
      <c r="H2107">
        <v>45517.5</v>
      </c>
      <c r="I2107">
        <v>8017.5</v>
      </c>
      <c r="J2107" t="s">
        <v>75</v>
      </c>
      <c r="K2107">
        <v>5</v>
      </c>
      <c r="L2107" t="s">
        <v>35</v>
      </c>
      <c r="M2107" t="s">
        <v>29</v>
      </c>
    </row>
    <row r="2108" spans="1:13">
      <c r="A2108" t="s">
        <v>319</v>
      </c>
      <c r="B2108" t="s">
        <v>179</v>
      </c>
      <c r="C2108" t="s">
        <v>45</v>
      </c>
      <c r="D2108" t="s">
        <v>4581</v>
      </c>
      <c r="E2108">
        <v>2</v>
      </c>
      <c r="F2108" t="s">
        <v>4582</v>
      </c>
      <c r="G2108" s="10">
        <v>45198</v>
      </c>
      <c r="H2108">
        <v>504000</v>
      </c>
      <c r="I2108">
        <v>154000</v>
      </c>
      <c r="J2108" t="s">
        <v>4196</v>
      </c>
      <c r="K2108">
        <v>5</v>
      </c>
      <c r="L2108" t="s">
        <v>44</v>
      </c>
      <c r="M2108" t="s">
        <v>48</v>
      </c>
    </row>
    <row r="2109" spans="1:13">
      <c r="A2109" t="s">
        <v>3284</v>
      </c>
      <c r="B2109" t="s">
        <v>160</v>
      </c>
      <c r="C2109" t="s">
        <v>67</v>
      </c>
      <c r="D2109" t="s">
        <v>4583</v>
      </c>
      <c r="E2109">
        <v>2</v>
      </c>
      <c r="F2109" t="s">
        <v>4584</v>
      </c>
      <c r="G2109" s="10">
        <v>45328</v>
      </c>
      <c r="H2109">
        <v>22847</v>
      </c>
      <c r="I2109">
        <v>3485</v>
      </c>
      <c r="J2109" t="s">
        <v>193</v>
      </c>
      <c r="K2109">
        <v>6</v>
      </c>
      <c r="L2109" t="s">
        <v>35</v>
      </c>
      <c r="M2109" t="s">
        <v>27</v>
      </c>
    </row>
    <row r="2110" spans="1:13">
      <c r="A2110" t="s">
        <v>3284</v>
      </c>
      <c r="B2110" t="s">
        <v>160</v>
      </c>
      <c r="C2110" t="s">
        <v>67</v>
      </c>
      <c r="D2110" t="s">
        <v>4585</v>
      </c>
      <c r="E2110">
        <v>2</v>
      </c>
      <c r="F2110" t="s">
        <v>4586</v>
      </c>
      <c r="G2110" s="10">
        <v>45306</v>
      </c>
      <c r="H2110">
        <v>22847</v>
      </c>
      <c r="I2110">
        <v>3485</v>
      </c>
      <c r="J2110" t="s">
        <v>193</v>
      </c>
      <c r="K2110">
        <v>5</v>
      </c>
      <c r="L2110" t="s">
        <v>35</v>
      </c>
      <c r="M2110" t="s">
        <v>27</v>
      </c>
    </row>
    <row r="2111" spans="1:13">
      <c r="A2111" t="s">
        <v>4449</v>
      </c>
      <c r="B2111" t="s">
        <v>160</v>
      </c>
      <c r="C2111" t="s">
        <v>67</v>
      </c>
      <c r="D2111" t="s">
        <v>4587</v>
      </c>
      <c r="E2111">
        <v>2</v>
      </c>
      <c r="F2111" t="s">
        <v>4588</v>
      </c>
      <c r="G2111" s="10">
        <v>45308</v>
      </c>
      <c r="H2111">
        <v>32500</v>
      </c>
      <c r="I2111">
        <v>7500</v>
      </c>
      <c r="J2111" t="s">
        <v>193</v>
      </c>
      <c r="K2111">
        <v>5</v>
      </c>
      <c r="L2111" t="s">
        <v>35</v>
      </c>
      <c r="M2111" t="s">
        <v>27</v>
      </c>
    </row>
    <row r="2112" spans="1:13">
      <c r="A2112" t="s">
        <v>71</v>
      </c>
      <c r="B2112" t="s">
        <v>72</v>
      </c>
      <c r="C2112" t="s">
        <v>67</v>
      </c>
      <c r="D2112" t="s">
        <v>4589</v>
      </c>
      <c r="E2112">
        <v>1</v>
      </c>
      <c r="F2112" t="s">
        <v>4590</v>
      </c>
      <c r="G2112" s="10">
        <v>45313</v>
      </c>
      <c r="H2112">
        <v>45517</v>
      </c>
      <c r="I2112">
        <v>6350.33</v>
      </c>
      <c r="J2112" t="s">
        <v>75</v>
      </c>
      <c r="K2112">
        <v>5</v>
      </c>
      <c r="L2112" t="s">
        <v>35</v>
      </c>
      <c r="M2112" t="s">
        <v>29</v>
      </c>
    </row>
    <row r="2113" spans="1:13">
      <c r="A2113" t="s">
        <v>76</v>
      </c>
      <c r="B2113" t="s">
        <v>72</v>
      </c>
      <c r="C2113" t="s">
        <v>67</v>
      </c>
      <c r="D2113" t="s">
        <v>4591</v>
      </c>
      <c r="E2113">
        <v>1</v>
      </c>
      <c r="F2113" t="s">
        <v>4592</v>
      </c>
      <c r="G2113" s="10">
        <v>45315</v>
      </c>
      <c r="H2113">
        <v>45517</v>
      </c>
      <c r="I2113">
        <v>6350.33</v>
      </c>
      <c r="J2113" t="s">
        <v>75</v>
      </c>
      <c r="K2113">
        <v>5</v>
      </c>
      <c r="L2113" t="s">
        <v>35</v>
      </c>
      <c r="M2113" t="s">
        <v>29</v>
      </c>
    </row>
    <row r="2114" spans="1:13">
      <c r="A2114" t="s">
        <v>194</v>
      </c>
      <c r="B2114" t="s">
        <v>160</v>
      </c>
      <c r="C2114" t="s">
        <v>67</v>
      </c>
      <c r="D2114" t="s">
        <v>4593</v>
      </c>
      <c r="E2114">
        <v>2</v>
      </c>
      <c r="F2114" t="s">
        <v>4594</v>
      </c>
      <c r="G2114" s="10">
        <v>45309</v>
      </c>
      <c r="H2114">
        <v>65000</v>
      </c>
      <c r="I2114">
        <v>15000</v>
      </c>
      <c r="J2114" t="s">
        <v>163</v>
      </c>
      <c r="K2114">
        <v>5</v>
      </c>
      <c r="L2114" t="s">
        <v>35</v>
      </c>
      <c r="M2114" t="s">
        <v>27</v>
      </c>
    </row>
    <row r="2115" spans="1:13">
      <c r="A2115" t="s">
        <v>159</v>
      </c>
      <c r="B2115" t="s">
        <v>160</v>
      </c>
      <c r="C2115" t="s">
        <v>67</v>
      </c>
      <c r="D2115" t="s">
        <v>4595</v>
      </c>
      <c r="E2115">
        <v>2</v>
      </c>
      <c r="F2115" t="s">
        <v>4596</v>
      </c>
      <c r="G2115" s="10">
        <v>45310</v>
      </c>
      <c r="H2115">
        <v>22420</v>
      </c>
      <c r="I2115">
        <v>3420</v>
      </c>
      <c r="J2115" t="s">
        <v>193</v>
      </c>
      <c r="K2115">
        <v>6</v>
      </c>
      <c r="L2115" t="s">
        <v>35</v>
      </c>
      <c r="M2115" t="s">
        <v>27</v>
      </c>
    </row>
    <row r="2116" spans="1:13">
      <c r="A2116" t="s">
        <v>1817</v>
      </c>
      <c r="B2116" t="s">
        <v>224</v>
      </c>
      <c r="C2116" t="s">
        <v>94</v>
      </c>
      <c r="D2116" t="s">
        <v>4597</v>
      </c>
      <c r="E2116">
        <v>2</v>
      </c>
      <c r="F2116" t="s">
        <v>4598</v>
      </c>
      <c r="G2116" s="10">
        <v>45314</v>
      </c>
      <c r="H2116">
        <v>125000</v>
      </c>
      <c r="I2116">
        <v>25000</v>
      </c>
      <c r="J2116" t="s">
        <v>227</v>
      </c>
      <c r="K2116">
        <v>5</v>
      </c>
      <c r="L2116" t="s">
        <v>41</v>
      </c>
      <c r="M2116" t="s">
        <v>42</v>
      </c>
    </row>
    <row r="2117" spans="1:13">
      <c r="A2117" t="s">
        <v>645</v>
      </c>
      <c r="B2117" t="s">
        <v>28</v>
      </c>
      <c r="C2117" t="s">
        <v>238</v>
      </c>
      <c r="D2117" t="s">
        <v>4599</v>
      </c>
      <c r="E2117">
        <v>2</v>
      </c>
      <c r="F2117" t="s">
        <v>4600</v>
      </c>
      <c r="G2117" s="10">
        <v>45328</v>
      </c>
      <c r="H2117">
        <v>105672</v>
      </c>
      <c r="I2117">
        <v>30672</v>
      </c>
      <c r="J2117" t="s">
        <v>126</v>
      </c>
      <c r="K2117">
        <v>5</v>
      </c>
      <c r="L2117" t="s">
        <v>24</v>
      </c>
      <c r="M2117" t="s">
        <v>26</v>
      </c>
    </row>
    <row r="2118" spans="1:13">
      <c r="A2118" t="s">
        <v>602</v>
      </c>
      <c r="B2118" t="s">
        <v>224</v>
      </c>
      <c r="C2118" t="s">
        <v>94</v>
      </c>
      <c r="D2118" t="s">
        <v>4601</v>
      </c>
      <c r="E2118">
        <v>2</v>
      </c>
      <c r="F2118" t="s">
        <v>4602</v>
      </c>
      <c r="G2118" s="10">
        <v>45309</v>
      </c>
      <c r="H2118">
        <v>30000</v>
      </c>
      <c r="I2118">
        <v>5000</v>
      </c>
      <c r="J2118" t="s">
        <v>227</v>
      </c>
      <c r="K2118">
        <v>5</v>
      </c>
      <c r="L2118" t="s">
        <v>41</v>
      </c>
      <c r="M2118" t="s">
        <v>42</v>
      </c>
    </row>
    <row r="2119" spans="1:13">
      <c r="A2119" t="s">
        <v>4133</v>
      </c>
      <c r="B2119" t="s">
        <v>215</v>
      </c>
      <c r="C2119" t="s">
        <v>94</v>
      </c>
      <c r="D2119" t="s">
        <v>4603</v>
      </c>
      <c r="E2119">
        <v>2</v>
      </c>
      <c r="F2119" t="s">
        <v>4604</v>
      </c>
      <c r="G2119" s="10">
        <v>45309</v>
      </c>
      <c r="H2119">
        <v>30000</v>
      </c>
      <c r="I2119">
        <v>5000</v>
      </c>
      <c r="J2119" t="s">
        <v>227</v>
      </c>
      <c r="K2119">
        <v>5</v>
      </c>
      <c r="L2119" t="s">
        <v>41</v>
      </c>
      <c r="M2119" t="s">
        <v>42</v>
      </c>
    </row>
    <row r="2120" spans="1:13">
      <c r="A2120" t="s">
        <v>197</v>
      </c>
      <c r="B2120" t="s">
        <v>160</v>
      </c>
      <c r="C2120" t="s">
        <v>67</v>
      </c>
      <c r="D2120" t="s">
        <v>4605</v>
      </c>
      <c r="E2120">
        <v>2</v>
      </c>
      <c r="F2120" t="s">
        <v>4606</v>
      </c>
      <c r="G2120" s="10">
        <v>45310</v>
      </c>
      <c r="H2120">
        <v>22420</v>
      </c>
      <c r="I2120">
        <v>3420</v>
      </c>
      <c r="J2120" t="s">
        <v>193</v>
      </c>
      <c r="K2120">
        <v>5</v>
      </c>
      <c r="L2120" t="s">
        <v>35</v>
      </c>
      <c r="M2120" t="s">
        <v>27</v>
      </c>
    </row>
    <row r="2121" spans="1:13">
      <c r="A2121" t="s">
        <v>3284</v>
      </c>
      <c r="B2121" t="s">
        <v>160</v>
      </c>
      <c r="C2121" t="s">
        <v>67</v>
      </c>
      <c r="D2121" t="s">
        <v>4607</v>
      </c>
      <c r="E2121">
        <v>2</v>
      </c>
      <c r="F2121" t="s">
        <v>4608</v>
      </c>
      <c r="G2121" s="10">
        <v>45310</v>
      </c>
      <c r="H2121">
        <v>65000</v>
      </c>
      <c r="I2121">
        <v>15000</v>
      </c>
      <c r="J2121" t="s">
        <v>163</v>
      </c>
      <c r="K2121">
        <v>6</v>
      </c>
      <c r="L2121" t="s">
        <v>35</v>
      </c>
      <c r="M2121" t="s">
        <v>27</v>
      </c>
    </row>
    <row r="2122" spans="1:13">
      <c r="A2122" t="s">
        <v>3284</v>
      </c>
      <c r="B2122" t="s">
        <v>160</v>
      </c>
      <c r="C2122" t="s">
        <v>67</v>
      </c>
      <c r="D2122" t="s">
        <v>4609</v>
      </c>
      <c r="E2122">
        <v>2</v>
      </c>
      <c r="F2122" t="s">
        <v>4610</v>
      </c>
      <c r="G2122" s="10">
        <v>45313</v>
      </c>
      <c r="H2122">
        <v>22847</v>
      </c>
      <c r="I2122">
        <v>3485</v>
      </c>
      <c r="J2122" t="s">
        <v>193</v>
      </c>
      <c r="K2122">
        <v>5</v>
      </c>
      <c r="L2122" t="s">
        <v>35</v>
      </c>
      <c r="M2122" t="s">
        <v>27</v>
      </c>
    </row>
    <row r="2123" spans="1:13">
      <c r="A2123" t="s">
        <v>4449</v>
      </c>
      <c r="B2123" t="s">
        <v>160</v>
      </c>
      <c r="C2123" t="s">
        <v>67</v>
      </c>
      <c r="D2123" t="s">
        <v>4611</v>
      </c>
      <c r="E2123">
        <v>2</v>
      </c>
      <c r="F2123" t="s">
        <v>4612</v>
      </c>
      <c r="G2123" s="10">
        <v>45313</v>
      </c>
      <c r="H2123">
        <v>22420</v>
      </c>
      <c r="I2123">
        <v>3420</v>
      </c>
      <c r="J2123" t="s">
        <v>193</v>
      </c>
      <c r="K2123">
        <v>5</v>
      </c>
      <c r="L2123" t="s">
        <v>35</v>
      </c>
      <c r="M2123" t="s">
        <v>27</v>
      </c>
    </row>
    <row r="2124" spans="1:13">
      <c r="A2124" t="s">
        <v>190</v>
      </c>
      <c r="B2124" t="s">
        <v>160</v>
      </c>
      <c r="C2124" t="s">
        <v>67</v>
      </c>
      <c r="D2124" t="s">
        <v>4613</v>
      </c>
      <c r="E2124">
        <v>2</v>
      </c>
      <c r="F2124" t="s">
        <v>4614</v>
      </c>
      <c r="G2124" s="10">
        <v>45320</v>
      </c>
      <c r="H2124">
        <v>22420</v>
      </c>
      <c r="I2124">
        <v>3420</v>
      </c>
      <c r="J2124" t="s">
        <v>193</v>
      </c>
      <c r="K2124">
        <v>5</v>
      </c>
      <c r="L2124" t="s">
        <v>35</v>
      </c>
      <c r="M2124" t="s">
        <v>27</v>
      </c>
    </row>
    <row r="2125" spans="1:13">
      <c r="A2125" t="s">
        <v>1983</v>
      </c>
      <c r="B2125" t="s">
        <v>179</v>
      </c>
      <c r="C2125" t="s">
        <v>45</v>
      </c>
      <c r="D2125" t="s">
        <v>3394</v>
      </c>
      <c r="E2125">
        <v>2</v>
      </c>
      <c r="F2125" t="s">
        <v>4615</v>
      </c>
      <c r="G2125" s="10">
        <v>45308</v>
      </c>
      <c r="H2125">
        <v>436800</v>
      </c>
      <c r="I2125">
        <v>61800</v>
      </c>
      <c r="J2125" t="s">
        <v>189</v>
      </c>
      <c r="K2125">
        <v>5</v>
      </c>
      <c r="L2125" t="s">
        <v>44</v>
      </c>
      <c r="M2125" t="s">
        <v>45</v>
      </c>
    </row>
    <row r="2126" spans="1:13">
      <c r="A2126" t="s">
        <v>661</v>
      </c>
      <c r="B2126" t="s">
        <v>179</v>
      </c>
      <c r="C2126" t="s">
        <v>45</v>
      </c>
      <c r="D2126" t="s">
        <v>4616</v>
      </c>
      <c r="E2126">
        <v>4</v>
      </c>
      <c r="F2126" t="s">
        <v>4617</v>
      </c>
      <c r="G2126" s="10">
        <v>45259</v>
      </c>
      <c r="H2126">
        <v>441000</v>
      </c>
      <c r="I2126">
        <v>149334</v>
      </c>
      <c r="J2126" t="s">
        <v>4196</v>
      </c>
      <c r="K2126">
        <v>5</v>
      </c>
      <c r="L2126" t="s">
        <v>44</v>
      </c>
      <c r="M2126" t="s">
        <v>48</v>
      </c>
    </row>
    <row r="2127" spans="1:13">
      <c r="A2127" t="s">
        <v>361</v>
      </c>
      <c r="B2127" t="s">
        <v>72</v>
      </c>
      <c r="C2127" t="s">
        <v>67</v>
      </c>
      <c r="D2127" t="s">
        <v>4618</v>
      </c>
      <c r="E2127">
        <v>1</v>
      </c>
      <c r="F2127" t="s">
        <v>4619</v>
      </c>
      <c r="G2127" s="10">
        <v>45313</v>
      </c>
      <c r="H2127">
        <v>45517</v>
      </c>
      <c r="I2127">
        <v>6350.33</v>
      </c>
      <c r="J2127" t="s">
        <v>75</v>
      </c>
      <c r="K2127">
        <v>5</v>
      </c>
      <c r="L2127" t="s">
        <v>35</v>
      </c>
      <c r="M2127" t="s">
        <v>29</v>
      </c>
    </row>
    <row r="2128" spans="1:13">
      <c r="A2128" t="s">
        <v>3519</v>
      </c>
      <c r="B2128" t="s">
        <v>93</v>
      </c>
      <c r="C2128" t="s">
        <v>94</v>
      </c>
      <c r="D2128" t="s">
        <v>4620</v>
      </c>
      <c r="E2128">
        <v>2</v>
      </c>
      <c r="F2128" t="s">
        <v>4621</v>
      </c>
      <c r="G2128" s="10">
        <v>45314</v>
      </c>
      <c r="H2128">
        <v>147000</v>
      </c>
      <c r="I2128">
        <v>38666.67</v>
      </c>
      <c r="J2128" t="s">
        <v>97</v>
      </c>
      <c r="K2128">
        <v>5</v>
      </c>
      <c r="L2128" t="s">
        <v>41</v>
      </c>
      <c r="M2128" t="s">
        <v>42</v>
      </c>
    </row>
    <row r="2129" spans="1:13">
      <c r="A2129" t="s">
        <v>341</v>
      </c>
      <c r="B2129" t="s">
        <v>179</v>
      </c>
      <c r="C2129" t="s">
        <v>45</v>
      </c>
      <c r="D2129" t="s">
        <v>4622</v>
      </c>
      <c r="E2129">
        <v>4</v>
      </c>
      <c r="F2129" t="s">
        <v>4623</v>
      </c>
      <c r="G2129" s="10">
        <v>45274</v>
      </c>
      <c r="H2129">
        <v>483000</v>
      </c>
      <c r="I2129">
        <v>124667</v>
      </c>
      <c r="J2129" t="s">
        <v>4196</v>
      </c>
      <c r="K2129">
        <v>5</v>
      </c>
      <c r="L2129" t="s">
        <v>44</v>
      </c>
      <c r="M2129" t="s">
        <v>48</v>
      </c>
    </row>
    <row r="2130" spans="1:13">
      <c r="A2130" t="s">
        <v>1447</v>
      </c>
      <c r="B2130" t="s">
        <v>179</v>
      </c>
      <c r="C2130" t="s">
        <v>45</v>
      </c>
      <c r="D2130" t="s">
        <v>4624</v>
      </c>
      <c r="E2130">
        <v>4</v>
      </c>
      <c r="F2130" t="s">
        <v>4625</v>
      </c>
      <c r="G2130" s="10">
        <v>45288</v>
      </c>
      <c r="H2130">
        <v>350000</v>
      </c>
      <c r="I2130">
        <v>58333.33</v>
      </c>
      <c r="J2130" t="s">
        <v>4196</v>
      </c>
      <c r="K2130">
        <v>5</v>
      </c>
      <c r="L2130" t="s">
        <v>44</v>
      </c>
      <c r="M2130" t="s">
        <v>48</v>
      </c>
    </row>
    <row r="2131" spans="1:13">
      <c r="A2131" t="s">
        <v>3874</v>
      </c>
      <c r="B2131" t="s">
        <v>179</v>
      </c>
      <c r="C2131" t="s">
        <v>45</v>
      </c>
      <c r="D2131" t="s">
        <v>4626</v>
      </c>
      <c r="E2131">
        <v>2</v>
      </c>
      <c r="F2131" t="s">
        <v>4627</v>
      </c>
      <c r="G2131" s="10">
        <v>45307</v>
      </c>
      <c r="H2131">
        <v>441000</v>
      </c>
      <c r="I2131">
        <v>332667</v>
      </c>
      <c r="J2131" t="s">
        <v>4196</v>
      </c>
      <c r="K2131">
        <v>5</v>
      </c>
      <c r="L2131" t="s">
        <v>44</v>
      </c>
      <c r="M2131" t="s">
        <v>48</v>
      </c>
    </row>
    <row r="2132" spans="1:13">
      <c r="A2132" t="s">
        <v>2360</v>
      </c>
      <c r="B2132" t="s">
        <v>43</v>
      </c>
      <c r="C2132" t="s">
        <v>94</v>
      </c>
      <c r="D2132" t="s">
        <v>4628</v>
      </c>
      <c r="E2132">
        <v>2</v>
      </c>
      <c r="F2132" t="s">
        <v>4629</v>
      </c>
      <c r="G2132" s="10">
        <v>45120</v>
      </c>
      <c r="H2132">
        <v>88200</v>
      </c>
      <c r="I2132">
        <v>25700</v>
      </c>
      <c r="J2132" t="s">
        <v>4630</v>
      </c>
      <c r="K2132">
        <v>6</v>
      </c>
      <c r="L2132" t="s">
        <v>238</v>
      </c>
      <c r="M2132" t="s">
        <v>4631</v>
      </c>
    </row>
    <row r="2133" spans="1:13">
      <c r="A2133" t="s">
        <v>1039</v>
      </c>
      <c r="B2133" t="s">
        <v>28</v>
      </c>
      <c r="C2133" t="s">
        <v>238</v>
      </c>
      <c r="D2133" t="s">
        <v>4632</v>
      </c>
      <c r="E2133">
        <v>2</v>
      </c>
      <c r="F2133" t="s">
        <v>4633</v>
      </c>
      <c r="G2133" s="10">
        <v>45145</v>
      </c>
      <c r="H2133">
        <v>157500</v>
      </c>
      <c r="I2133">
        <v>74167</v>
      </c>
      <c r="J2133" t="s">
        <v>4630</v>
      </c>
      <c r="K2133">
        <v>5</v>
      </c>
      <c r="L2133" t="s">
        <v>238</v>
      </c>
      <c r="M2133" t="s">
        <v>4631</v>
      </c>
    </row>
    <row r="2134" spans="1:13">
      <c r="A2134" t="s">
        <v>676</v>
      </c>
      <c r="B2134" t="s">
        <v>28</v>
      </c>
      <c r="C2134" t="s">
        <v>238</v>
      </c>
      <c r="D2134" t="s">
        <v>4634</v>
      </c>
      <c r="E2134">
        <v>2</v>
      </c>
      <c r="F2134" t="s">
        <v>4635</v>
      </c>
      <c r="G2134" s="10">
        <v>45217</v>
      </c>
      <c r="H2134">
        <v>88200</v>
      </c>
      <c r="I2134">
        <v>13200</v>
      </c>
      <c r="J2134" t="s">
        <v>4630</v>
      </c>
      <c r="K2134">
        <v>5</v>
      </c>
      <c r="L2134" t="s">
        <v>238</v>
      </c>
      <c r="M2134" t="s">
        <v>4631</v>
      </c>
    </row>
    <row r="2135" spans="1:13">
      <c r="A2135" t="s">
        <v>4064</v>
      </c>
      <c r="B2135" t="s">
        <v>146</v>
      </c>
      <c r="C2135" t="s">
        <v>98</v>
      </c>
      <c r="D2135" t="s">
        <v>4636</v>
      </c>
      <c r="E2135">
        <v>1</v>
      </c>
      <c r="F2135" t="s">
        <v>4637</v>
      </c>
      <c r="G2135" s="10">
        <v>45131</v>
      </c>
      <c r="H2135">
        <v>96000</v>
      </c>
      <c r="I2135">
        <v>29334</v>
      </c>
      <c r="J2135" t="s">
        <v>4638</v>
      </c>
      <c r="K2135">
        <v>6</v>
      </c>
      <c r="L2135" t="s">
        <v>24</v>
      </c>
      <c r="M2135" t="s">
        <v>24</v>
      </c>
    </row>
    <row r="2136" spans="1:13">
      <c r="A2136" t="s">
        <v>4064</v>
      </c>
      <c r="B2136" t="s">
        <v>146</v>
      </c>
      <c r="C2136" t="s">
        <v>98</v>
      </c>
      <c r="D2136" t="s">
        <v>4639</v>
      </c>
      <c r="E2136">
        <v>1</v>
      </c>
      <c r="F2136" t="s">
        <v>4640</v>
      </c>
      <c r="G2136" s="10">
        <v>45131</v>
      </c>
      <c r="H2136">
        <v>95000</v>
      </c>
      <c r="I2136">
        <v>45000</v>
      </c>
      <c r="J2136" t="s">
        <v>4638</v>
      </c>
      <c r="K2136">
        <v>6</v>
      </c>
      <c r="L2136" t="s">
        <v>24</v>
      </c>
      <c r="M2136" t="s">
        <v>24</v>
      </c>
    </row>
    <row r="2137" spans="1:13">
      <c r="A2137" t="s">
        <v>186</v>
      </c>
      <c r="B2137" t="s">
        <v>179</v>
      </c>
      <c r="C2137" t="s">
        <v>45</v>
      </c>
      <c r="D2137" t="s">
        <v>4641</v>
      </c>
      <c r="E2137">
        <v>2</v>
      </c>
      <c r="F2137" t="s">
        <v>4642</v>
      </c>
      <c r="G2137" s="10">
        <v>45313</v>
      </c>
      <c r="H2137">
        <v>115000</v>
      </c>
      <c r="I2137">
        <v>69167</v>
      </c>
      <c r="J2137" t="s">
        <v>4643</v>
      </c>
      <c r="K2137">
        <v>6</v>
      </c>
      <c r="L2137" t="s">
        <v>44</v>
      </c>
      <c r="M2137" t="s">
        <v>44</v>
      </c>
    </row>
    <row r="2138" spans="1:13">
      <c r="A2138" t="s">
        <v>703</v>
      </c>
      <c r="B2138" t="s">
        <v>179</v>
      </c>
      <c r="C2138" t="s">
        <v>45</v>
      </c>
      <c r="D2138" t="s">
        <v>4644</v>
      </c>
      <c r="E2138">
        <v>2</v>
      </c>
      <c r="F2138" t="s">
        <v>4645</v>
      </c>
      <c r="G2138" s="10">
        <v>45313</v>
      </c>
      <c r="H2138">
        <v>115000</v>
      </c>
      <c r="I2138">
        <v>70000</v>
      </c>
      <c r="J2138" t="s">
        <v>4643</v>
      </c>
      <c r="K2138">
        <v>5</v>
      </c>
      <c r="L2138" t="s">
        <v>44</v>
      </c>
      <c r="M2138" t="s">
        <v>44</v>
      </c>
    </row>
    <row r="2139" spans="1:13">
      <c r="A2139" t="s">
        <v>3874</v>
      </c>
      <c r="B2139" t="s">
        <v>179</v>
      </c>
      <c r="C2139" t="s">
        <v>45</v>
      </c>
      <c r="D2139" t="s">
        <v>4646</v>
      </c>
      <c r="E2139">
        <v>2</v>
      </c>
      <c r="F2139" t="s">
        <v>4647</v>
      </c>
      <c r="G2139" s="10">
        <v>45313</v>
      </c>
      <c r="H2139">
        <v>70000</v>
      </c>
      <c r="I2139">
        <v>40834</v>
      </c>
      <c r="J2139" t="s">
        <v>4643</v>
      </c>
      <c r="K2139">
        <v>6</v>
      </c>
      <c r="L2139" t="s">
        <v>44</v>
      </c>
      <c r="M2139" t="s">
        <v>44</v>
      </c>
    </row>
    <row r="2140" spans="1:13">
      <c r="A2140" t="s">
        <v>3120</v>
      </c>
      <c r="B2140" t="s">
        <v>179</v>
      </c>
      <c r="C2140" t="s">
        <v>45</v>
      </c>
      <c r="D2140" t="s">
        <v>4648</v>
      </c>
      <c r="E2140">
        <v>2</v>
      </c>
      <c r="F2140" t="s">
        <v>4649</v>
      </c>
      <c r="G2140" s="10">
        <v>45313</v>
      </c>
      <c r="H2140">
        <v>125000</v>
      </c>
      <c r="I2140">
        <v>79167</v>
      </c>
      <c r="J2140" t="s">
        <v>4643</v>
      </c>
      <c r="K2140">
        <v>5</v>
      </c>
      <c r="L2140" t="s">
        <v>44</v>
      </c>
      <c r="M2140" t="s">
        <v>44</v>
      </c>
    </row>
    <row r="2141" spans="1:13">
      <c r="A2141" t="s">
        <v>341</v>
      </c>
      <c r="B2141" t="s">
        <v>179</v>
      </c>
      <c r="C2141" t="s">
        <v>45</v>
      </c>
      <c r="D2141" t="s">
        <v>4650</v>
      </c>
      <c r="E2141">
        <v>2</v>
      </c>
      <c r="F2141" t="s">
        <v>4651</v>
      </c>
      <c r="G2141" s="10">
        <v>45313</v>
      </c>
      <c r="H2141">
        <v>115000</v>
      </c>
      <c r="I2141">
        <v>73334</v>
      </c>
      <c r="J2141" t="s">
        <v>4643</v>
      </c>
      <c r="K2141">
        <v>5</v>
      </c>
      <c r="L2141" t="s">
        <v>44</v>
      </c>
      <c r="M2141" t="s">
        <v>44</v>
      </c>
    </row>
    <row r="2142" spans="1:13">
      <c r="A2142" t="s">
        <v>3326</v>
      </c>
      <c r="B2142" t="s">
        <v>179</v>
      </c>
      <c r="C2142" t="s">
        <v>45</v>
      </c>
      <c r="D2142" t="s">
        <v>4652</v>
      </c>
      <c r="E2142">
        <v>2</v>
      </c>
      <c r="F2142" t="s">
        <v>4653</v>
      </c>
      <c r="G2142" s="10">
        <v>45313</v>
      </c>
      <c r="H2142">
        <v>105000</v>
      </c>
      <c r="I2142">
        <v>59167</v>
      </c>
      <c r="J2142" t="s">
        <v>4643</v>
      </c>
      <c r="K2142">
        <v>5</v>
      </c>
      <c r="L2142" t="s">
        <v>44</v>
      </c>
      <c r="M2142" t="s">
        <v>44</v>
      </c>
    </row>
    <row r="2143" spans="1:13">
      <c r="A2143" t="s">
        <v>661</v>
      </c>
      <c r="B2143" t="s">
        <v>179</v>
      </c>
      <c r="C2143" t="s">
        <v>45</v>
      </c>
      <c r="D2143" t="s">
        <v>4654</v>
      </c>
      <c r="E2143">
        <v>2</v>
      </c>
      <c r="F2143" t="s">
        <v>4655</v>
      </c>
      <c r="G2143" s="10">
        <v>45313</v>
      </c>
      <c r="H2143">
        <v>105000</v>
      </c>
      <c r="I2143">
        <v>59167</v>
      </c>
      <c r="J2143" t="s">
        <v>4643</v>
      </c>
      <c r="K2143">
        <v>5</v>
      </c>
      <c r="L2143" t="s">
        <v>44</v>
      </c>
      <c r="M2143" t="s">
        <v>44</v>
      </c>
    </row>
    <row r="2144" spans="1:13">
      <c r="A2144" t="s">
        <v>4300</v>
      </c>
      <c r="B2144" t="s">
        <v>1983</v>
      </c>
      <c r="C2144" t="s">
        <v>45</v>
      </c>
      <c r="D2144" t="s">
        <v>4656</v>
      </c>
      <c r="E2144">
        <v>2</v>
      </c>
      <c r="F2144" t="s">
        <v>4657</v>
      </c>
      <c r="G2144" s="10">
        <v>45313</v>
      </c>
      <c r="H2144">
        <v>105000</v>
      </c>
      <c r="I2144">
        <v>59167</v>
      </c>
      <c r="J2144" t="s">
        <v>4643</v>
      </c>
      <c r="K2144">
        <v>5</v>
      </c>
      <c r="L2144" t="s">
        <v>44</v>
      </c>
      <c r="M2144" t="s">
        <v>44</v>
      </c>
    </row>
    <row r="2145" spans="1:13">
      <c r="A2145" t="s">
        <v>186</v>
      </c>
      <c r="B2145" t="s">
        <v>179</v>
      </c>
      <c r="C2145" t="s">
        <v>45</v>
      </c>
      <c r="D2145" t="s">
        <v>4658</v>
      </c>
      <c r="E2145">
        <v>2</v>
      </c>
      <c r="F2145" t="s">
        <v>4659</v>
      </c>
      <c r="G2145" s="10">
        <v>45313</v>
      </c>
      <c r="H2145">
        <v>105000</v>
      </c>
      <c r="I2145">
        <v>67500</v>
      </c>
      <c r="J2145" t="s">
        <v>4643</v>
      </c>
      <c r="K2145">
        <v>5</v>
      </c>
      <c r="L2145" t="s">
        <v>44</v>
      </c>
      <c r="M2145" t="s">
        <v>44</v>
      </c>
    </row>
    <row r="2146" spans="1:13">
      <c r="A2146" t="s">
        <v>3673</v>
      </c>
      <c r="B2146" t="s">
        <v>179</v>
      </c>
      <c r="C2146" t="s">
        <v>45</v>
      </c>
      <c r="D2146" t="s">
        <v>4660</v>
      </c>
      <c r="E2146">
        <v>2</v>
      </c>
      <c r="F2146" t="s">
        <v>4661</v>
      </c>
      <c r="G2146" s="10">
        <v>45313</v>
      </c>
      <c r="H2146">
        <v>70000</v>
      </c>
      <c r="I2146">
        <v>40834</v>
      </c>
      <c r="J2146" t="s">
        <v>4643</v>
      </c>
      <c r="K2146">
        <v>5</v>
      </c>
      <c r="L2146" t="s">
        <v>44</v>
      </c>
      <c r="M2146" t="s">
        <v>44</v>
      </c>
    </row>
    <row r="2147" spans="1:13">
      <c r="A2147" t="s">
        <v>256</v>
      </c>
      <c r="B2147" t="s">
        <v>160</v>
      </c>
      <c r="C2147" t="s">
        <v>67</v>
      </c>
      <c r="D2147" t="s">
        <v>4662</v>
      </c>
      <c r="E2147">
        <v>2</v>
      </c>
      <c r="F2147" t="s">
        <v>4663</v>
      </c>
      <c r="G2147" s="10">
        <v>45310</v>
      </c>
      <c r="H2147">
        <v>22420</v>
      </c>
      <c r="I2147">
        <v>3420</v>
      </c>
      <c r="J2147" t="s">
        <v>193</v>
      </c>
      <c r="K2147">
        <v>6</v>
      </c>
      <c r="L2147" t="s">
        <v>35</v>
      </c>
      <c r="M2147" t="s">
        <v>27</v>
      </c>
    </row>
    <row r="2148" spans="1:13">
      <c r="A2148" t="s">
        <v>3673</v>
      </c>
      <c r="B2148" t="s">
        <v>179</v>
      </c>
      <c r="C2148" t="s">
        <v>45</v>
      </c>
      <c r="D2148" t="s">
        <v>4664</v>
      </c>
      <c r="E2148">
        <v>2</v>
      </c>
      <c r="F2148" t="s">
        <v>4665</v>
      </c>
      <c r="G2148" s="10">
        <v>45313</v>
      </c>
      <c r="H2148">
        <v>70000</v>
      </c>
      <c r="I2148">
        <v>28334</v>
      </c>
      <c r="J2148" t="s">
        <v>4643</v>
      </c>
      <c r="K2148">
        <v>5</v>
      </c>
      <c r="L2148" t="s">
        <v>44</v>
      </c>
      <c r="M2148" t="s">
        <v>44</v>
      </c>
    </row>
    <row r="2149" spans="1:13">
      <c r="A2149" t="s">
        <v>661</v>
      </c>
      <c r="B2149" t="s">
        <v>179</v>
      </c>
      <c r="C2149" t="s">
        <v>45</v>
      </c>
      <c r="D2149" t="s">
        <v>4666</v>
      </c>
      <c r="E2149">
        <v>2</v>
      </c>
      <c r="F2149" t="s">
        <v>4667</v>
      </c>
      <c r="G2149" s="10">
        <v>45313</v>
      </c>
      <c r="H2149">
        <v>105000</v>
      </c>
      <c r="I2149">
        <v>71667</v>
      </c>
      <c r="J2149" t="s">
        <v>4643</v>
      </c>
      <c r="K2149">
        <v>5</v>
      </c>
      <c r="L2149" t="s">
        <v>44</v>
      </c>
      <c r="M2149" t="s">
        <v>44</v>
      </c>
    </row>
    <row r="2150" spans="1:13">
      <c r="A2150" t="s">
        <v>4300</v>
      </c>
      <c r="B2150" t="s">
        <v>1983</v>
      </c>
      <c r="C2150" t="s">
        <v>45</v>
      </c>
      <c r="D2150" t="s">
        <v>4668</v>
      </c>
      <c r="E2150">
        <v>2</v>
      </c>
      <c r="F2150" t="s">
        <v>4669</v>
      </c>
      <c r="G2150" s="10">
        <v>45313</v>
      </c>
      <c r="H2150">
        <v>105000</v>
      </c>
      <c r="I2150">
        <v>69167</v>
      </c>
      <c r="J2150" t="s">
        <v>4643</v>
      </c>
      <c r="K2150">
        <v>5</v>
      </c>
      <c r="L2150" t="s">
        <v>44</v>
      </c>
      <c r="M2150" t="s">
        <v>44</v>
      </c>
    </row>
    <row r="2151" spans="1:13">
      <c r="A2151" t="s">
        <v>4300</v>
      </c>
      <c r="B2151" t="s">
        <v>1983</v>
      </c>
      <c r="C2151" t="s">
        <v>45</v>
      </c>
      <c r="D2151" t="s">
        <v>4670</v>
      </c>
      <c r="E2151">
        <v>2</v>
      </c>
      <c r="F2151" t="s">
        <v>4671</v>
      </c>
      <c r="G2151" s="10">
        <v>45313</v>
      </c>
      <c r="H2151">
        <v>105000</v>
      </c>
      <c r="I2151">
        <v>70000</v>
      </c>
      <c r="J2151" t="s">
        <v>4643</v>
      </c>
      <c r="K2151">
        <v>6</v>
      </c>
      <c r="L2151" t="s">
        <v>44</v>
      </c>
      <c r="M2151" t="s">
        <v>44</v>
      </c>
    </row>
    <row r="2152" spans="1:13">
      <c r="A2152" t="s">
        <v>3673</v>
      </c>
      <c r="B2152" t="s">
        <v>179</v>
      </c>
      <c r="C2152" t="s">
        <v>45</v>
      </c>
      <c r="D2152" t="s">
        <v>4672</v>
      </c>
      <c r="E2152">
        <v>2</v>
      </c>
      <c r="F2152" t="s">
        <v>4673</v>
      </c>
      <c r="G2152" s="10">
        <v>45313</v>
      </c>
      <c r="H2152">
        <v>70000</v>
      </c>
      <c r="I2152">
        <v>40000</v>
      </c>
      <c r="J2152" t="s">
        <v>4643</v>
      </c>
      <c r="K2152">
        <v>5</v>
      </c>
      <c r="L2152" t="s">
        <v>44</v>
      </c>
      <c r="M2152" t="s">
        <v>44</v>
      </c>
    </row>
    <row r="2153" spans="1:13">
      <c r="A2153" t="s">
        <v>571</v>
      </c>
      <c r="B2153" t="s">
        <v>179</v>
      </c>
      <c r="C2153" t="s">
        <v>45</v>
      </c>
      <c r="D2153" t="s">
        <v>4674</v>
      </c>
      <c r="E2153">
        <v>2</v>
      </c>
      <c r="F2153" t="s">
        <v>4675</v>
      </c>
      <c r="G2153" s="10">
        <v>45313</v>
      </c>
      <c r="H2153">
        <v>70000</v>
      </c>
      <c r="I2153">
        <v>36667</v>
      </c>
      <c r="J2153" t="s">
        <v>4643</v>
      </c>
      <c r="K2153">
        <v>5</v>
      </c>
      <c r="L2153" t="s">
        <v>44</v>
      </c>
      <c r="M2153" t="s">
        <v>44</v>
      </c>
    </row>
    <row r="2154" spans="1:13">
      <c r="A2154" t="s">
        <v>3120</v>
      </c>
      <c r="B2154" t="s">
        <v>179</v>
      </c>
      <c r="C2154" t="s">
        <v>45</v>
      </c>
      <c r="D2154" t="s">
        <v>4676</v>
      </c>
      <c r="E2154">
        <v>2</v>
      </c>
      <c r="F2154" t="s">
        <v>4677</v>
      </c>
      <c r="G2154" s="10">
        <v>45313</v>
      </c>
      <c r="H2154">
        <v>105000</v>
      </c>
      <c r="I2154">
        <v>63334</v>
      </c>
      <c r="J2154" t="s">
        <v>4643</v>
      </c>
      <c r="K2154">
        <v>5</v>
      </c>
      <c r="L2154" t="s">
        <v>44</v>
      </c>
      <c r="M2154" t="s">
        <v>44</v>
      </c>
    </row>
    <row r="2155" spans="1:13">
      <c r="A2155" t="s">
        <v>661</v>
      </c>
      <c r="B2155" t="s">
        <v>179</v>
      </c>
      <c r="C2155" t="s">
        <v>45</v>
      </c>
      <c r="D2155" t="s">
        <v>4678</v>
      </c>
      <c r="E2155">
        <v>2</v>
      </c>
      <c r="F2155" t="s">
        <v>4679</v>
      </c>
      <c r="G2155" s="10">
        <v>45313</v>
      </c>
      <c r="H2155">
        <v>105000</v>
      </c>
      <c r="I2155">
        <v>75834</v>
      </c>
      <c r="J2155" t="s">
        <v>4643</v>
      </c>
      <c r="K2155">
        <v>6</v>
      </c>
      <c r="L2155" t="s">
        <v>44</v>
      </c>
      <c r="M2155" t="s">
        <v>44</v>
      </c>
    </row>
    <row r="2156" spans="1:13">
      <c r="A2156" t="s">
        <v>194</v>
      </c>
      <c r="B2156" t="s">
        <v>160</v>
      </c>
      <c r="C2156" t="s">
        <v>67</v>
      </c>
      <c r="D2156" t="s">
        <v>4680</v>
      </c>
      <c r="E2156">
        <v>2</v>
      </c>
      <c r="F2156" t="s">
        <v>4681</v>
      </c>
      <c r="G2156" s="10">
        <v>45313</v>
      </c>
      <c r="H2156">
        <v>21830</v>
      </c>
      <c r="I2156">
        <v>3330</v>
      </c>
      <c r="J2156" t="s">
        <v>193</v>
      </c>
      <c r="K2156">
        <v>5</v>
      </c>
      <c r="L2156" t="s">
        <v>35</v>
      </c>
      <c r="M2156" t="s">
        <v>27</v>
      </c>
    </row>
    <row r="2157" spans="1:13">
      <c r="A2157" t="s">
        <v>379</v>
      </c>
      <c r="B2157" t="s">
        <v>179</v>
      </c>
      <c r="C2157" t="s">
        <v>45</v>
      </c>
      <c r="D2157" t="s">
        <v>4682</v>
      </c>
      <c r="E2157">
        <v>2</v>
      </c>
      <c r="F2157" t="s">
        <v>4683</v>
      </c>
      <c r="G2157" s="10">
        <v>45313</v>
      </c>
      <c r="H2157">
        <v>105000</v>
      </c>
      <c r="I2157">
        <v>63334</v>
      </c>
      <c r="J2157" t="s">
        <v>4643</v>
      </c>
      <c r="K2157">
        <v>5</v>
      </c>
      <c r="L2157" t="s">
        <v>44</v>
      </c>
      <c r="M2157" t="s">
        <v>44</v>
      </c>
    </row>
    <row r="2158" spans="1:13">
      <c r="A2158" t="s">
        <v>4449</v>
      </c>
      <c r="B2158" t="s">
        <v>160</v>
      </c>
      <c r="C2158" t="s">
        <v>67</v>
      </c>
      <c r="D2158" t="s">
        <v>4684</v>
      </c>
      <c r="E2158">
        <v>2</v>
      </c>
      <c r="F2158" t="s">
        <v>4685</v>
      </c>
      <c r="G2158" s="10">
        <v>45313</v>
      </c>
      <c r="H2158">
        <v>22420</v>
      </c>
      <c r="I2158">
        <v>3420</v>
      </c>
      <c r="J2158" t="s">
        <v>193</v>
      </c>
      <c r="K2158">
        <v>5</v>
      </c>
      <c r="L2158" t="s">
        <v>35</v>
      </c>
      <c r="M2158" t="s">
        <v>27</v>
      </c>
    </row>
    <row r="2159" spans="1:13">
      <c r="A2159" t="s">
        <v>186</v>
      </c>
      <c r="B2159" t="s">
        <v>179</v>
      </c>
      <c r="C2159" t="s">
        <v>45</v>
      </c>
      <c r="D2159" t="s">
        <v>4686</v>
      </c>
      <c r="E2159">
        <v>2</v>
      </c>
      <c r="F2159" t="s">
        <v>4687</v>
      </c>
      <c r="G2159" s="10">
        <v>45313</v>
      </c>
      <c r="H2159">
        <v>115000</v>
      </c>
      <c r="I2159">
        <v>69167</v>
      </c>
      <c r="J2159" t="s">
        <v>4643</v>
      </c>
      <c r="K2159">
        <v>6</v>
      </c>
      <c r="L2159" t="s">
        <v>44</v>
      </c>
      <c r="M2159" t="s">
        <v>44</v>
      </c>
    </row>
    <row r="2160" spans="1:13">
      <c r="A2160" t="s">
        <v>178</v>
      </c>
      <c r="B2160" t="s">
        <v>179</v>
      </c>
      <c r="C2160" t="s">
        <v>45</v>
      </c>
      <c r="D2160" t="s">
        <v>4688</v>
      </c>
      <c r="E2160">
        <v>2</v>
      </c>
      <c r="F2160" t="s">
        <v>4689</v>
      </c>
      <c r="G2160" s="10">
        <v>45313</v>
      </c>
      <c r="H2160">
        <v>105000</v>
      </c>
      <c r="I2160">
        <v>61667</v>
      </c>
      <c r="J2160" t="s">
        <v>4643</v>
      </c>
      <c r="K2160">
        <v>5</v>
      </c>
      <c r="L2160" t="s">
        <v>44</v>
      </c>
      <c r="M2160" t="s">
        <v>44</v>
      </c>
    </row>
    <row r="2161" spans="1:13">
      <c r="A2161" t="s">
        <v>82</v>
      </c>
      <c r="B2161" t="s">
        <v>28</v>
      </c>
      <c r="C2161" t="s">
        <v>238</v>
      </c>
      <c r="D2161" t="s">
        <v>4690</v>
      </c>
      <c r="E2161">
        <v>2</v>
      </c>
      <c r="F2161" t="s">
        <v>4691</v>
      </c>
      <c r="G2161" s="10">
        <v>45323</v>
      </c>
      <c r="H2161">
        <v>50641.2</v>
      </c>
      <c r="I2161">
        <v>2041.2</v>
      </c>
      <c r="J2161" t="s">
        <v>85</v>
      </c>
      <c r="K2161">
        <v>5</v>
      </c>
      <c r="L2161" t="s">
        <v>24</v>
      </c>
      <c r="M2161" t="s">
        <v>25</v>
      </c>
    </row>
    <row r="2162" spans="1:13">
      <c r="A2162" t="s">
        <v>178</v>
      </c>
      <c r="B2162" t="s">
        <v>179</v>
      </c>
      <c r="C2162" t="s">
        <v>45</v>
      </c>
      <c r="D2162" t="s">
        <v>4692</v>
      </c>
      <c r="E2162">
        <v>2</v>
      </c>
      <c r="F2162" t="s">
        <v>4693</v>
      </c>
      <c r="G2162" s="10">
        <v>45310</v>
      </c>
      <c r="H2162">
        <v>80000</v>
      </c>
      <c r="I2162">
        <v>12334</v>
      </c>
      <c r="J2162" t="s">
        <v>182</v>
      </c>
      <c r="K2162">
        <v>5</v>
      </c>
      <c r="L2162" t="s">
        <v>44</v>
      </c>
      <c r="M2162" t="s">
        <v>45</v>
      </c>
    </row>
    <row r="2163" spans="1:13">
      <c r="A2163" t="s">
        <v>379</v>
      </c>
      <c r="B2163" t="s">
        <v>179</v>
      </c>
      <c r="C2163" t="s">
        <v>45</v>
      </c>
      <c r="D2163" t="s">
        <v>4694</v>
      </c>
      <c r="E2163">
        <v>2</v>
      </c>
      <c r="F2163" t="s">
        <v>4695</v>
      </c>
      <c r="G2163" s="10">
        <v>45313</v>
      </c>
      <c r="H2163">
        <v>115000</v>
      </c>
      <c r="I2163">
        <v>69167</v>
      </c>
      <c r="J2163" t="s">
        <v>4643</v>
      </c>
      <c r="K2163">
        <v>5</v>
      </c>
      <c r="L2163" t="s">
        <v>44</v>
      </c>
      <c r="M2163" t="s">
        <v>44</v>
      </c>
    </row>
    <row r="2164" spans="1:13">
      <c r="A2164" t="s">
        <v>1228</v>
      </c>
      <c r="B2164" t="s">
        <v>224</v>
      </c>
      <c r="C2164" t="s">
        <v>94</v>
      </c>
      <c r="D2164" t="s">
        <v>4696</v>
      </c>
      <c r="E2164">
        <v>2</v>
      </c>
      <c r="F2164" t="s">
        <v>4697</v>
      </c>
      <c r="G2164" s="10">
        <v>45310</v>
      </c>
      <c r="H2164">
        <v>26000</v>
      </c>
      <c r="I2164">
        <v>4000</v>
      </c>
      <c r="J2164" t="s">
        <v>227</v>
      </c>
      <c r="K2164">
        <v>5</v>
      </c>
      <c r="L2164" t="s">
        <v>41</v>
      </c>
      <c r="M2164" t="s">
        <v>42</v>
      </c>
    </row>
    <row r="2165" spans="1:13">
      <c r="A2165" t="s">
        <v>4303</v>
      </c>
      <c r="B2165" t="s">
        <v>1983</v>
      </c>
      <c r="C2165" t="s">
        <v>45</v>
      </c>
      <c r="D2165" t="s">
        <v>4698</v>
      </c>
      <c r="E2165">
        <v>2</v>
      </c>
      <c r="F2165" t="s">
        <v>4699</v>
      </c>
      <c r="G2165" s="10">
        <v>45313</v>
      </c>
      <c r="H2165">
        <v>105000</v>
      </c>
      <c r="I2165">
        <v>56667</v>
      </c>
      <c r="J2165" t="s">
        <v>4643</v>
      </c>
      <c r="K2165">
        <v>5</v>
      </c>
      <c r="L2165" t="s">
        <v>44</v>
      </c>
      <c r="M2165" t="s">
        <v>44</v>
      </c>
    </row>
    <row r="2166" spans="1:13">
      <c r="A2166" t="s">
        <v>376</v>
      </c>
      <c r="B2166" t="s">
        <v>66</v>
      </c>
      <c r="C2166" t="s">
        <v>67</v>
      </c>
      <c r="D2166" t="s">
        <v>4700</v>
      </c>
      <c r="E2166">
        <v>6</v>
      </c>
      <c r="F2166" t="s">
        <v>4701</v>
      </c>
      <c r="G2166" s="10">
        <v>45313</v>
      </c>
      <c r="H2166">
        <v>34375</v>
      </c>
      <c r="I2166">
        <v>6875</v>
      </c>
      <c r="J2166" t="s">
        <v>70</v>
      </c>
      <c r="K2166">
        <v>5</v>
      </c>
      <c r="L2166" t="s">
        <v>35</v>
      </c>
      <c r="M2166" t="s">
        <v>36</v>
      </c>
    </row>
    <row r="2167" spans="1:13">
      <c r="A2167" t="s">
        <v>376</v>
      </c>
      <c r="B2167" t="s">
        <v>66</v>
      </c>
      <c r="C2167" t="s">
        <v>67</v>
      </c>
      <c r="D2167" t="s">
        <v>4702</v>
      </c>
      <c r="E2167">
        <v>6</v>
      </c>
      <c r="F2167" t="s">
        <v>4703</v>
      </c>
      <c r="G2167" s="10">
        <v>45313</v>
      </c>
      <c r="H2167">
        <v>34375</v>
      </c>
      <c r="I2167">
        <v>6875</v>
      </c>
      <c r="J2167" t="s">
        <v>70</v>
      </c>
      <c r="K2167">
        <v>5</v>
      </c>
      <c r="L2167" t="s">
        <v>35</v>
      </c>
      <c r="M2167" t="s">
        <v>36</v>
      </c>
    </row>
    <row r="2168" spans="1:13">
      <c r="A2168" t="s">
        <v>376</v>
      </c>
      <c r="B2168" t="s">
        <v>66</v>
      </c>
      <c r="C2168" t="s">
        <v>67</v>
      </c>
      <c r="D2168" t="s">
        <v>4704</v>
      </c>
      <c r="E2168">
        <v>6</v>
      </c>
      <c r="F2168" t="s">
        <v>4705</v>
      </c>
      <c r="G2168" s="10">
        <v>45313</v>
      </c>
      <c r="H2168">
        <v>34375</v>
      </c>
      <c r="I2168">
        <v>6875</v>
      </c>
      <c r="J2168" t="s">
        <v>70</v>
      </c>
      <c r="K2168">
        <v>5</v>
      </c>
      <c r="L2168" t="s">
        <v>35</v>
      </c>
      <c r="M2168" t="s">
        <v>36</v>
      </c>
    </row>
    <row r="2169" spans="1:13">
      <c r="A2169" t="s">
        <v>1868</v>
      </c>
      <c r="B2169" t="s">
        <v>66</v>
      </c>
      <c r="C2169" t="s">
        <v>67</v>
      </c>
      <c r="D2169" t="s">
        <v>4706</v>
      </c>
      <c r="E2169">
        <v>6</v>
      </c>
      <c r="F2169" t="s">
        <v>4707</v>
      </c>
      <c r="G2169" s="10">
        <v>45313</v>
      </c>
      <c r="H2169">
        <v>34375</v>
      </c>
      <c r="I2169">
        <v>6875</v>
      </c>
      <c r="J2169" t="s">
        <v>70</v>
      </c>
      <c r="K2169">
        <v>5</v>
      </c>
      <c r="L2169" t="s">
        <v>35</v>
      </c>
      <c r="M2169" t="s">
        <v>36</v>
      </c>
    </row>
    <row r="2170" spans="1:13">
      <c r="A2170" t="s">
        <v>628</v>
      </c>
      <c r="B2170" t="s">
        <v>66</v>
      </c>
      <c r="C2170" t="s">
        <v>67</v>
      </c>
      <c r="D2170" t="s">
        <v>4708</v>
      </c>
      <c r="E2170">
        <v>6</v>
      </c>
      <c r="F2170" t="s">
        <v>4709</v>
      </c>
      <c r="G2170" s="10">
        <v>45313</v>
      </c>
      <c r="H2170">
        <v>34375</v>
      </c>
      <c r="I2170">
        <v>6875</v>
      </c>
      <c r="J2170" t="s">
        <v>70</v>
      </c>
      <c r="K2170">
        <v>5</v>
      </c>
      <c r="L2170" t="s">
        <v>35</v>
      </c>
      <c r="M2170" t="s">
        <v>36</v>
      </c>
    </row>
    <row r="2171" spans="1:13">
      <c r="A2171" t="s">
        <v>571</v>
      </c>
      <c r="B2171" t="s">
        <v>179</v>
      </c>
      <c r="C2171" t="s">
        <v>45</v>
      </c>
      <c r="D2171" t="s">
        <v>4710</v>
      </c>
      <c r="E2171">
        <v>2</v>
      </c>
      <c r="F2171" t="s">
        <v>4711</v>
      </c>
      <c r="G2171" s="10">
        <v>45313</v>
      </c>
      <c r="H2171">
        <v>105000</v>
      </c>
      <c r="I2171">
        <v>59167</v>
      </c>
      <c r="J2171" t="s">
        <v>4643</v>
      </c>
      <c r="K2171">
        <v>5</v>
      </c>
      <c r="L2171" t="s">
        <v>44</v>
      </c>
      <c r="M2171" t="s">
        <v>44</v>
      </c>
    </row>
    <row r="2172" spans="1:13">
      <c r="A2172" t="s">
        <v>361</v>
      </c>
      <c r="B2172" t="s">
        <v>72</v>
      </c>
      <c r="C2172" t="s">
        <v>67</v>
      </c>
      <c r="D2172" t="s">
        <v>4712</v>
      </c>
      <c r="E2172">
        <v>2</v>
      </c>
      <c r="F2172" t="s">
        <v>4713</v>
      </c>
      <c r="G2172" s="10">
        <v>45313</v>
      </c>
      <c r="H2172">
        <v>22420</v>
      </c>
      <c r="I2172">
        <v>3420</v>
      </c>
      <c r="J2172" t="s">
        <v>193</v>
      </c>
      <c r="K2172">
        <v>5</v>
      </c>
      <c r="L2172" t="s">
        <v>35</v>
      </c>
      <c r="M2172" t="s">
        <v>27</v>
      </c>
    </row>
    <row r="2173" spans="1:13">
      <c r="A2173" t="s">
        <v>42</v>
      </c>
      <c r="B2173" t="s">
        <v>41</v>
      </c>
      <c r="C2173" t="s">
        <v>42</v>
      </c>
      <c r="D2173" t="s">
        <v>4714</v>
      </c>
      <c r="E2173">
        <v>2</v>
      </c>
      <c r="F2173" t="s">
        <v>4715</v>
      </c>
      <c r="G2173" s="10">
        <v>45315</v>
      </c>
      <c r="H2173">
        <v>210000</v>
      </c>
      <c r="I2173">
        <v>38666.67</v>
      </c>
      <c r="J2173" t="s">
        <v>97</v>
      </c>
      <c r="K2173">
        <v>6</v>
      </c>
      <c r="L2173" t="s">
        <v>41</v>
      </c>
      <c r="M2173" t="s">
        <v>42</v>
      </c>
    </row>
    <row r="2174" spans="1:13">
      <c r="A2174" t="s">
        <v>854</v>
      </c>
      <c r="B2174" t="s">
        <v>93</v>
      </c>
      <c r="C2174" t="s">
        <v>94</v>
      </c>
      <c r="D2174" t="s">
        <v>4716</v>
      </c>
      <c r="E2174">
        <v>2</v>
      </c>
      <c r="F2174" t="s">
        <v>4717</v>
      </c>
      <c r="G2174" s="10">
        <v>45315</v>
      </c>
      <c r="H2174">
        <v>220500</v>
      </c>
      <c r="I2174">
        <v>70500</v>
      </c>
      <c r="J2174" t="s">
        <v>97</v>
      </c>
      <c r="K2174">
        <v>6</v>
      </c>
      <c r="L2174" t="s">
        <v>41</v>
      </c>
      <c r="M2174" t="s">
        <v>42</v>
      </c>
    </row>
    <row r="2175" spans="1:13">
      <c r="A2175" t="s">
        <v>4718</v>
      </c>
      <c r="B2175" t="s">
        <v>683</v>
      </c>
      <c r="C2175" t="s">
        <v>238</v>
      </c>
      <c r="D2175" t="s">
        <v>4719</v>
      </c>
      <c r="E2175">
        <v>2</v>
      </c>
      <c r="F2175" t="s">
        <v>4720</v>
      </c>
      <c r="G2175" s="10">
        <v>45313</v>
      </c>
      <c r="H2175">
        <v>82291.600000000006</v>
      </c>
      <c r="I2175">
        <v>28125.599999999999</v>
      </c>
      <c r="J2175" t="s">
        <v>4721</v>
      </c>
      <c r="K2175">
        <v>5</v>
      </c>
      <c r="L2175" t="s">
        <v>44</v>
      </c>
      <c r="M2175" t="s">
        <v>45</v>
      </c>
    </row>
    <row r="2176" spans="1:13">
      <c r="A2176" t="s">
        <v>2994</v>
      </c>
      <c r="B2176" t="s">
        <v>93</v>
      </c>
      <c r="C2176" t="s">
        <v>94</v>
      </c>
      <c r="D2176" t="s">
        <v>4722</v>
      </c>
      <c r="E2176">
        <v>2</v>
      </c>
      <c r="F2176" t="s">
        <v>4723</v>
      </c>
      <c r="G2176" s="10">
        <v>45315</v>
      </c>
      <c r="H2176">
        <v>199500</v>
      </c>
      <c r="I2176">
        <v>57833.33</v>
      </c>
      <c r="J2176" t="s">
        <v>97</v>
      </c>
      <c r="K2176">
        <v>5</v>
      </c>
      <c r="L2176" t="s">
        <v>41</v>
      </c>
      <c r="M2176" t="s">
        <v>42</v>
      </c>
    </row>
    <row r="2177" spans="1:13">
      <c r="A2177" t="s">
        <v>527</v>
      </c>
      <c r="B2177" t="s">
        <v>93</v>
      </c>
      <c r="C2177" t="s">
        <v>94</v>
      </c>
      <c r="D2177" t="s">
        <v>4724</v>
      </c>
      <c r="E2177">
        <v>2</v>
      </c>
      <c r="F2177" t="s">
        <v>4725</v>
      </c>
      <c r="G2177" s="10">
        <v>45315</v>
      </c>
      <c r="H2177">
        <v>147000</v>
      </c>
      <c r="I2177">
        <v>76166.67</v>
      </c>
      <c r="J2177" t="s">
        <v>97</v>
      </c>
      <c r="K2177">
        <v>5</v>
      </c>
      <c r="L2177" t="s">
        <v>41</v>
      </c>
      <c r="M2177" t="s">
        <v>42</v>
      </c>
    </row>
    <row r="2178" spans="1:13">
      <c r="A2178" t="s">
        <v>140</v>
      </c>
      <c r="B2178" t="s">
        <v>141</v>
      </c>
      <c r="C2178" t="s">
        <v>67</v>
      </c>
      <c r="D2178" t="s">
        <v>4726</v>
      </c>
      <c r="E2178">
        <v>1</v>
      </c>
      <c r="F2178" t="s">
        <v>4727</v>
      </c>
      <c r="G2178" s="10">
        <v>45316</v>
      </c>
      <c r="H2178">
        <v>39900</v>
      </c>
      <c r="I2178">
        <v>8234</v>
      </c>
      <c r="J2178" t="s">
        <v>144</v>
      </c>
      <c r="K2178">
        <v>5</v>
      </c>
      <c r="L2178" t="s">
        <v>38</v>
      </c>
      <c r="M2178" t="s">
        <v>25</v>
      </c>
    </row>
    <row r="2179" spans="1:13">
      <c r="A2179" t="s">
        <v>76</v>
      </c>
      <c r="B2179" t="s">
        <v>72</v>
      </c>
      <c r="C2179" t="s">
        <v>67</v>
      </c>
      <c r="D2179" t="s">
        <v>2426</v>
      </c>
      <c r="E2179">
        <v>1</v>
      </c>
      <c r="F2179" t="s">
        <v>4728</v>
      </c>
      <c r="G2179" s="10">
        <v>45313</v>
      </c>
      <c r="H2179">
        <v>27667.5</v>
      </c>
      <c r="I2179">
        <v>7667.5</v>
      </c>
      <c r="J2179" t="s">
        <v>2255</v>
      </c>
      <c r="K2179">
        <v>6</v>
      </c>
      <c r="L2179" t="s">
        <v>24</v>
      </c>
      <c r="M2179" t="s">
        <v>29</v>
      </c>
    </row>
    <row r="2180" spans="1:13">
      <c r="A2180" t="s">
        <v>76</v>
      </c>
      <c r="B2180" t="s">
        <v>72</v>
      </c>
      <c r="C2180" t="s">
        <v>67</v>
      </c>
      <c r="D2180" t="s">
        <v>4729</v>
      </c>
      <c r="E2180">
        <v>1</v>
      </c>
      <c r="F2180" t="s">
        <v>4730</v>
      </c>
      <c r="G2180" s="10">
        <v>45313</v>
      </c>
      <c r="H2180">
        <v>27667</v>
      </c>
      <c r="I2180">
        <v>7667</v>
      </c>
      <c r="J2180" t="s">
        <v>2255</v>
      </c>
      <c r="K2180">
        <v>6</v>
      </c>
      <c r="L2180" t="s">
        <v>24</v>
      </c>
      <c r="M2180" t="s">
        <v>29</v>
      </c>
    </row>
    <row r="2181" spans="1:13">
      <c r="A2181" t="s">
        <v>76</v>
      </c>
      <c r="B2181" t="s">
        <v>72</v>
      </c>
      <c r="C2181" t="s">
        <v>67</v>
      </c>
      <c r="D2181" t="s">
        <v>2870</v>
      </c>
      <c r="E2181">
        <v>1</v>
      </c>
      <c r="F2181" t="s">
        <v>4731</v>
      </c>
      <c r="G2181" s="10">
        <v>45313</v>
      </c>
      <c r="H2181">
        <v>27667.5</v>
      </c>
      <c r="I2181">
        <v>7667.5</v>
      </c>
      <c r="J2181" t="s">
        <v>2255</v>
      </c>
      <c r="K2181">
        <v>6</v>
      </c>
      <c r="L2181" t="s">
        <v>24</v>
      </c>
      <c r="M2181" t="s">
        <v>29</v>
      </c>
    </row>
    <row r="2182" spans="1:13">
      <c r="A2182" t="s">
        <v>76</v>
      </c>
      <c r="B2182" t="s">
        <v>72</v>
      </c>
      <c r="C2182" t="s">
        <v>67</v>
      </c>
      <c r="D2182" t="s">
        <v>4732</v>
      </c>
      <c r="E2182">
        <v>1</v>
      </c>
      <c r="F2182" t="s">
        <v>372</v>
      </c>
      <c r="G2182" s="10">
        <v>45313</v>
      </c>
      <c r="H2182">
        <v>27667.5</v>
      </c>
      <c r="I2182">
        <v>7667.5</v>
      </c>
      <c r="J2182" t="s">
        <v>2255</v>
      </c>
      <c r="K2182">
        <v>6</v>
      </c>
      <c r="L2182" t="s">
        <v>24</v>
      </c>
      <c r="M2182" t="s">
        <v>29</v>
      </c>
    </row>
    <row r="2183" spans="1:13">
      <c r="A2183" t="s">
        <v>76</v>
      </c>
      <c r="B2183" t="s">
        <v>72</v>
      </c>
      <c r="C2183" t="s">
        <v>67</v>
      </c>
      <c r="D2183" t="s">
        <v>4733</v>
      </c>
      <c r="E2183">
        <v>1</v>
      </c>
      <c r="F2183" t="s">
        <v>4734</v>
      </c>
      <c r="G2183" s="10">
        <v>45313</v>
      </c>
      <c r="H2183">
        <v>27667.5</v>
      </c>
      <c r="I2183">
        <v>7667.5</v>
      </c>
      <c r="J2183" t="s">
        <v>2255</v>
      </c>
      <c r="K2183">
        <v>6</v>
      </c>
      <c r="L2183" t="s">
        <v>24</v>
      </c>
      <c r="M2183" t="s">
        <v>29</v>
      </c>
    </row>
    <row r="2184" spans="1:13">
      <c r="A2184" t="s">
        <v>76</v>
      </c>
      <c r="B2184" t="s">
        <v>72</v>
      </c>
      <c r="C2184" t="s">
        <v>67</v>
      </c>
      <c r="D2184" t="s">
        <v>4735</v>
      </c>
      <c r="E2184">
        <v>1</v>
      </c>
      <c r="F2184" t="s">
        <v>4736</v>
      </c>
      <c r="G2184" s="10">
        <v>45313</v>
      </c>
      <c r="H2184">
        <v>27667.5</v>
      </c>
      <c r="I2184">
        <v>7667.5</v>
      </c>
      <c r="J2184" t="s">
        <v>2255</v>
      </c>
      <c r="K2184">
        <v>6</v>
      </c>
      <c r="L2184" t="s">
        <v>24</v>
      </c>
      <c r="M2184" t="s">
        <v>29</v>
      </c>
    </row>
    <row r="2185" spans="1:13">
      <c r="A2185" t="s">
        <v>76</v>
      </c>
      <c r="B2185" t="s">
        <v>72</v>
      </c>
      <c r="C2185" t="s">
        <v>67</v>
      </c>
      <c r="D2185" t="s">
        <v>4737</v>
      </c>
      <c r="E2185">
        <v>1</v>
      </c>
      <c r="F2185" t="s">
        <v>372</v>
      </c>
      <c r="G2185" s="10">
        <v>45313</v>
      </c>
      <c r="H2185">
        <v>27667.5</v>
      </c>
      <c r="I2185">
        <v>7667.5</v>
      </c>
      <c r="J2185" t="s">
        <v>2255</v>
      </c>
      <c r="K2185">
        <v>5</v>
      </c>
      <c r="L2185" t="s">
        <v>24</v>
      </c>
      <c r="M2185" t="s">
        <v>29</v>
      </c>
    </row>
    <row r="2186" spans="1:13">
      <c r="A2186" t="s">
        <v>361</v>
      </c>
      <c r="B2186" t="s">
        <v>72</v>
      </c>
      <c r="C2186" t="s">
        <v>67</v>
      </c>
      <c r="D2186" t="s">
        <v>3410</v>
      </c>
      <c r="E2186">
        <v>1</v>
      </c>
      <c r="F2186" t="s">
        <v>372</v>
      </c>
      <c r="G2186" s="10">
        <v>45313</v>
      </c>
      <c r="H2186">
        <v>27667.5</v>
      </c>
      <c r="I2186">
        <v>7667.5</v>
      </c>
      <c r="J2186" t="s">
        <v>2255</v>
      </c>
      <c r="K2186">
        <v>5</v>
      </c>
      <c r="L2186" t="s">
        <v>24</v>
      </c>
      <c r="M2186" t="s">
        <v>29</v>
      </c>
    </row>
    <row r="2187" spans="1:13">
      <c r="A2187" t="s">
        <v>361</v>
      </c>
      <c r="B2187" t="s">
        <v>72</v>
      </c>
      <c r="C2187" t="s">
        <v>67</v>
      </c>
      <c r="D2187" t="s">
        <v>4738</v>
      </c>
      <c r="E2187">
        <v>1</v>
      </c>
      <c r="F2187" t="s">
        <v>372</v>
      </c>
      <c r="G2187" s="10">
        <v>45313</v>
      </c>
      <c r="H2187">
        <v>27667.5</v>
      </c>
      <c r="I2187">
        <v>7667.5</v>
      </c>
      <c r="J2187" t="s">
        <v>2255</v>
      </c>
      <c r="K2187">
        <v>5</v>
      </c>
      <c r="L2187" t="s">
        <v>24</v>
      </c>
      <c r="M2187" t="s">
        <v>29</v>
      </c>
    </row>
    <row r="2188" spans="1:13">
      <c r="A2188" t="s">
        <v>361</v>
      </c>
      <c r="B2188" t="s">
        <v>72</v>
      </c>
      <c r="C2188" t="s">
        <v>67</v>
      </c>
      <c r="D2188" t="s">
        <v>4739</v>
      </c>
      <c r="E2188">
        <v>1</v>
      </c>
      <c r="F2188" t="s">
        <v>4740</v>
      </c>
      <c r="G2188" s="10">
        <v>45313</v>
      </c>
      <c r="H2188">
        <v>27667.5</v>
      </c>
      <c r="I2188">
        <v>7667.5</v>
      </c>
      <c r="J2188" t="s">
        <v>2255</v>
      </c>
      <c r="K2188">
        <v>6</v>
      </c>
      <c r="L2188" t="s">
        <v>24</v>
      </c>
      <c r="M2188" t="s">
        <v>29</v>
      </c>
    </row>
    <row r="2189" spans="1:13">
      <c r="A2189" t="s">
        <v>522</v>
      </c>
      <c r="B2189" t="s">
        <v>72</v>
      </c>
      <c r="C2189" t="s">
        <v>67</v>
      </c>
      <c r="D2189" t="s">
        <v>4741</v>
      </c>
      <c r="E2189">
        <v>1</v>
      </c>
      <c r="F2189" t="s">
        <v>4742</v>
      </c>
      <c r="G2189" s="10">
        <v>45313</v>
      </c>
      <c r="H2189">
        <v>27667.5</v>
      </c>
      <c r="I2189">
        <v>7667.5</v>
      </c>
      <c r="J2189" t="s">
        <v>2255</v>
      </c>
      <c r="K2189">
        <v>6</v>
      </c>
      <c r="L2189" t="s">
        <v>24</v>
      </c>
      <c r="M2189" t="s">
        <v>29</v>
      </c>
    </row>
    <row r="2190" spans="1:13">
      <c r="A2190" t="s">
        <v>522</v>
      </c>
      <c r="B2190" t="s">
        <v>72</v>
      </c>
      <c r="C2190" t="s">
        <v>67</v>
      </c>
      <c r="D2190" t="s">
        <v>2497</v>
      </c>
      <c r="E2190">
        <v>1</v>
      </c>
      <c r="F2190" t="s">
        <v>4743</v>
      </c>
      <c r="G2190" s="10">
        <v>45313</v>
      </c>
      <c r="H2190">
        <v>27667.5</v>
      </c>
      <c r="I2190">
        <v>7667.5</v>
      </c>
      <c r="J2190" t="s">
        <v>2255</v>
      </c>
      <c r="K2190">
        <v>6</v>
      </c>
      <c r="L2190" t="s">
        <v>24</v>
      </c>
      <c r="M2190" t="s">
        <v>29</v>
      </c>
    </row>
    <row r="2191" spans="1:13">
      <c r="A2191" t="s">
        <v>361</v>
      </c>
      <c r="B2191" t="s">
        <v>72</v>
      </c>
      <c r="C2191" t="s">
        <v>67</v>
      </c>
      <c r="D2191" t="s">
        <v>4744</v>
      </c>
      <c r="E2191">
        <v>1</v>
      </c>
      <c r="F2191" t="s">
        <v>4745</v>
      </c>
      <c r="G2191" s="10">
        <v>45313</v>
      </c>
      <c r="H2191">
        <v>27667.5</v>
      </c>
      <c r="I2191">
        <v>7667.5</v>
      </c>
      <c r="J2191" t="s">
        <v>2255</v>
      </c>
      <c r="K2191">
        <v>6</v>
      </c>
      <c r="L2191" t="s">
        <v>24</v>
      </c>
      <c r="M2191" t="s">
        <v>29</v>
      </c>
    </row>
    <row r="2192" spans="1:13">
      <c r="A2192" t="s">
        <v>361</v>
      </c>
      <c r="B2192" t="s">
        <v>72</v>
      </c>
      <c r="C2192" t="s">
        <v>67</v>
      </c>
      <c r="D2192" t="s">
        <v>3392</v>
      </c>
      <c r="E2192">
        <v>1</v>
      </c>
      <c r="F2192" t="s">
        <v>4746</v>
      </c>
      <c r="G2192" s="10">
        <v>45313</v>
      </c>
      <c r="H2192">
        <v>27667.5</v>
      </c>
      <c r="I2192">
        <v>7667.5</v>
      </c>
      <c r="J2192" t="s">
        <v>2255</v>
      </c>
      <c r="K2192">
        <v>6</v>
      </c>
      <c r="L2192" t="s">
        <v>24</v>
      </c>
      <c r="M2192" t="s">
        <v>29</v>
      </c>
    </row>
    <row r="2193" spans="1:13">
      <c r="A2193" t="s">
        <v>361</v>
      </c>
      <c r="B2193" t="s">
        <v>72</v>
      </c>
      <c r="C2193" t="s">
        <v>67</v>
      </c>
      <c r="D2193" t="s">
        <v>2241</v>
      </c>
      <c r="E2193">
        <v>1</v>
      </c>
      <c r="F2193" t="s">
        <v>4747</v>
      </c>
      <c r="G2193" s="10">
        <v>45313</v>
      </c>
      <c r="H2193">
        <v>27667.5</v>
      </c>
      <c r="I2193">
        <v>7667.5</v>
      </c>
      <c r="J2193" t="s">
        <v>2255</v>
      </c>
      <c r="K2193">
        <v>6</v>
      </c>
      <c r="L2193" t="s">
        <v>24</v>
      </c>
      <c r="M2193" t="s">
        <v>29</v>
      </c>
    </row>
    <row r="2194" spans="1:13">
      <c r="A2194" t="s">
        <v>522</v>
      </c>
      <c r="B2194" t="s">
        <v>72</v>
      </c>
      <c r="C2194" t="s">
        <v>67</v>
      </c>
      <c r="D2194" t="s">
        <v>2370</v>
      </c>
      <c r="E2194">
        <v>1</v>
      </c>
      <c r="F2194" t="s">
        <v>4748</v>
      </c>
      <c r="G2194" s="10">
        <v>45313</v>
      </c>
      <c r="H2194">
        <v>27667.5</v>
      </c>
      <c r="I2194">
        <v>7667.5</v>
      </c>
      <c r="J2194" t="s">
        <v>2255</v>
      </c>
      <c r="K2194">
        <v>6</v>
      </c>
      <c r="L2194" t="s">
        <v>24</v>
      </c>
      <c r="M2194" t="s">
        <v>29</v>
      </c>
    </row>
    <row r="2195" spans="1:13">
      <c r="A2195" t="s">
        <v>522</v>
      </c>
      <c r="B2195" t="s">
        <v>72</v>
      </c>
      <c r="C2195" t="s">
        <v>67</v>
      </c>
      <c r="D2195" t="s">
        <v>2752</v>
      </c>
      <c r="E2195">
        <v>1</v>
      </c>
      <c r="F2195" t="s">
        <v>4749</v>
      </c>
      <c r="G2195" s="10">
        <v>45313</v>
      </c>
      <c r="H2195">
        <v>27667.5</v>
      </c>
      <c r="I2195">
        <v>7667.5</v>
      </c>
      <c r="J2195" t="s">
        <v>2255</v>
      </c>
      <c r="K2195">
        <v>6</v>
      </c>
      <c r="L2195" t="s">
        <v>24</v>
      </c>
      <c r="M2195" t="s">
        <v>29</v>
      </c>
    </row>
    <row r="2196" spans="1:13">
      <c r="A2196" t="s">
        <v>522</v>
      </c>
      <c r="B2196" t="s">
        <v>72</v>
      </c>
      <c r="C2196" t="s">
        <v>67</v>
      </c>
      <c r="D2196" t="s">
        <v>2394</v>
      </c>
      <c r="E2196">
        <v>1</v>
      </c>
      <c r="F2196" t="s">
        <v>4750</v>
      </c>
      <c r="G2196" s="10">
        <v>45313</v>
      </c>
      <c r="H2196">
        <v>27667.5</v>
      </c>
      <c r="I2196">
        <v>7667.5</v>
      </c>
      <c r="J2196" t="s">
        <v>2255</v>
      </c>
      <c r="K2196">
        <v>6</v>
      </c>
      <c r="L2196" t="s">
        <v>24</v>
      </c>
      <c r="M2196" t="s">
        <v>29</v>
      </c>
    </row>
    <row r="2197" spans="1:13">
      <c r="A2197" t="s">
        <v>522</v>
      </c>
      <c r="B2197" t="s">
        <v>72</v>
      </c>
      <c r="C2197" t="s">
        <v>67</v>
      </c>
      <c r="D2197" t="s">
        <v>4751</v>
      </c>
      <c r="E2197">
        <v>1</v>
      </c>
      <c r="F2197" t="s">
        <v>4752</v>
      </c>
      <c r="G2197" s="10">
        <v>45313</v>
      </c>
      <c r="H2197">
        <v>27667.5</v>
      </c>
      <c r="I2197">
        <v>7667.5</v>
      </c>
      <c r="J2197" t="s">
        <v>2255</v>
      </c>
      <c r="K2197">
        <v>6</v>
      </c>
      <c r="L2197" t="s">
        <v>24</v>
      </c>
      <c r="M2197" t="s">
        <v>29</v>
      </c>
    </row>
    <row r="2198" spans="1:13">
      <c r="A2198" t="s">
        <v>361</v>
      </c>
      <c r="B2198" t="s">
        <v>72</v>
      </c>
      <c r="C2198" t="s">
        <v>67</v>
      </c>
      <c r="D2198" t="s">
        <v>4753</v>
      </c>
      <c r="E2198">
        <v>1</v>
      </c>
      <c r="F2198" t="s">
        <v>372</v>
      </c>
      <c r="G2198" s="10">
        <v>45313</v>
      </c>
      <c r="H2198">
        <v>27667.5</v>
      </c>
      <c r="I2198">
        <v>7667.5</v>
      </c>
      <c r="J2198" t="s">
        <v>2255</v>
      </c>
      <c r="K2198">
        <v>5</v>
      </c>
      <c r="L2198" t="s">
        <v>24</v>
      </c>
      <c r="M2198" t="s">
        <v>29</v>
      </c>
    </row>
    <row r="2199" spans="1:13">
      <c r="A2199" t="s">
        <v>361</v>
      </c>
      <c r="B2199" t="s">
        <v>72</v>
      </c>
      <c r="C2199" t="s">
        <v>67</v>
      </c>
      <c r="D2199" t="s">
        <v>4754</v>
      </c>
      <c r="E2199">
        <v>1</v>
      </c>
      <c r="F2199" t="s">
        <v>4755</v>
      </c>
      <c r="G2199" s="10">
        <v>45313</v>
      </c>
      <c r="H2199">
        <v>27667.5</v>
      </c>
      <c r="I2199">
        <v>7667.5</v>
      </c>
      <c r="J2199" t="s">
        <v>2255</v>
      </c>
      <c r="K2199">
        <v>6</v>
      </c>
      <c r="L2199" t="s">
        <v>24</v>
      </c>
      <c r="M2199" t="s">
        <v>29</v>
      </c>
    </row>
    <row r="2200" spans="1:13">
      <c r="A2200" t="s">
        <v>4449</v>
      </c>
      <c r="B2200" t="s">
        <v>160</v>
      </c>
      <c r="C2200" t="s">
        <v>67</v>
      </c>
      <c r="D2200" t="s">
        <v>4756</v>
      </c>
      <c r="E2200">
        <v>2</v>
      </c>
      <c r="F2200" t="s">
        <v>4757</v>
      </c>
      <c r="G2200" s="10">
        <v>45316</v>
      </c>
      <c r="H2200">
        <v>22420</v>
      </c>
      <c r="I2200">
        <v>3420</v>
      </c>
      <c r="J2200" t="s">
        <v>193</v>
      </c>
      <c r="K2200">
        <v>5</v>
      </c>
      <c r="L2200" t="s">
        <v>35</v>
      </c>
      <c r="M2200" t="s">
        <v>27</v>
      </c>
    </row>
    <row r="2201" spans="1:13">
      <c r="A2201" t="s">
        <v>522</v>
      </c>
      <c r="B2201" t="s">
        <v>72</v>
      </c>
      <c r="C2201" t="s">
        <v>67</v>
      </c>
      <c r="D2201" t="s">
        <v>4758</v>
      </c>
      <c r="E2201">
        <v>1</v>
      </c>
      <c r="F2201" t="s">
        <v>4759</v>
      </c>
      <c r="G2201" s="10">
        <v>45313</v>
      </c>
      <c r="H2201">
        <v>27667.5</v>
      </c>
      <c r="I2201">
        <v>7667.5</v>
      </c>
      <c r="J2201" t="s">
        <v>2255</v>
      </c>
      <c r="K2201">
        <v>6</v>
      </c>
      <c r="L2201" t="s">
        <v>24</v>
      </c>
      <c r="M2201" t="s">
        <v>29</v>
      </c>
    </row>
    <row r="2202" spans="1:13">
      <c r="A2202" t="s">
        <v>190</v>
      </c>
      <c r="B2202" t="s">
        <v>160</v>
      </c>
      <c r="C2202" t="s">
        <v>67</v>
      </c>
      <c r="D2202" t="s">
        <v>4760</v>
      </c>
      <c r="E2202">
        <v>1</v>
      </c>
      <c r="F2202" t="s">
        <v>4761</v>
      </c>
      <c r="G2202" s="10">
        <v>45313</v>
      </c>
      <c r="H2202">
        <v>27667.5</v>
      </c>
      <c r="I2202">
        <v>7667.5</v>
      </c>
      <c r="J2202" t="s">
        <v>2255</v>
      </c>
      <c r="K2202">
        <v>6</v>
      </c>
      <c r="L2202" t="s">
        <v>24</v>
      </c>
      <c r="M2202" t="s">
        <v>29</v>
      </c>
    </row>
    <row r="2203" spans="1:13">
      <c r="A2203" t="s">
        <v>522</v>
      </c>
      <c r="B2203" t="s">
        <v>72</v>
      </c>
      <c r="C2203" t="s">
        <v>67</v>
      </c>
      <c r="D2203" t="s">
        <v>2146</v>
      </c>
      <c r="E2203">
        <v>1</v>
      </c>
      <c r="F2203" t="s">
        <v>4762</v>
      </c>
      <c r="G2203" s="10">
        <v>45313</v>
      </c>
      <c r="H2203">
        <v>27667.5</v>
      </c>
      <c r="I2203">
        <v>7667.5</v>
      </c>
      <c r="J2203" t="s">
        <v>2255</v>
      </c>
      <c r="K2203">
        <v>6</v>
      </c>
      <c r="L2203" t="s">
        <v>24</v>
      </c>
      <c r="M2203" t="s">
        <v>29</v>
      </c>
    </row>
    <row r="2204" spans="1:13">
      <c r="A2204" t="s">
        <v>140</v>
      </c>
      <c r="B2204" t="s">
        <v>141</v>
      </c>
      <c r="C2204" t="s">
        <v>67</v>
      </c>
      <c r="D2204" t="s">
        <v>3437</v>
      </c>
      <c r="E2204">
        <v>1</v>
      </c>
      <c r="F2204" t="s">
        <v>4763</v>
      </c>
      <c r="G2204" s="10">
        <v>45313</v>
      </c>
      <c r="H2204">
        <v>27667.5</v>
      </c>
      <c r="I2204">
        <v>7667.5</v>
      </c>
      <c r="J2204" t="s">
        <v>2255</v>
      </c>
      <c r="K2204">
        <v>6</v>
      </c>
      <c r="L2204" t="s">
        <v>24</v>
      </c>
      <c r="M2204" t="s">
        <v>29</v>
      </c>
    </row>
    <row r="2205" spans="1:13">
      <c r="A2205" t="s">
        <v>251</v>
      </c>
      <c r="B2205" t="s">
        <v>160</v>
      </c>
      <c r="C2205" t="s">
        <v>67</v>
      </c>
      <c r="D2205" t="s">
        <v>4764</v>
      </c>
      <c r="E2205">
        <v>1</v>
      </c>
      <c r="F2205" t="s">
        <v>4765</v>
      </c>
      <c r="G2205" s="10">
        <v>45313</v>
      </c>
      <c r="H2205">
        <v>27667.5</v>
      </c>
      <c r="I2205">
        <v>7667.5</v>
      </c>
      <c r="J2205" t="s">
        <v>2255</v>
      </c>
      <c r="K2205">
        <v>6</v>
      </c>
      <c r="L2205" t="s">
        <v>24</v>
      </c>
      <c r="M2205" t="s">
        <v>29</v>
      </c>
    </row>
    <row r="2206" spans="1:13">
      <c r="A2206" t="s">
        <v>194</v>
      </c>
      <c r="B2206" t="s">
        <v>160</v>
      </c>
      <c r="C2206" t="s">
        <v>67</v>
      </c>
      <c r="D2206" t="s">
        <v>4766</v>
      </c>
      <c r="E2206">
        <v>1</v>
      </c>
      <c r="F2206" t="s">
        <v>4767</v>
      </c>
      <c r="G2206" s="10">
        <v>45313</v>
      </c>
      <c r="H2206">
        <v>27667.5</v>
      </c>
      <c r="I2206">
        <v>7667.5</v>
      </c>
      <c r="J2206" t="s">
        <v>2255</v>
      </c>
      <c r="K2206">
        <v>6</v>
      </c>
      <c r="L2206" t="s">
        <v>24</v>
      </c>
      <c r="M2206" t="s">
        <v>29</v>
      </c>
    </row>
    <row r="2207" spans="1:13">
      <c r="A2207" t="s">
        <v>4449</v>
      </c>
      <c r="B2207" t="s">
        <v>160</v>
      </c>
      <c r="C2207" t="s">
        <v>67</v>
      </c>
      <c r="D2207" t="s">
        <v>3282</v>
      </c>
      <c r="E2207">
        <v>1</v>
      </c>
      <c r="F2207" t="s">
        <v>4768</v>
      </c>
      <c r="G2207" s="10">
        <v>45313</v>
      </c>
      <c r="H2207">
        <v>27667.5</v>
      </c>
      <c r="I2207">
        <v>7667.5</v>
      </c>
      <c r="J2207" t="s">
        <v>2255</v>
      </c>
      <c r="K2207">
        <v>6</v>
      </c>
      <c r="L2207" t="s">
        <v>24</v>
      </c>
      <c r="M2207" t="s">
        <v>29</v>
      </c>
    </row>
    <row r="2208" spans="1:13">
      <c r="A2208" t="s">
        <v>251</v>
      </c>
      <c r="B2208" t="s">
        <v>160</v>
      </c>
      <c r="C2208" t="s">
        <v>67</v>
      </c>
      <c r="D2208" t="s">
        <v>3404</v>
      </c>
      <c r="E2208">
        <v>1</v>
      </c>
      <c r="F2208" t="s">
        <v>4769</v>
      </c>
      <c r="G2208" s="10">
        <v>45313</v>
      </c>
      <c r="H2208">
        <v>27667.5</v>
      </c>
      <c r="I2208">
        <v>7667.5</v>
      </c>
      <c r="J2208" t="s">
        <v>2255</v>
      </c>
      <c r="K2208">
        <v>6</v>
      </c>
      <c r="L2208" t="s">
        <v>24</v>
      </c>
      <c r="M2208" t="s">
        <v>29</v>
      </c>
    </row>
    <row r="2209" spans="1:13">
      <c r="A2209" t="s">
        <v>136</v>
      </c>
      <c r="B2209" t="s">
        <v>117</v>
      </c>
      <c r="C2209" t="s">
        <v>137</v>
      </c>
      <c r="D2209" t="s">
        <v>4770</v>
      </c>
      <c r="E2209">
        <v>1</v>
      </c>
      <c r="F2209" t="s">
        <v>4771</v>
      </c>
      <c r="G2209" s="10">
        <v>45320</v>
      </c>
      <c r="H2209">
        <v>119700</v>
      </c>
      <c r="I2209">
        <v>19700</v>
      </c>
      <c r="J2209" t="s">
        <v>834</v>
      </c>
      <c r="K2209">
        <v>6</v>
      </c>
      <c r="L2209" t="s">
        <v>37</v>
      </c>
      <c r="M2209" t="s">
        <v>25</v>
      </c>
    </row>
    <row r="2210" spans="1:13">
      <c r="A2210" t="s">
        <v>194</v>
      </c>
      <c r="B2210" t="s">
        <v>160</v>
      </c>
      <c r="C2210" t="s">
        <v>67</v>
      </c>
      <c r="D2210" t="s">
        <v>4772</v>
      </c>
      <c r="E2210">
        <v>1</v>
      </c>
      <c r="F2210" t="s">
        <v>372</v>
      </c>
      <c r="G2210" s="10">
        <v>45313</v>
      </c>
      <c r="H2210">
        <v>27667.5</v>
      </c>
      <c r="I2210">
        <v>7667.5</v>
      </c>
      <c r="J2210" t="s">
        <v>2255</v>
      </c>
      <c r="K2210">
        <v>5</v>
      </c>
      <c r="L2210" t="s">
        <v>24</v>
      </c>
      <c r="M2210" t="s">
        <v>29</v>
      </c>
    </row>
    <row r="2211" spans="1:13">
      <c r="A2211" t="s">
        <v>136</v>
      </c>
      <c r="B2211" t="s">
        <v>117</v>
      </c>
      <c r="C2211" t="s">
        <v>137</v>
      </c>
      <c r="D2211" t="s">
        <v>4773</v>
      </c>
      <c r="E2211">
        <v>4</v>
      </c>
      <c r="F2211" t="s">
        <v>4774</v>
      </c>
      <c r="G2211" s="10">
        <v>45315</v>
      </c>
      <c r="H2211">
        <v>362068.97</v>
      </c>
      <c r="I2211">
        <v>37068.97</v>
      </c>
      <c r="J2211" t="s">
        <v>121</v>
      </c>
      <c r="K2211">
        <v>5</v>
      </c>
      <c r="L2211" t="s">
        <v>24</v>
      </c>
      <c r="M2211" t="s">
        <v>30</v>
      </c>
    </row>
    <row r="2212" spans="1:13">
      <c r="A2212" t="s">
        <v>431</v>
      </c>
      <c r="B2212" t="s">
        <v>160</v>
      </c>
      <c r="C2212" t="s">
        <v>67</v>
      </c>
      <c r="D2212" t="s">
        <v>2909</v>
      </c>
      <c r="E2212">
        <v>1</v>
      </c>
      <c r="F2212" t="s">
        <v>4775</v>
      </c>
      <c r="G2212" s="10">
        <v>45313</v>
      </c>
      <c r="H2212">
        <v>27667.5</v>
      </c>
      <c r="I2212">
        <v>7667.5</v>
      </c>
      <c r="J2212" t="s">
        <v>2255</v>
      </c>
      <c r="K2212">
        <v>6</v>
      </c>
      <c r="L2212" t="s">
        <v>24</v>
      </c>
      <c r="M2212" t="s">
        <v>29</v>
      </c>
    </row>
    <row r="2213" spans="1:13">
      <c r="A2213" t="s">
        <v>194</v>
      </c>
      <c r="B2213" t="s">
        <v>160</v>
      </c>
      <c r="C2213" t="s">
        <v>67</v>
      </c>
      <c r="D2213" t="s">
        <v>4776</v>
      </c>
      <c r="E2213">
        <v>2</v>
      </c>
      <c r="F2213" t="s">
        <v>4777</v>
      </c>
      <c r="G2213" s="10">
        <v>45314</v>
      </c>
      <c r="H2213">
        <v>64350</v>
      </c>
      <c r="I2213">
        <v>14850</v>
      </c>
      <c r="J2213" t="s">
        <v>163</v>
      </c>
      <c r="K2213">
        <v>5</v>
      </c>
      <c r="L2213" t="s">
        <v>35</v>
      </c>
      <c r="M2213" t="s">
        <v>27</v>
      </c>
    </row>
    <row r="2214" spans="1:13">
      <c r="A2214" t="s">
        <v>431</v>
      </c>
      <c r="B2214" t="s">
        <v>160</v>
      </c>
      <c r="C2214" t="s">
        <v>67</v>
      </c>
      <c r="D2214" t="s">
        <v>4778</v>
      </c>
      <c r="E2214">
        <v>2</v>
      </c>
      <c r="F2214" t="s">
        <v>4779</v>
      </c>
      <c r="G2214" s="10">
        <v>45321</v>
      </c>
      <c r="H2214">
        <v>22420</v>
      </c>
      <c r="I2214">
        <v>3420</v>
      </c>
      <c r="J2214" t="s">
        <v>193</v>
      </c>
      <c r="K2214">
        <v>5</v>
      </c>
      <c r="L2214" t="s">
        <v>35</v>
      </c>
      <c r="M2214" t="s">
        <v>27</v>
      </c>
    </row>
    <row r="2215" spans="1:13">
      <c r="A2215" t="s">
        <v>71</v>
      </c>
      <c r="B2215" t="s">
        <v>72</v>
      </c>
      <c r="C2215" t="s">
        <v>67</v>
      </c>
      <c r="D2215" t="s">
        <v>4780</v>
      </c>
      <c r="E2215">
        <v>1</v>
      </c>
      <c r="F2215" t="s">
        <v>372</v>
      </c>
      <c r="G2215" s="10">
        <v>45313</v>
      </c>
      <c r="H2215">
        <v>27667.5</v>
      </c>
      <c r="I2215">
        <v>7667.5</v>
      </c>
      <c r="J2215" t="s">
        <v>2255</v>
      </c>
      <c r="K2215">
        <v>5</v>
      </c>
      <c r="L2215" t="s">
        <v>24</v>
      </c>
      <c r="M2215" t="s">
        <v>29</v>
      </c>
    </row>
    <row r="2216" spans="1:13">
      <c r="A2216" t="s">
        <v>71</v>
      </c>
      <c r="B2216" t="s">
        <v>72</v>
      </c>
      <c r="C2216" t="s">
        <v>67</v>
      </c>
      <c r="D2216" t="s">
        <v>4781</v>
      </c>
      <c r="E2216">
        <v>1</v>
      </c>
      <c r="F2216" t="s">
        <v>4782</v>
      </c>
      <c r="G2216" s="10">
        <v>45313</v>
      </c>
      <c r="H2216">
        <v>27667.5</v>
      </c>
      <c r="I2216">
        <v>7667.5</v>
      </c>
      <c r="J2216" t="s">
        <v>2255</v>
      </c>
      <c r="K2216">
        <v>6</v>
      </c>
      <c r="L2216" t="s">
        <v>24</v>
      </c>
      <c r="M2216" t="s">
        <v>29</v>
      </c>
    </row>
    <row r="2217" spans="1:13">
      <c r="A2217" t="s">
        <v>71</v>
      </c>
      <c r="B2217" t="s">
        <v>72</v>
      </c>
      <c r="C2217" t="s">
        <v>67</v>
      </c>
      <c r="D2217" t="s">
        <v>4783</v>
      </c>
      <c r="E2217">
        <v>1</v>
      </c>
      <c r="F2217" t="s">
        <v>4784</v>
      </c>
      <c r="G2217" s="10">
        <v>45313</v>
      </c>
      <c r="H2217">
        <v>27667.5</v>
      </c>
      <c r="I2217">
        <v>7667.5</v>
      </c>
      <c r="J2217" t="s">
        <v>2255</v>
      </c>
      <c r="K2217">
        <v>5</v>
      </c>
      <c r="L2217" t="s">
        <v>24</v>
      </c>
      <c r="M2217" t="s">
        <v>29</v>
      </c>
    </row>
    <row r="2218" spans="1:13">
      <c r="A2218" t="s">
        <v>71</v>
      </c>
      <c r="B2218" t="s">
        <v>72</v>
      </c>
      <c r="C2218" t="s">
        <v>67</v>
      </c>
      <c r="D2218" t="s">
        <v>4785</v>
      </c>
      <c r="E2218">
        <v>1</v>
      </c>
      <c r="F2218" t="s">
        <v>372</v>
      </c>
      <c r="G2218" s="10">
        <v>45313</v>
      </c>
      <c r="H2218">
        <v>27667.5</v>
      </c>
      <c r="I2218">
        <v>7667.5</v>
      </c>
      <c r="J2218" t="s">
        <v>2255</v>
      </c>
      <c r="K2218">
        <v>5</v>
      </c>
      <c r="L2218" t="s">
        <v>24</v>
      </c>
      <c r="M2218" t="s">
        <v>29</v>
      </c>
    </row>
    <row r="2219" spans="1:13">
      <c r="A2219" t="s">
        <v>71</v>
      </c>
      <c r="B2219" t="s">
        <v>72</v>
      </c>
      <c r="C2219" t="s">
        <v>67</v>
      </c>
      <c r="D2219" t="s">
        <v>4786</v>
      </c>
      <c r="E2219">
        <v>1</v>
      </c>
      <c r="F2219" t="s">
        <v>4787</v>
      </c>
      <c r="G2219" s="10">
        <v>45313</v>
      </c>
      <c r="H2219">
        <v>27667.5</v>
      </c>
      <c r="I2219">
        <v>7667.5</v>
      </c>
      <c r="J2219" t="s">
        <v>2255</v>
      </c>
      <c r="K2219">
        <v>6</v>
      </c>
      <c r="L2219" t="s">
        <v>24</v>
      </c>
      <c r="M2219" t="s">
        <v>29</v>
      </c>
    </row>
    <row r="2220" spans="1:13">
      <c r="A2220" t="s">
        <v>71</v>
      </c>
      <c r="B2220" t="s">
        <v>72</v>
      </c>
      <c r="C2220" t="s">
        <v>67</v>
      </c>
      <c r="D2220" t="s">
        <v>4788</v>
      </c>
      <c r="E2220">
        <v>1</v>
      </c>
      <c r="F2220" t="s">
        <v>4789</v>
      </c>
      <c r="G2220" s="10">
        <v>45313</v>
      </c>
      <c r="H2220">
        <v>27667.5</v>
      </c>
      <c r="I2220">
        <v>7667.5</v>
      </c>
      <c r="J2220" t="s">
        <v>2255</v>
      </c>
      <c r="K2220">
        <v>5</v>
      </c>
      <c r="L2220" t="s">
        <v>24</v>
      </c>
      <c r="M2220" t="s">
        <v>29</v>
      </c>
    </row>
    <row r="2221" spans="1:13">
      <c r="A2221" t="s">
        <v>431</v>
      </c>
      <c r="B2221" t="s">
        <v>160</v>
      </c>
      <c r="C2221" t="s">
        <v>67</v>
      </c>
      <c r="D2221" t="s">
        <v>4790</v>
      </c>
      <c r="E2221">
        <v>1</v>
      </c>
      <c r="F2221" t="s">
        <v>4791</v>
      </c>
      <c r="G2221" s="10">
        <v>45313</v>
      </c>
      <c r="H2221">
        <v>27667.5</v>
      </c>
      <c r="I2221">
        <v>7667.5</v>
      </c>
      <c r="J2221" t="s">
        <v>2255</v>
      </c>
      <c r="K2221">
        <v>6</v>
      </c>
      <c r="L2221" t="s">
        <v>24</v>
      </c>
      <c r="M2221" t="s">
        <v>29</v>
      </c>
    </row>
    <row r="2222" spans="1:13">
      <c r="A2222" t="s">
        <v>71</v>
      </c>
      <c r="B2222" t="s">
        <v>72</v>
      </c>
      <c r="C2222" t="s">
        <v>67</v>
      </c>
      <c r="D2222" t="s">
        <v>4792</v>
      </c>
      <c r="E2222">
        <v>1</v>
      </c>
      <c r="F2222" t="s">
        <v>4793</v>
      </c>
      <c r="G2222" s="10">
        <v>45313</v>
      </c>
      <c r="H2222">
        <v>27667.5</v>
      </c>
      <c r="I2222">
        <v>7667.5</v>
      </c>
      <c r="J2222" t="s">
        <v>2255</v>
      </c>
      <c r="K2222">
        <v>6</v>
      </c>
      <c r="L2222" t="s">
        <v>24</v>
      </c>
      <c r="M2222" t="s">
        <v>29</v>
      </c>
    </row>
    <row r="2223" spans="1:13">
      <c r="A2223" t="s">
        <v>71</v>
      </c>
      <c r="B2223" t="s">
        <v>72</v>
      </c>
      <c r="C2223" t="s">
        <v>67</v>
      </c>
      <c r="D2223" t="s">
        <v>4794</v>
      </c>
      <c r="E2223">
        <v>1</v>
      </c>
      <c r="F2223" t="s">
        <v>372</v>
      </c>
      <c r="G2223" s="10">
        <v>45313</v>
      </c>
      <c r="H2223">
        <v>27667.5</v>
      </c>
      <c r="I2223">
        <v>7667.5</v>
      </c>
      <c r="J2223" t="s">
        <v>2255</v>
      </c>
      <c r="K2223">
        <v>6</v>
      </c>
      <c r="L2223" t="s">
        <v>24</v>
      </c>
      <c r="M2223" t="s">
        <v>29</v>
      </c>
    </row>
    <row r="2224" spans="1:13">
      <c r="A2224" t="s">
        <v>361</v>
      </c>
      <c r="B2224" t="s">
        <v>72</v>
      </c>
      <c r="C2224" t="s">
        <v>67</v>
      </c>
      <c r="D2224" t="s">
        <v>4795</v>
      </c>
      <c r="E2224">
        <v>1</v>
      </c>
      <c r="F2224" t="s">
        <v>4796</v>
      </c>
      <c r="G2224" s="10">
        <v>45348</v>
      </c>
      <c r="H2224">
        <v>45517</v>
      </c>
      <c r="I2224">
        <v>6350.33</v>
      </c>
      <c r="J2224" t="s">
        <v>75</v>
      </c>
      <c r="K2224">
        <v>6</v>
      </c>
      <c r="L2224" t="s">
        <v>35</v>
      </c>
      <c r="M2224" t="s">
        <v>29</v>
      </c>
    </row>
    <row r="2225" spans="1:13">
      <c r="A2225" t="s">
        <v>361</v>
      </c>
      <c r="B2225" t="s">
        <v>72</v>
      </c>
      <c r="C2225" t="s">
        <v>67</v>
      </c>
      <c r="D2225" t="s">
        <v>4797</v>
      </c>
      <c r="E2225">
        <v>1</v>
      </c>
      <c r="F2225" t="s">
        <v>4798</v>
      </c>
      <c r="G2225" s="10">
        <v>45321</v>
      </c>
      <c r="H2225">
        <v>45517</v>
      </c>
      <c r="I2225">
        <v>8017</v>
      </c>
      <c r="J2225" t="s">
        <v>75</v>
      </c>
      <c r="K2225">
        <v>5</v>
      </c>
      <c r="L2225" t="s">
        <v>35</v>
      </c>
      <c r="M2225" t="s">
        <v>29</v>
      </c>
    </row>
    <row r="2226" spans="1:13">
      <c r="A2226" t="s">
        <v>1749</v>
      </c>
      <c r="B2226" t="s">
        <v>179</v>
      </c>
      <c r="C2226" t="s">
        <v>45</v>
      </c>
      <c r="D2226" t="s">
        <v>4799</v>
      </c>
      <c r="E2226">
        <v>4</v>
      </c>
      <c r="F2226" t="s">
        <v>4800</v>
      </c>
      <c r="G2226" s="10">
        <v>45316</v>
      </c>
      <c r="H2226">
        <v>386400</v>
      </c>
      <c r="I2226">
        <v>53067</v>
      </c>
      <c r="J2226" t="s">
        <v>189</v>
      </c>
      <c r="K2226">
        <v>6</v>
      </c>
      <c r="L2226" t="s">
        <v>44</v>
      </c>
      <c r="M2226" t="s">
        <v>45</v>
      </c>
    </row>
    <row r="2227" spans="1:13">
      <c r="A2227" t="s">
        <v>1193</v>
      </c>
      <c r="B2227" t="s">
        <v>141</v>
      </c>
      <c r="C2227" t="s">
        <v>67</v>
      </c>
      <c r="D2227" t="s">
        <v>4801</v>
      </c>
      <c r="E2227">
        <v>1</v>
      </c>
      <c r="F2227" t="s">
        <v>4802</v>
      </c>
      <c r="G2227" s="10">
        <v>45315</v>
      </c>
      <c r="H2227">
        <v>105000</v>
      </c>
      <c r="I2227">
        <v>17500</v>
      </c>
      <c r="J2227" t="s">
        <v>4320</v>
      </c>
      <c r="K2227">
        <v>5</v>
      </c>
      <c r="L2227" t="s">
        <v>24</v>
      </c>
      <c r="M2227" t="s">
        <v>24</v>
      </c>
    </row>
    <row r="2228" spans="1:13">
      <c r="A2228" t="s">
        <v>1749</v>
      </c>
      <c r="B2228" t="s">
        <v>179</v>
      </c>
      <c r="C2228" t="s">
        <v>45</v>
      </c>
      <c r="D2228" t="s">
        <v>4803</v>
      </c>
      <c r="E2228">
        <v>2</v>
      </c>
      <c r="F2228" t="s">
        <v>4804</v>
      </c>
      <c r="G2228" s="10">
        <v>45313</v>
      </c>
      <c r="H2228">
        <v>105000</v>
      </c>
      <c r="I2228">
        <v>63334</v>
      </c>
      <c r="J2228" t="s">
        <v>4643</v>
      </c>
      <c r="K2228">
        <v>5</v>
      </c>
      <c r="L2228" t="s">
        <v>44</v>
      </c>
      <c r="M2228" t="s">
        <v>44</v>
      </c>
    </row>
    <row r="2229" spans="1:13">
      <c r="A2229" t="s">
        <v>1067</v>
      </c>
      <c r="B2229" t="s">
        <v>93</v>
      </c>
      <c r="C2229" t="s">
        <v>94</v>
      </c>
      <c r="D2229" t="s">
        <v>4805</v>
      </c>
      <c r="E2229">
        <v>2</v>
      </c>
      <c r="F2229" t="s">
        <v>4806</v>
      </c>
      <c r="G2229" s="10">
        <v>45322</v>
      </c>
      <c r="H2229">
        <v>157500</v>
      </c>
      <c r="I2229">
        <v>32500</v>
      </c>
      <c r="J2229" t="s">
        <v>97</v>
      </c>
      <c r="K2229">
        <v>5</v>
      </c>
      <c r="L2229" t="s">
        <v>41</v>
      </c>
      <c r="M2229" t="s">
        <v>42</v>
      </c>
    </row>
    <row r="2230" spans="1:13">
      <c r="A2230" t="s">
        <v>431</v>
      </c>
      <c r="B2230" t="s">
        <v>160</v>
      </c>
      <c r="C2230" t="s">
        <v>67</v>
      </c>
      <c r="D2230" t="s">
        <v>4807</v>
      </c>
      <c r="E2230">
        <v>2</v>
      </c>
      <c r="F2230" t="s">
        <v>4808</v>
      </c>
      <c r="G2230" s="10">
        <v>45324</v>
      </c>
      <c r="H2230">
        <v>22420</v>
      </c>
      <c r="I2230">
        <v>3420</v>
      </c>
      <c r="J2230" t="s">
        <v>193</v>
      </c>
      <c r="K2230">
        <v>5</v>
      </c>
      <c r="L2230" t="s">
        <v>35</v>
      </c>
      <c r="M2230" t="s">
        <v>27</v>
      </c>
    </row>
    <row r="2231" spans="1:13">
      <c r="A2231" t="s">
        <v>1983</v>
      </c>
      <c r="B2231" t="s">
        <v>179</v>
      </c>
      <c r="C2231" t="s">
        <v>45</v>
      </c>
      <c r="D2231" t="s">
        <v>4809</v>
      </c>
      <c r="E2231">
        <v>4</v>
      </c>
      <c r="F2231" t="s">
        <v>4810</v>
      </c>
      <c r="G2231" s="10">
        <v>45316</v>
      </c>
      <c r="H2231">
        <v>164899.9</v>
      </c>
      <c r="I2231">
        <v>27399.9</v>
      </c>
      <c r="J2231" t="s">
        <v>300</v>
      </c>
      <c r="K2231">
        <v>5</v>
      </c>
      <c r="L2231" t="s">
        <v>44</v>
      </c>
      <c r="M2231" t="s">
        <v>48</v>
      </c>
    </row>
    <row r="2232" spans="1:13">
      <c r="A2232" t="s">
        <v>1868</v>
      </c>
      <c r="B2232" t="s">
        <v>66</v>
      </c>
      <c r="C2232" t="s">
        <v>67</v>
      </c>
      <c r="D2232" t="s">
        <v>4811</v>
      </c>
      <c r="E2232">
        <v>2</v>
      </c>
      <c r="F2232" t="s">
        <v>4812</v>
      </c>
      <c r="G2232" s="10">
        <v>45318</v>
      </c>
      <c r="H2232">
        <v>65000</v>
      </c>
      <c r="I2232">
        <v>15000</v>
      </c>
      <c r="J2232" t="s">
        <v>163</v>
      </c>
      <c r="K2232">
        <v>5</v>
      </c>
      <c r="L2232" t="s">
        <v>35</v>
      </c>
      <c r="M2232" t="s">
        <v>27</v>
      </c>
    </row>
    <row r="2233" spans="1:13">
      <c r="A2233" t="s">
        <v>966</v>
      </c>
      <c r="B2233" t="s">
        <v>215</v>
      </c>
      <c r="C2233" t="s">
        <v>94</v>
      </c>
      <c r="D2233" t="s">
        <v>4813</v>
      </c>
      <c r="E2233">
        <v>2</v>
      </c>
      <c r="F2233" t="s">
        <v>4814</v>
      </c>
      <c r="G2233" s="10">
        <v>45303</v>
      </c>
      <c r="H2233">
        <v>50400</v>
      </c>
      <c r="I2233">
        <v>12900</v>
      </c>
      <c r="J2233" t="s">
        <v>1357</v>
      </c>
      <c r="K2233">
        <v>5</v>
      </c>
      <c r="L2233" t="s">
        <v>41</v>
      </c>
      <c r="M2233" t="s">
        <v>25</v>
      </c>
    </row>
    <row r="2234" spans="1:13">
      <c r="A2234" t="s">
        <v>48</v>
      </c>
      <c r="B2234" t="s">
        <v>44</v>
      </c>
      <c r="C2234" t="s">
        <v>48</v>
      </c>
      <c r="D2234" t="s">
        <v>4815</v>
      </c>
      <c r="E2234">
        <v>2</v>
      </c>
      <c r="F2234" t="s">
        <v>4816</v>
      </c>
      <c r="G2234" s="10">
        <v>45320</v>
      </c>
      <c r="H2234">
        <v>132166.67000000001</v>
      </c>
      <c r="I2234">
        <v>23833.67</v>
      </c>
      <c r="J2234" t="s">
        <v>517</v>
      </c>
      <c r="K2234">
        <v>5</v>
      </c>
      <c r="L2234" t="s">
        <v>44</v>
      </c>
      <c r="M2234" t="s">
        <v>48</v>
      </c>
    </row>
    <row r="2235" spans="1:13">
      <c r="A2235" t="s">
        <v>190</v>
      </c>
      <c r="B2235" t="s">
        <v>160</v>
      </c>
      <c r="C2235" t="s">
        <v>67</v>
      </c>
      <c r="D2235" t="s">
        <v>4817</v>
      </c>
      <c r="E2235">
        <v>2</v>
      </c>
      <c r="F2235" t="s">
        <v>4818</v>
      </c>
      <c r="G2235" s="10">
        <v>45321</v>
      </c>
      <c r="H2235">
        <v>22420</v>
      </c>
      <c r="I2235">
        <v>3420</v>
      </c>
      <c r="J2235" t="s">
        <v>193</v>
      </c>
      <c r="K2235">
        <v>5</v>
      </c>
      <c r="L2235" t="s">
        <v>35</v>
      </c>
      <c r="M2235" t="s">
        <v>27</v>
      </c>
    </row>
    <row r="2236" spans="1:13">
      <c r="A2236" t="s">
        <v>190</v>
      </c>
      <c r="B2236" t="s">
        <v>160</v>
      </c>
      <c r="C2236" t="s">
        <v>67</v>
      </c>
      <c r="D2236" t="s">
        <v>4819</v>
      </c>
      <c r="E2236">
        <v>2</v>
      </c>
      <c r="F2236" t="s">
        <v>4820</v>
      </c>
      <c r="G2236" s="10">
        <v>45321</v>
      </c>
      <c r="H2236">
        <v>22420</v>
      </c>
      <c r="I2236">
        <v>3420</v>
      </c>
      <c r="J2236" t="s">
        <v>193</v>
      </c>
      <c r="K2236">
        <v>6</v>
      </c>
      <c r="L2236" t="s">
        <v>35</v>
      </c>
      <c r="M2236" t="s">
        <v>27</v>
      </c>
    </row>
    <row r="2237" spans="1:13">
      <c r="A2237" t="s">
        <v>190</v>
      </c>
      <c r="B2237" t="s">
        <v>160</v>
      </c>
      <c r="C2237" t="s">
        <v>67</v>
      </c>
      <c r="D2237" t="s">
        <v>4821</v>
      </c>
      <c r="E2237">
        <v>2</v>
      </c>
      <c r="F2237" t="s">
        <v>4822</v>
      </c>
      <c r="G2237" s="10">
        <v>45321</v>
      </c>
      <c r="H2237">
        <v>22420</v>
      </c>
      <c r="I2237">
        <v>3420</v>
      </c>
      <c r="J2237" t="s">
        <v>193</v>
      </c>
      <c r="K2237">
        <v>5</v>
      </c>
      <c r="L2237" t="s">
        <v>35</v>
      </c>
      <c r="M2237" t="s">
        <v>27</v>
      </c>
    </row>
    <row r="2238" spans="1:13">
      <c r="A2238" t="s">
        <v>2012</v>
      </c>
      <c r="B2238" t="s">
        <v>43</v>
      </c>
      <c r="C2238" t="s">
        <v>94</v>
      </c>
      <c r="D2238" t="s">
        <v>4575</v>
      </c>
      <c r="E2238">
        <v>4</v>
      </c>
      <c r="F2238" t="s">
        <v>4823</v>
      </c>
      <c r="G2238" s="10">
        <v>45320</v>
      </c>
      <c r="H2238">
        <v>197064</v>
      </c>
      <c r="I2238">
        <v>54564</v>
      </c>
      <c r="J2238" t="s">
        <v>1414</v>
      </c>
      <c r="K2238">
        <v>6</v>
      </c>
      <c r="L2238" t="s">
        <v>44</v>
      </c>
      <c r="M2238" t="s">
        <v>49</v>
      </c>
    </row>
    <row r="2239" spans="1:13">
      <c r="A2239" t="s">
        <v>3519</v>
      </c>
      <c r="B2239" t="s">
        <v>93</v>
      </c>
      <c r="C2239" t="s">
        <v>94</v>
      </c>
      <c r="D2239" t="s">
        <v>4824</v>
      </c>
      <c r="E2239">
        <v>2</v>
      </c>
      <c r="F2239" t="s">
        <v>4825</v>
      </c>
      <c r="G2239" s="10">
        <v>45322</v>
      </c>
      <c r="H2239">
        <v>237300</v>
      </c>
      <c r="I2239">
        <v>28966.67</v>
      </c>
      <c r="J2239" t="s">
        <v>97</v>
      </c>
      <c r="K2239">
        <v>5</v>
      </c>
      <c r="L2239" t="s">
        <v>41</v>
      </c>
      <c r="M2239" t="s">
        <v>42</v>
      </c>
    </row>
    <row r="2240" spans="1:13">
      <c r="A2240" t="s">
        <v>969</v>
      </c>
      <c r="B2240" t="s">
        <v>93</v>
      </c>
      <c r="C2240" t="s">
        <v>94</v>
      </c>
      <c r="D2240" t="s">
        <v>4826</v>
      </c>
      <c r="E2240">
        <v>2</v>
      </c>
      <c r="F2240" t="s">
        <v>4827</v>
      </c>
      <c r="G2240" s="10">
        <v>45334</v>
      </c>
      <c r="H2240">
        <v>256200</v>
      </c>
      <c r="I2240">
        <v>39533.33</v>
      </c>
      <c r="J2240" t="s">
        <v>97</v>
      </c>
      <c r="K2240">
        <v>5</v>
      </c>
      <c r="L2240" t="s">
        <v>41</v>
      </c>
      <c r="M2240" t="s">
        <v>42</v>
      </c>
    </row>
    <row r="2241" spans="1:13">
      <c r="A2241" t="s">
        <v>136</v>
      </c>
      <c r="B2241" t="s">
        <v>117</v>
      </c>
      <c r="C2241" t="s">
        <v>137</v>
      </c>
      <c r="D2241" t="s">
        <v>4828</v>
      </c>
      <c r="E2241">
        <v>2</v>
      </c>
      <c r="F2241" t="s">
        <v>4829</v>
      </c>
      <c r="G2241" s="10">
        <v>45348</v>
      </c>
      <c r="H2241">
        <v>140000</v>
      </c>
      <c r="I2241">
        <v>27500</v>
      </c>
      <c r="J2241" t="s">
        <v>3381</v>
      </c>
      <c r="K2241">
        <v>5</v>
      </c>
      <c r="L2241" t="s">
        <v>24</v>
      </c>
      <c r="M2241" t="s">
        <v>32</v>
      </c>
    </row>
    <row r="2242" spans="1:13">
      <c r="A2242" t="s">
        <v>214</v>
      </c>
      <c r="B2242" t="s">
        <v>215</v>
      </c>
      <c r="C2242" t="s">
        <v>94</v>
      </c>
      <c r="D2242" t="s">
        <v>4830</v>
      </c>
      <c r="E2242">
        <v>2</v>
      </c>
      <c r="F2242" t="s">
        <v>4831</v>
      </c>
      <c r="G2242" s="10">
        <v>45331</v>
      </c>
      <c r="H2242">
        <v>115000</v>
      </c>
      <c r="I2242">
        <v>31666.67</v>
      </c>
      <c r="J2242" t="s">
        <v>227</v>
      </c>
      <c r="K2242">
        <v>5</v>
      </c>
      <c r="L2242" t="s">
        <v>41</v>
      </c>
      <c r="M2242" t="s">
        <v>42</v>
      </c>
    </row>
    <row r="2243" spans="1:13">
      <c r="A2243" t="s">
        <v>1193</v>
      </c>
      <c r="B2243" t="s">
        <v>141</v>
      </c>
      <c r="C2243" t="s">
        <v>67</v>
      </c>
      <c r="D2243" t="s">
        <v>4832</v>
      </c>
      <c r="E2243">
        <v>1</v>
      </c>
      <c r="F2243" t="s">
        <v>4833</v>
      </c>
      <c r="G2243" s="10">
        <v>45323</v>
      </c>
      <c r="H2243">
        <v>52500</v>
      </c>
      <c r="I2243">
        <v>5955</v>
      </c>
      <c r="J2243" t="s">
        <v>144</v>
      </c>
      <c r="K2243">
        <v>5</v>
      </c>
      <c r="L2243" t="s">
        <v>38</v>
      </c>
      <c r="M2243" t="s">
        <v>25</v>
      </c>
    </row>
    <row r="2244" spans="1:13">
      <c r="A2244" t="s">
        <v>261</v>
      </c>
      <c r="B2244" t="s">
        <v>160</v>
      </c>
      <c r="C2244" t="s">
        <v>67</v>
      </c>
      <c r="D2244" t="s">
        <v>4834</v>
      </c>
      <c r="E2244">
        <v>2</v>
      </c>
      <c r="F2244" t="s">
        <v>4835</v>
      </c>
      <c r="G2244" s="10">
        <v>45324</v>
      </c>
      <c r="H2244">
        <v>22420</v>
      </c>
      <c r="I2244">
        <v>3420</v>
      </c>
      <c r="J2244" t="s">
        <v>193</v>
      </c>
      <c r="K2244">
        <v>5</v>
      </c>
      <c r="L2244" t="s">
        <v>35</v>
      </c>
      <c r="M2244" t="s">
        <v>27</v>
      </c>
    </row>
    <row r="2245" spans="1:13">
      <c r="A2245" t="s">
        <v>645</v>
      </c>
      <c r="B2245" t="s">
        <v>28</v>
      </c>
      <c r="C2245" t="s">
        <v>238</v>
      </c>
      <c r="D2245" t="s">
        <v>4836</v>
      </c>
      <c r="E2245">
        <v>2</v>
      </c>
      <c r="F2245" t="s">
        <v>4837</v>
      </c>
      <c r="G2245" s="10">
        <v>45341</v>
      </c>
      <c r="H2245">
        <v>124152</v>
      </c>
      <c r="I2245">
        <v>32486</v>
      </c>
      <c r="J2245" t="s">
        <v>126</v>
      </c>
      <c r="K2245">
        <v>5</v>
      </c>
      <c r="L2245" t="s">
        <v>24</v>
      </c>
      <c r="M2245" t="s">
        <v>26</v>
      </c>
    </row>
    <row r="2246" spans="1:13">
      <c r="A2246" t="s">
        <v>4449</v>
      </c>
      <c r="B2246" t="s">
        <v>160</v>
      </c>
      <c r="C2246" t="s">
        <v>67</v>
      </c>
      <c r="D2246" t="s">
        <v>4838</v>
      </c>
      <c r="E2246">
        <v>2</v>
      </c>
      <c r="F2246" t="s">
        <v>4839</v>
      </c>
      <c r="G2246" s="10">
        <v>45321</v>
      </c>
      <c r="H2246">
        <v>22420</v>
      </c>
      <c r="I2246">
        <v>3420</v>
      </c>
      <c r="J2246" t="s">
        <v>193</v>
      </c>
      <c r="K2246">
        <v>5</v>
      </c>
      <c r="L2246" t="s">
        <v>35</v>
      </c>
      <c r="M2246" t="s">
        <v>27</v>
      </c>
    </row>
    <row r="2247" spans="1:13">
      <c r="A2247" t="s">
        <v>361</v>
      </c>
      <c r="B2247" t="s">
        <v>72</v>
      </c>
      <c r="C2247" t="s">
        <v>67</v>
      </c>
      <c r="D2247" t="s">
        <v>4840</v>
      </c>
      <c r="E2247">
        <v>1</v>
      </c>
      <c r="F2247" t="s">
        <v>4841</v>
      </c>
      <c r="G2247" s="10">
        <v>45348</v>
      </c>
      <c r="H2247">
        <v>45517</v>
      </c>
      <c r="I2247">
        <v>6350.33</v>
      </c>
      <c r="J2247" t="s">
        <v>75</v>
      </c>
      <c r="K2247">
        <v>6</v>
      </c>
      <c r="L2247" t="s">
        <v>35</v>
      </c>
      <c r="M2247" t="s">
        <v>29</v>
      </c>
    </row>
    <row r="2248" spans="1:13">
      <c r="A2248" t="s">
        <v>208</v>
      </c>
      <c r="B2248" t="s">
        <v>93</v>
      </c>
      <c r="C2248" t="s">
        <v>94</v>
      </c>
      <c r="D2248" t="s">
        <v>4842</v>
      </c>
      <c r="E2248">
        <v>2</v>
      </c>
      <c r="F2248" t="s">
        <v>4843</v>
      </c>
      <c r="G2248" s="10">
        <v>45341</v>
      </c>
      <c r="H2248">
        <v>157500</v>
      </c>
      <c r="I2248">
        <v>40833.33</v>
      </c>
      <c r="J2248" t="s">
        <v>97</v>
      </c>
      <c r="K2248">
        <v>6</v>
      </c>
      <c r="L2248" t="s">
        <v>41</v>
      </c>
      <c r="M2248" t="s">
        <v>42</v>
      </c>
    </row>
    <row r="2249" spans="1:13">
      <c r="A2249" t="s">
        <v>186</v>
      </c>
      <c r="B2249" t="s">
        <v>179</v>
      </c>
      <c r="C2249" t="s">
        <v>45</v>
      </c>
      <c r="D2249" t="s">
        <v>4844</v>
      </c>
      <c r="E2249">
        <v>2</v>
      </c>
      <c r="F2249" t="s">
        <v>4845</v>
      </c>
      <c r="G2249" s="10">
        <v>45321</v>
      </c>
      <c r="H2249">
        <v>386400</v>
      </c>
      <c r="I2249">
        <v>86400</v>
      </c>
      <c r="J2249" t="s">
        <v>189</v>
      </c>
      <c r="K2249">
        <v>5</v>
      </c>
      <c r="L2249" t="s">
        <v>44</v>
      </c>
      <c r="M2249" t="s">
        <v>45</v>
      </c>
    </row>
    <row r="2250" spans="1:13">
      <c r="A2250" t="s">
        <v>3424</v>
      </c>
      <c r="B2250" t="s">
        <v>179</v>
      </c>
      <c r="C2250" t="s">
        <v>45</v>
      </c>
      <c r="D2250" t="s">
        <v>4846</v>
      </c>
      <c r="E2250">
        <v>2</v>
      </c>
      <c r="F2250" t="s">
        <v>4847</v>
      </c>
      <c r="G2250" s="10">
        <v>45321</v>
      </c>
      <c r="H2250">
        <v>352800</v>
      </c>
      <c r="I2250">
        <v>102800</v>
      </c>
      <c r="J2250" t="s">
        <v>189</v>
      </c>
      <c r="K2250">
        <v>6</v>
      </c>
      <c r="L2250" t="s">
        <v>44</v>
      </c>
      <c r="M2250" t="s">
        <v>45</v>
      </c>
    </row>
    <row r="2251" spans="1:13">
      <c r="A2251" t="s">
        <v>1447</v>
      </c>
      <c r="B2251" t="s">
        <v>179</v>
      </c>
      <c r="C2251" t="s">
        <v>45</v>
      </c>
      <c r="D2251" t="s">
        <v>4848</v>
      </c>
      <c r="E2251">
        <v>2</v>
      </c>
      <c r="F2251" t="s">
        <v>4849</v>
      </c>
      <c r="G2251" s="10">
        <v>45321</v>
      </c>
      <c r="H2251">
        <v>294999.59999999998</v>
      </c>
      <c r="I2251">
        <v>44999.6</v>
      </c>
      <c r="J2251" t="s">
        <v>2077</v>
      </c>
      <c r="K2251">
        <v>5</v>
      </c>
      <c r="L2251" t="s">
        <v>44</v>
      </c>
      <c r="M2251" t="s">
        <v>45</v>
      </c>
    </row>
    <row r="2252" spans="1:13">
      <c r="A2252" t="s">
        <v>4449</v>
      </c>
      <c r="B2252" t="s">
        <v>160</v>
      </c>
      <c r="C2252" t="s">
        <v>67</v>
      </c>
      <c r="D2252" t="s">
        <v>4850</v>
      </c>
      <c r="E2252">
        <v>2</v>
      </c>
      <c r="F2252" t="s">
        <v>4851</v>
      </c>
      <c r="G2252" s="10">
        <v>45327</v>
      </c>
      <c r="H2252">
        <v>22420</v>
      </c>
      <c r="I2252">
        <v>3420</v>
      </c>
      <c r="J2252" t="s">
        <v>193</v>
      </c>
      <c r="K2252">
        <v>5</v>
      </c>
      <c r="L2252" t="s">
        <v>35</v>
      </c>
      <c r="M2252" t="s">
        <v>27</v>
      </c>
    </row>
    <row r="2253" spans="1:13">
      <c r="A2253" t="s">
        <v>190</v>
      </c>
      <c r="B2253" t="s">
        <v>160</v>
      </c>
      <c r="C2253" t="s">
        <v>67</v>
      </c>
      <c r="D2253" t="s">
        <v>4852</v>
      </c>
      <c r="E2253">
        <v>1</v>
      </c>
      <c r="F2253" t="s">
        <v>4853</v>
      </c>
      <c r="G2253" s="10">
        <v>45313</v>
      </c>
      <c r="H2253">
        <v>27667.5</v>
      </c>
      <c r="I2253">
        <v>7667.5</v>
      </c>
      <c r="J2253" t="s">
        <v>2255</v>
      </c>
      <c r="K2253">
        <v>6</v>
      </c>
      <c r="L2253" t="s">
        <v>24</v>
      </c>
      <c r="M2253" t="s">
        <v>29</v>
      </c>
    </row>
    <row r="2254" spans="1:13">
      <c r="A2254" t="s">
        <v>76</v>
      </c>
      <c r="B2254" t="s">
        <v>72</v>
      </c>
      <c r="C2254" t="s">
        <v>67</v>
      </c>
      <c r="D2254" t="s">
        <v>4854</v>
      </c>
      <c r="E2254">
        <v>1</v>
      </c>
      <c r="F2254" t="s">
        <v>4855</v>
      </c>
      <c r="G2254" s="10">
        <v>45321</v>
      </c>
      <c r="H2254">
        <v>27667.5</v>
      </c>
      <c r="I2254">
        <v>7667.5</v>
      </c>
      <c r="J2254" t="s">
        <v>2255</v>
      </c>
      <c r="K2254">
        <v>6</v>
      </c>
      <c r="L2254" t="s">
        <v>24</v>
      </c>
      <c r="M2254" t="s">
        <v>29</v>
      </c>
    </row>
    <row r="2255" spans="1:13">
      <c r="A2255" t="s">
        <v>178</v>
      </c>
      <c r="B2255" t="s">
        <v>179</v>
      </c>
      <c r="C2255" t="s">
        <v>45</v>
      </c>
      <c r="D2255" t="s">
        <v>4856</v>
      </c>
      <c r="E2255">
        <v>2</v>
      </c>
      <c r="F2255" t="s">
        <v>4857</v>
      </c>
      <c r="G2255" s="10">
        <v>45321</v>
      </c>
      <c r="H2255">
        <v>225000</v>
      </c>
      <c r="I2255">
        <v>50000</v>
      </c>
      <c r="J2255" t="s">
        <v>714</v>
      </c>
      <c r="K2255">
        <v>6</v>
      </c>
      <c r="L2255" t="s">
        <v>44</v>
      </c>
      <c r="M2255" t="s">
        <v>45</v>
      </c>
    </row>
    <row r="2256" spans="1:13">
      <c r="A2256" t="s">
        <v>341</v>
      </c>
      <c r="B2256" t="s">
        <v>179</v>
      </c>
      <c r="C2256" t="s">
        <v>45</v>
      </c>
      <c r="D2256" t="s">
        <v>4858</v>
      </c>
      <c r="E2256">
        <v>4</v>
      </c>
      <c r="F2256" t="s">
        <v>4859</v>
      </c>
      <c r="G2256" s="10">
        <v>45322</v>
      </c>
      <c r="H2256">
        <v>350000</v>
      </c>
      <c r="I2256">
        <v>100000</v>
      </c>
      <c r="J2256" t="s">
        <v>189</v>
      </c>
      <c r="K2256">
        <v>5</v>
      </c>
      <c r="L2256" t="s">
        <v>44</v>
      </c>
      <c r="M2256" t="s">
        <v>45</v>
      </c>
    </row>
    <row r="2257" spans="1:13">
      <c r="A2257" t="s">
        <v>676</v>
      </c>
      <c r="B2257" t="s">
        <v>28</v>
      </c>
      <c r="C2257" t="s">
        <v>238</v>
      </c>
      <c r="D2257" t="s">
        <v>4860</v>
      </c>
      <c r="E2257">
        <v>2</v>
      </c>
      <c r="F2257" t="s">
        <v>4861</v>
      </c>
      <c r="G2257" s="10">
        <v>45330</v>
      </c>
      <c r="H2257">
        <v>67200</v>
      </c>
      <c r="I2257">
        <v>13034</v>
      </c>
      <c r="J2257" t="s">
        <v>834</v>
      </c>
      <c r="K2257">
        <v>5</v>
      </c>
      <c r="L2257" t="s">
        <v>37</v>
      </c>
      <c r="M2257" t="s">
        <v>25</v>
      </c>
    </row>
    <row r="2258" spans="1:13">
      <c r="A2258" t="s">
        <v>361</v>
      </c>
      <c r="B2258" t="s">
        <v>72</v>
      </c>
      <c r="C2258" t="s">
        <v>67</v>
      </c>
      <c r="D2258" t="s">
        <v>4862</v>
      </c>
      <c r="E2258">
        <v>1</v>
      </c>
      <c r="F2258" t="s">
        <v>4863</v>
      </c>
      <c r="G2258" s="10">
        <v>45348</v>
      </c>
      <c r="H2258">
        <v>45517</v>
      </c>
      <c r="I2258">
        <v>6350.33</v>
      </c>
      <c r="J2258" t="s">
        <v>75</v>
      </c>
      <c r="K2258">
        <v>6</v>
      </c>
      <c r="L2258" t="s">
        <v>35</v>
      </c>
      <c r="M2258" t="s">
        <v>29</v>
      </c>
    </row>
    <row r="2259" spans="1:13">
      <c r="A2259" t="s">
        <v>1447</v>
      </c>
      <c r="B2259" t="s">
        <v>179</v>
      </c>
      <c r="C2259" t="s">
        <v>45</v>
      </c>
      <c r="D2259" t="s">
        <v>4864</v>
      </c>
      <c r="E2259">
        <v>2</v>
      </c>
      <c r="F2259" t="s">
        <v>372</v>
      </c>
      <c r="G2259" s="10">
        <v>45322</v>
      </c>
      <c r="H2259">
        <v>450000</v>
      </c>
      <c r="I2259">
        <v>116666.67</v>
      </c>
      <c r="J2259" t="s">
        <v>189</v>
      </c>
      <c r="K2259">
        <v>6</v>
      </c>
      <c r="L2259" t="s">
        <v>44</v>
      </c>
      <c r="M2259" t="s">
        <v>45</v>
      </c>
    </row>
    <row r="2260" spans="1:13">
      <c r="A2260" t="s">
        <v>571</v>
      </c>
      <c r="B2260" t="s">
        <v>179</v>
      </c>
      <c r="C2260" t="s">
        <v>45</v>
      </c>
      <c r="D2260" t="s">
        <v>4865</v>
      </c>
      <c r="E2260">
        <v>2</v>
      </c>
      <c r="F2260" t="s">
        <v>372</v>
      </c>
      <c r="G2260" s="10">
        <v>45322</v>
      </c>
      <c r="H2260">
        <v>378000</v>
      </c>
      <c r="I2260">
        <v>44666.67</v>
      </c>
      <c r="J2260" t="s">
        <v>189</v>
      </c>
      <c r="K2260">
        <v>6</v>
      </c>
      <c r="L2260" t="s">
        <v>44</v>
      </c>
      <c r="M2260" t="s">
        <v>45</v>
      </c>
    </row>
    <row r="2261" spans="1:13">
      <c r="A2261" t="s">
        <v>4866</v>
      </c>
      <c r="B2261" t="s">
        <v>93</v>
      </c>
      <c r="C2261" t="s">
        <v>94</v>
      </c>
      <c r="D2261" t="s">
        <v>4867</v>
      </c>
      <c r="E2261">
        <v>7</v>
      </c>
      <c r="F2261" t="s">
        <v>4868</v>
      </c>
      <c r="G2261" s="10">
        <v>45323</v>
      </c>
      <c r="H2261">
        <v>140803.29999999999</v>
      </c>
      <c r="I2261">
        <v>6063.3</v>
      </c>
      <c r="J2261" t="s">
        <v>313</v>
      </c>
      <c r="K2261">
        <v>5</v>
      </c>
      <c r="L2261" t="s">
        <v>41</v>
      </c>
      <c r="M2261" t="s">
        <v>42</v>
      </c>
    </row>
    <row r="2262" spans="1:13">
      <c r="A2262" t="s">
        <v>4401</v>
      </c>
      <c r="B2262" t="s">
        <v>848</v>
      </c>
      <c r="C2262" t="s">
        <v>98</v>
      </c>
      <c r="D2262" t="s">
        <v>4869</v>
      </c>
      <c r="E2262">
        <v>1</v>
      </c>
      <c r="F2262" t="s">
        <v>4870</v>
      </c>
      <c r="G2262" s="10">
        <v>45334</v>
      </c>
      <c r="H2262">
        <v>67200</v>
      </c>
      <c r="I2262">
        <v>8867</v>
      </c>
      <c r="J2262" t="s">
        <v>834</v>
      </c>
      <c r="K2262">
        <v>5</v>
      </c>
      <c r="L2262" t="s">
        <v>37</v>
      </c>
      <c r="M2262" t="s">
        <v>25</v>
      </c>
    </row>
    <row r="2263" spans="1:13">
      <c r="A2263" t="s">
        <v>3647</v>
      </c>
      <c r="B2263" t="s">
        <v>1983</v>
      </c>
      <c r="C2263" t="s">
        <v>45</v>
      </c>
      <c r="D2263" t="s">
        <v>4871</v>
      </c>
      <c r="E2263">
        <v>2</v>
      </c>
      <c r="F2263" t="s">
        <v>4872</v>
      </c>
      <c r="G2263" s="10">
        <v>45327</v>
      </c>
      <c r="H2263">
        <v>48800</v>
      </c>
      <c r="I2263">
        <v>8800</v>
      </c>
      <c r="J2263" t="s">
        <v>517</v>
      </c>
      <c r="K2263">
        <v>5</v>
      </c>
      <c r="L2263" t="s">
        <v>44</v>
      </c>
      <c r="M2263" t="s">
        <v>48</v>
      </c>
    </row>
    <row r="2264" spans="1:13">
      <c r="A2264" t="s">
        <v>3726</v>
      </c>
      <c r="B2264" t="s">
        <v>1983</v>
      </c>
      <c r="C2264" t="s">
        <v>45</v>
      </c>
      <c r="D2264" t="s">
        <v>4873</v>
      </c>
      <c r="E2264">
        <v>2</v>
      </c>
      <c r="F2264" t="s">
        <v>4874</v>
      </c>
      <c r="G2264" s="10">
        <v>45327</v>
      </c>
      <c r="H2264">
        <v>48800</v>
      </c>
      <c r="I2264">
        <v>8800</v>
      </c>
      <c r="J2264" t="s">
        <v>517</v>
      </c>
      <c r="K2264">
        <v>5</v>
      </c>
      <c r="L2264" t="s">
        <v>44</v>
      </c>
      <c r="M2264" t="s">
        <v>48</v>
      </c>
    </row>
    <row r="2265" spans="1:13">
      <c r="A2265" t="s">
        <v>140</v>
      </c>
      <c r="B2265" t="s">
        <v>141</v>
      </c>
      <c r="C2265" t="s">
        <v>67</v>
      </c>
      <c r="D2265" t="s">
        <v>4875</v>
      </c>
      <c r="E2265">
        <v>1</v>
      </c>
      <c r="F2265" t="s">
        <v>4876</v>
      </c>
      <c r="G2265" s="10">
        <v>45327</v>
      </c>
      <c r="H2265">
        <v>39900</v>
      </c>
      <c r="I2265">
        <v>9900</v>
      </c>
      <c r="J2265" t="s">
        <v>144</v>
      </c>
      <c r="K2265">
        <v>6</v>
      </c>
      <c r="L2265" t="s">
        <v>38</v>
      </c>
      <c r="M2265" t="s">
        <v>25</v>
      </c>
    </row>
    <row r="2266" spans="1:13">
      <c r="A2266" t="s">
        <v>261</v>
      </c>
      <c r="B2266" t="s">
        <v>160</v>
      </c>
      <c r="C2266" t="s">
        <v>67</v>
      </c>
      <c r="D2266" t="s">
        <v>4877</v>
      </c>
      <c r="E2266">
        <v>2</v>
      </c>
      <c r="F2266" t="s">
        <v>4878</v>
      </c>
      <c r="G2266" s="10">
        <v>45324</v>
      </c>
      <c r="H2266">
        <v>65000</v>
      </c>
      <c r="I2266">
        <v>15000</v>
      </c>
      <c r="J2266" t="s">
        <v>163</v>
      </c>
      <c r="K2266">
        <v>5</v>
      </c>
      <c r="L2266" t="s">
        <v>35</v>
      </c>
      <c r="M2266" t="s">
        <v>27</v>
      </c>
    </row>
    <row r="2267" spans="1:13">
      <c r="A2267" t="s">
        <v>194</v>
      </c>
      <c r="B2267" t="s">
        <v>160</v>
      </c>
      <c r="C2267" t="s">
        <v>67</v>
      </c>
      <c r="D2267" t="s">
        <v>4879</v>
      </c>
      <c r="E2267">
        <v>2</v>
      </c>
      <c r="F2267" t="s">
        <v>4880</v>
      </c>
      <c r="G2267" s="10">
        <v>45324</v>
      </c>
      <c r="H2267">
        <v>65000</v>
      </c>
      <c r="I2267">
        <v>15000</v>
      </c>
      <c r="J2267" t="s">
        <v>163</v>
      </c>
      <c r="K2267">
        <v>6</v>
      </c>
      <c r="L2267" t="s">
        <v>35</v>
      </c>
      <c r="M2267" t="s">
        <v>27</v>
      </c>
    </row>
    <row r="2268" spans="1:13">
      <c r="A2268" t="s">
        <v>30</v>
      </c>
      <c r="B2268" t="s">
        <v>4881</v>
      </c>
      <c r="C2268" t="s">
        <v>30</v>
      </c>
      <c r="D2268" t="s">
        <v>4882</v>
      </c>
      <c r="E2268">
        <v>1</v>
      </c>
      <c r="F2268" t="s">
        <v>4883</v>
      </c>
      <c r="G2268" s="10">
        <v>45327</v>
      </c>
      <c r="H2268">
        <v>267456</v>
      </c>
      <c r="I2268">
        <v>117456</v>
      </c>
      <c r="J2268" t="s">
        <v>4884</v>
      </c>
      <c r="K2268">
        <v>6</v>
      </c>
      <c r="L2268" t="s">
        <v>24</v>
      </c>
      <c r="M2268" t="s">
        <v>31</v>
      </c>
    </row>
    <row r="2269" spans="1:13">
      <c r="A2269" t="s">
        <v>3284</v>
      </c>
      <c r="B2269" t="s">
        <v>160</v>
      </c>
      <c r="C2269" t="s">
        <v>67</v>
      </c>
      <c r="D2269" t="s">
        <v>4885</v>
      </c>
      <c r="E2269">
        <v>2</v>
      </c>
      <c r="F2269" t="s">
        <v>4886</v>
      </c>
      <c r="G2269" s="10">
        <v>45330</v>
      </c>
      <c r="H2269">
        <v>65000</v>
      </c>
      <c r="I2269">
        <v>15000</v>
      </c>
      <c r="J2269" t="s">
        <v>163</v>
      </c>
      <c r="K2269">
        <v>5</v>
      </c>
      <c r="L2269" t="s">
        <v>35</v>
      </c>
      <c r="M2269" t="s">
        <v>27</v>
      </c>
    </row>
    <row r="2270" spans="1:13">
      <c r="A2270" t="s">
        <v>140</v>
      </c>
      <c r="B2270" t="s">
        <v>141</v>
      </c>
      <c r="C2270" t="s">
        <v>67</v>
      </c>
      <c r="D2270" t="s">
        <v>4887</v>
      </c>
      <c r="E2270">
        <v>1</v>
      </c>
      <c r="F2270" t="s">
        <v>4888</v>
      </c>
      <c r="G2270" s="10">
        <v>45330</v>
      </c>
      <c r="H2270">
        <v>39900</v>
      </c>
      <c r="I2270">
        <v>8234</v>
      </c>
      <c r="J2270" t="s">
        <v>144</v>
      </c>
      <c r="K2270">
        <v>5</v>
      </c>
      <c r="L2270" t="s">
        <v>38</v>
      </c>
      <c r="M2270" t="s">
        <v>25</v>
      </c>
    </row>
    <row r="2271" spans="1:13">
      <c r="A2271" t="s">
        <v>3284</v>
      </c>
      <c r="B2271" t="s">
        <v>160</v>
      </c>
      <c r="C2271" t="s">
        <v>67</v>
      </c>
      <c r="D2271" t="s">
        <v>4889</v>
      </c>
      <c r="E2271">
        <v>2</v>
      </c>
      <c r="F2271" t="s">
        <v>4890</v>
      </c>
      <c r="G2271" s="10">
        <v>45328</v>
      </c>
      <c r="H2271">
        <v>22420</v>
      </c>
      <c r="I2271">
        <v>3420</v>
      </c>
      <c r="J2271" t="s">
        <v>193</v>
      </c>
      <c r="K2271">
        <v>6</v>
      </c>
      <c r="L2271" t="s">
        <v>35</v>
      </c>
      <c r="M2271" t="s">
        <v>27</v>
      </c>
    </row>
    <row r="2272" spans="1:13">
      <c r="A2272" t="s">
        <v>251</v>
      </c>
      <c r="B2272" t="s">
        <v>160</v>
      </c>
      <c r="C2272" t="s">
        <v>67</v>
      </c>
      <c r="D2272" t="s">
        <v>4891</v>
      </c>
      <c r="E2272">
        <v>2</v>
      </c>
      <c r="F2272" t="s">
        <v>4892</v>
      </c>
      <c r="G2272" s="10">
        <v>45327</v>
      </c>
      <c r="H2272">
        <v>22420</v>
      </c>
      <c r="I2272">
        <v>3420</v>
      </c>
      <c r="J2272" t="s">
        <v>193</v>
      </c>
      <c r="K2272">
        <v>5</v>
      </c>
      <c r="L2272" t="s">
        <v>35</v>
      </c>
      <c r="M2272" t="s">
        <v>27</v>
      </c>
    </row>
    <row r="2273" spans="1:13">
      <c r="A2273" t="s">
        <v>251</v>
      </c>
      <c r="B2273" t="s">
        <v>160</v>
      </c>
      <c r="C2273" t="s">
        <v>67</v>
      </c>
      <c r="D2273" t="s">
        <v>4893</v>
      </c>
      <c r="E2273">
        <v>2</v>
      </c>
      <c r="F2273" t="s">
        <v>4894</v>
      </c>
      <c r="G2273" s="10">
        <v>45328</v>
      </c>
      <c r="H2273">
        <v>22420</v>
      </c>
      <c r="I2273">
        <v>3420</v>
      </c>
      <c r="J2273" t="s">
        <v>193</v>
      </c>
      <c r="K2273">
        <v>5</v>
      </c>
      <c r="L2273" t="s">
        <v>35</v>
      </c>
      <c r="M2273" t="s">
        <v>27</v>
      </c>
    </row>
    <row r="2274" spans="1:13">
      <c r="A2274" t="s">
        <v>1868</v>
      </c>
      <c r="B2274" t="s">
        <v>66</v>
      </c>
      <c r="C2274" t="s">
        <v>67</v>
      </c>
      <c r="D2274" t="s">
        <v>4895</v>
      </c>
      <c r="E2274">
        <v>6</v>
      </c>
      <c r="F2274" t="s">
        <v>4896</v>
      </c>
      <c r="G2274" s="10">
        <v>45327</v>
      </c>
      <c r="H2274">
        <v>25500</v>
      </c>
      <c r="I2274">
        <v>4250</v>
      </c>
      <c r="J2274" t="s">
        <v>70</v>
      </c>
      <c r="K2274">
        <v>5</v>
      </c>
      <c r="L2274" t="s">
        <v>35</v>
      </c>
      <c r="M2274" t="s">
        <v>36</v>
      </c>
    </row>
    <row r="2275" spans="1:13">
      <c r="A2275" t="s">
        <v>3284</v>
      </c>
      <c r="B2275" t="s">
        <v>160</v>
      </c>
      <c r="C2275" t="s">
        <v>67</v>
      </c>
      <c r="D2275" t="s">
        <v>4897</v>
      </c>
      <c r="E2275">
        <v>2</v>
      </c>
      <c r="F2275" t="s">
        <v>4898</v>
      </c>
      <c r="G2275" s="10">
        <v>45328</v>
      </c>
      <c r="H2275">
        <v>22847</v>
      </c>
      <c r="I2275">
        <v>3485</v>
      </c>
      <c r="J2275" t="s">
        <v>193</v>
      </c>
      <c r="K2275">
        <v>6</v>
      </c>
      <c r="L2275" t="s">
        <v>35</v>
      </c>
      <c r="M2275" t="s">
        <v>27</v>
      </c>
    </row>
    <row r="2276" spans="1:13">
      <c r="A2276" t="s">
        <v>194</v>
      </c>
      <c r="B2276" t="s">
        <v>160</v>
      </c>
      <c r="C2276" t="s">
        <v>67</v>
      </c>
      <c r="D2276" t="s">
        <v>4899</v>
      </c>
      <c r="E2276">
        <v>2</v>
      </c>
      <c r="F2276" t="s">
        <v>4900</v>
      </c>
      <c r="G2276" s="10">
        <v>45327</v>
      </c>
      <c r="H2276">
        <v>22847</v>
      </c>
      <c r="I2276">
        <v>3485</v>
      </c>
      <c r="J2276" t="s">
        <v>193</v>
      </c>
      <c r="K2276">
        <v>5</v>
      </c>
      <c r="L2276" t="s">
        <v>35</v>
      </c>
      <c r="M2276" t="s">
        <v>27</v>
      </c>
    </row>
    <row r="2277" spans="1:13">
      <c r="A2277" t="s">
        <v>3284</v>
      </c>
      <c r="B2277" t="s">
        <v>160</v>
      </c>
      <c r="C2277" t="s">
        <v>67</v>
      </c>
      <c r="D2277" t="s">
        <v>4901</v>
      </c>
      <c r="E2277">
        <v>2</v>
      </c>
      <c r="F2277" t="s">
        <v>4902</v>
      </c>
      <c r="G2277" s="10">
        <v>45328</v>
      </c>
      <c r="H2277">
        <v>22847</v>
      </c>
      <c r="I2277">
        <v>3485</v>
      </c>
      <c r="J2277" t="s">
        <v>193</v>
      </c>
      <c r="K2277">
        <v>5</v>
      </c>
      <c r="L2277" t="s">
        <v>35</v>
      </c>
      <c r="M2277" t="s">
        <v>27</v>
      </c>
    </row>
    <row r="2278" spans="1:13">
      <c r="A2278" t="s">
        <v>376</v>
      </c>
      <c r="B2278" t="s">
        <v>66</v>
      </c>
      <c r="C2278" t="s">
        <v>67</v>
      </c>
      <c r="D2278" t="s">
        <v>4903</v>
      </c>
      <c r="E2278">
        <v>2</v>
      </c>
      <c r="F2278" t="s">
        <v>4904</v>
      </c>
      <c r="G2278" s="10">
        <v>45328</v>
      </c>
      <c r="H2278">
        <v>65000</v>
      </c>
      <c r="I2278">
        <v>15000</v>
      </c>
      <c r="J2278" t="s">
        <v>163</v>
      </c>
      <c r="K2278">
        <v>5</v>
      </c>
      <c r="L2278" t="s">
        <v>35</v>
      </c>
      <c r="M2278" t="s">
        <v>27</v>
      </c>
    </row>
    <row r="2279" spans="1:13">
      <c r="A2279" t="s">
        <v>3284</v>
      </c>
      <c r="B2279" t="s">
        <v>160</v>
      </c>
      <c r="C2279" t="s">
        <v>67</v>
      </c>
      <c r="D2279" t="s">
        <v>4905</v>
      </c>
      <c r="E2279">
        <v>2</v>
      </c>
      <c r="F2279" t="s">
        <v>4906</v>
      </c>
      <c r="G2279" s="10">
        <v>45329</v>
      </c>
      <c r="H2279">
        <v>22847</v>
      </c>
      <c r="I2279">
        <v>3485</v>
      </c>
      <c r="J2279" t="s">
        <v>193</v>
      </c>
      <c r="K2279">
        <v>5</v>
      </c>
      <c r="L2279" t="s">
        <v>35</v>
      </c>
      <c r="M2279" t="s">
        <v>27</v>
      </c>
    </row>
    <row r="2280" spans="1:13">
      <c r="A2280" t="s">
        <v>197</v>
      </c>
      <c r="B2280" t="s">
        <v>160</v>
      </c>
      <c r="C2280" t="s">
        <v>67</v>
      </c>
      <c r="D2280" t="s">
        <v>4907</v>
      </c>
      <c r="E2280">
        <v>2</v>
      </c>
      <c r="F2280" t="s">
        <v>4908</v>
      </c>
      <c r="G2280" s="10">
        <v>45327</v>
      </c>
      <c r="H2280">
        <v>24898</v>
      </c>
      <c r="I2280">
        <v>3798</v>
      </c>
      <c r="J2280" t="s">
        <v>193</v>
      </c>
      <c r="K2280">
        <v>5</v>
      </c>
      <c r="L2280" t="s">
        <v>35</v>
      </c>
      <c r="M2280" t="s">
        <v>27</v>
      </c>
    </row>
    <row r="2281" spans="1:13">
      <c r="A2281" t="s">
        <v>159</v>
      </c>
      <c r="B2281" t="s">
        <v>160</v>
      </c>
      <c r="C2281" t="s">
        <v>67</v>
      </c>
      <c r="D2281" t="s">
        <v>4909</v>
      </c>
      <c r="E2281">
        <v>2</v>
      </c>
      <c r="F2281" t="s">
        <v>4910</v>
      </c>
      <c r="G2281" s="10">
        <v>45327</v>
      </c>
      <c r="H2281">
        <v>45750</v>
      </c>
      <c r="I2281">
        <v>8250</v>
      </c>
      <c r="J2281" t="s">
        <v>517</v>
      </c>
      <c r="K2281">
        <v>5</v>
      </c>
      <c r="L2281" t="s">
        <v>44</v>
      </c>
      <c r="M2281" t="s">
        <v>48</v>
      </c>
    </row>
    <row r="2282" spans="1:13">
      <c r="A2282" t="s">
        <v>854</v>
      </c>
      <c r="B2282" t="s">
        <v>93</v>
      </c>
      <c r="C2282" t="s">
        <v>94</v>
      </c>
      <c r="D2282" t="s">
        <v>4911</v>
      </c>
      <c r="E2282">
        <v>2</v>
      </c>
      <c r="F2282" t="s">
        <v>4912</v>
      </c>
      <c r="G2282" s="10">
        <v>45341</v>
      </c>
      <c r="H2282">
        <v>220500</v>
      </c>
      <c r="I2282">
        <v>12166.67</v>
      </c>
      <c r="J2282" t="s">
        <v>97</v>
      </c>
      <c r="K2282">
        <v>6</v>
      </c>
      <c r="L2282" t="s">
        <v>41</v>
      </c>
      <c r="M2282" t="s">
        <v>42</v>
      </c>
    </row>
    <row r="2283" spans="1:13">
      <c r="A2283" t="s">
        <v>2562</v>
      </c>
      <c r="B2283" t="s">
        <v>146</v>
      </c>
      <c r="C2283" t="s">
        <v>98</v>
      </c>
      <c r="D2283" t="s">
        <v>4913</v>
      </c>
      <c r="E2283">
        <v>1</v>
      </c>
      <c r="F2283" t="s">
        <v>4914</v>
      </c>
      <c r="G2283" s="10">
        <v>45328</v>
      </c>
      <c r="H2283">
        <v>250740</v>
      </c>
      <c r="I2283">
        <v>142407</v>
      </c>
      <c r="J2283" t="s">
        <v>744</v>
      </c>
      <c r="K2283">
        <v>5</v>
      </c>
      <c r="L2283" t="s">
        <v>24</v>
      </c>
      <c r="M2283" t="s">
        <v>31</v>
      </c>
    </row>
    <row r="2284" spans="1:13">
      <c r="A2284" t="s">
        <v>571</v>
      </c>
      <c r="B2284" t="s">
        <v>179</v>
      </c>
      <c r="C2284" t="s">
        <v>45</v>
      </c>
      <c r="D2284" t="s">
        <v>4915</v>
      </c>
      <c r="E2284">
        <v>2</v>
      </c>
      <c r="F2284" t="s">
        <v>4916</v>
      </c>
      <c r="G2284" s="10">
        <v>45313</v>
      </c>
      <c r="H2284">
        <v>105000</v>
      </c>
      <c r="I2284">
        <v>71667</v>
      </c>
      <c r="J2284" t="s">
        <v>4643</v>
      </c>
      <c r="K2284">
        <v>5</v>
      </c>
      <c r="L2284" t="s">
        <v>44</v>
      </c>
      <c r="M2284" t="s">
        <v>44</v>
      </c>
    </row>
    <row r="2285" spans="1:13">
      <c r="A2285" t="s">
        <v>1044</v>
      </c>
      <c r="B2285" t="s">
        <v>93</v>
      </c>
      <c r="C2285" t="s">
        <v>94</v>
      </c>
      <c r="D2285" t="s">
        <v>4917</v>
      </c>
      <c r="E2285">
        <v>2</v>
      </c>
      <c r="F2285" t="s">
        <v>4918</v>
      </c>
      <c r="G2285" s="10">
        <v>45334</v>
      </c>
      <c r="H2285">
        <v>220500</v>
      </c>
      <c r="I2285">
        <v>53833.33</v>
      </c>
      <c r="J2285" t="s">
        <v>97</v>
      </c>
      <c r="K2285">
        <v>6</v>
      </c>
      <c r="L2285" t="s">
        <v>41</v>
      </c>
      <c r="M2285" t="s">
        <v>42</v>
      </c>
    </row>
    <row r="2286" spans="1:13">
      <c r="A2286" t="s">
        <v>1381</v>
      </c>
      <c r="B2286" t="s">
        <v>683</v>
      </c>
      <c r="C2286" t="s">
        <v>238</v>
      </c>
      <c r="D2286" t="s">
        <v>4919</v>
      </c>
      <c r="E2286">
        <v>2</v>
      </c>
      <c r="F2286" t="s">
        <v>372</v>
      </c>
      <c r="G2286" s="10">
        <v>45331</v>
      </c>
      <c r="H2286">
        <v>156492</v>
      </c>
      <c r="I2286">
        <v>89825.33</v>
      </c>
      <c r="J2286" t="s">
        <v>458</v>
      </c>
      <c r="K2286">
        <v>6</v>
      </c>
      <c r="L2286" t="s">
        <v>37</v>
      </c>
      <c r="M2286" t="s">
        <v>33</v>
      </c>
    </row>
    <row r="2287" spans="1:13">
      <c r="A2287" t="s">
        <v>4920</v>
      </c>
      <c r="B2287" t="s">
        <v>66</v>
      </c>
      <c r="C2287" t="s">
        <v>67</v>
      </c>
      <c r="D2287" t="s">
        <v>4921</v>
      </c>
      <c r="E2287">
        <v>2</v>
      </c>
      <c r="F2287" t="s">
        <v>4922</v>
      </c>
      <c r="G2287" s="10">
        <v>45329</v>
      </c>
      <c r="H2287">
        <v>65000</v>
      </c>
      <c r="I2287">
        <v>15000</v>
      </c>
      <c r="J2287" t="s">
        <v>163</v>
      </c>
      <c r="K2287">
        <v>5</v>
      </c>
      <c r="L2287" t="s">
        <v>35</v>
      </c>
      <c r="M2287" t="s">
        <v>27</v>
      </c>
    </row>
    <row r="2288" spans="1:13">
      <c r="A2288" t="s">
        <v>3726</v>
      </c>
      <c r="B2288" t="s">
        <v>1983</v>
      </c>
      <c r="C2288" t="s">
        <v>45</v>
      </c>
      <c r="D2288" t="s">
        <v>4923</v>
      </c>
      <c r="E2288">
        <v>2</v>
      </c>
      <c r="F2288" t="s">
        <v>4924</v>
      </c>
      <c r="G2288" s="10">
        <v>45313</v>
      </c>
      <c r="H2288">
        <v>70000</v>
      </c>
      <c r="I2288">
        <v>36667</v>
      </c>
      <c r="J2288" t="s">
        <v>4643</v>
      </c>
      <c r="K2288">
        <v>5</v>
      </c>
      <c r="L2288" t="s">
        <v>44</v>
      </c>
      <c r="M2288" t="s">
        <v>44</v>
      </c>
    </row>
    <row r="2289" spans="1:13">
      <c r="A2289" t="s">
        <v>261</v>
      </c>
      <c r="B2289" t="s">
        <v>160</v>
      </c>
      <c r="C2289" t="s">
        <v>67</v>
      </c>
      <c r="D2289" t="s">
        <v>4925</v>
      </c>
      <c r="E2289">
        <v>2</v>
      </c>
      <c r="F2289" t="s">
        <v>4926</v>
      </c>
      <c r="G2289" s="10">
        <v>45334</v>
      </c>
      <c r="H2289">
        <v>22420</v>
      </c>
      <c r="I2289">
        <v>3420</v>
      </c>
      <c r="J2289" t="s">
        <v>193</v>
      </c>
      <c r="K2289">
        <v>5</v>
      </c>
      <c r="L2289" t="s">
        <v>35</v>
      </c>
      <c r="M2289" t="s">
        <v>27</v>
      </c>
    </row>
    <row r="2290" spans="1:13">
      <c r="A2290" t="s">
        <v>527</v>
      </c>
      <c r="B2290" t="s">
        <v>93</v>
      </c>
      <c r="C2290" t="s">
        <v>94</v>
      </c>
      <c r="D2290" t="s">
        <v>4927</v>
      </c>
      <c r="E2290">
        <v>2</v>
      </c>
      <c r="F2290" t="s">
        <v>4928</v>
      </c>
      <c r="G2290" s="10">
        <v>45362</v>
      </c>
      <c r="H2290">
        <v>220500</v>
      </c>
      <c r="I2290">
        <v>20500</v>
      </c>
      <c r="J2290" t="s">
        <v>97</v>
      </c>
      <c r="K2290">
        <v>5</v>
      </c>
      <c r="L2290" t="s">
        <v>41</v>
      </c>
      <c r="M2290" t="s">
        <v>42</v>
      </c>
    </row>
    <row r="2291" spans="1:13">
      <c r="A2291" t="s">
        <v>361</v>
      </c>
      <c r="B2291" t="s">
        <v>72</v>
      </c>
      <c r="C2291" t="s">
        <v>67</v>
      </c>
      <c r="D2291" t="s">
        <v>4929</v>
      </c>
      <c r="E2291">
        <v>1</v>
      </c>
      <c r="F2291" t="s">
        <v>4930</v>
      </c>
      <c r="G2291" s="10">
        <v>45342</v>
      </c>
      <c r="H2291">
        <v>45517</v>
      </c>
      <c r="I2291">
        <v>6350.33</v>
      </c>
      <c r="J2291" t="s">
        <v>75</v>
      </c>
      <c r="K2291">
        <v>5</v>
      </c>
      <c r="L2291" t="s">
        <v>35</v>
      </c>
      <c r="M2291" t="s">
        <v>29</v>
      </c>
    </row>
    <row r="2292" spans="1:13">
      <c r="A2292" t="s">
        <v>190</v>
      </c>
      <c r="B2292" t="s">
        <v>160</v>
      </c>
      <c r="C2292" t="s">
        <v>67</v>
      </c>
      <c r="D2292" t="s">
        <v>4931</v>
      </c>
      <c r="E2292">
        <v>2</v>
      </c>
      <c r="F2292" t="s">
        <v>4932</v>
      </c>
      <c r="G2292" s="10">
        <v>45331</v>
      </c>
      <c r="H2292">
        <v>64900</v>
      </c>
      <c r="I2292">
        <v>9900</v>
      </c>
      <c r="J2292" t="s">
        <v>193</v>
      </c>
      <c r="K2292">
        <v>5</v>
      </c>
      <c r="L2292" t="s">
        <v>35</v>
      </c>
      <c r="M2292" t="s">
        <v>27</v>
      </c>
    </row>
    <row r="2293" spans="1:13">
      <c r="A2293" t="s">
        <v>4303</v>
      </c>
      <c r="B2293" t="s">
        <v>1983</v>
      </c>
      <c r="C2293" t="s">
        <v>45</v>
      </c>
      <c r="D2293" t="s">
        <v>4933</v>
      </c>
      <c r="E2293">
        <v>2</v>
      </c>
      <c r="F2293" t="s">
        <v>4934</v>
      </c>
      <c r="G2293" s="10">
        <v>45313</v>
      </c>
      <c r="H2293">
        <v>105000</v>
      </c>
      <c r="I2293">
        <v>70000</v>
      </c>
      <c r="J2293" t="s">
        <v>4643</v>
      </c>
      <c r="K2293">
        <v>5</v>
      </c>
      <c r="L2293" t="s">
        <v>44</v>
      </c>
      <c r="M2293" t="s">
        <v>44</v>
      </c>
    </row>
    <row r="2294" spans="1:13">
      <c r="A2294" t="s">
        <v>4935</v>
      </c>
      <c r="B2294" t="s">
        <v>1983</v>
      </c>
      <c r="C2294" t="s">
        <v>45</v>
      </c>
      <c r="D2294" t="s">
        <v>4936</v>
      </c>
      <c r="E2294">
        <v>2</v>
      </c>
      <c r="F2294" t="s">
        <v>4937</v>
      </c>
      <c r="G2294" s="10">
        <v>45334</v>
      </c>
      <c r="H2294">
        <v>50833.33</v>
      </c>
      <c r="I2294">
        <v>8333.33</v>
      </c>
      <c r="J2294" t="s">
        <v>517</v>
      </c>
      <c r="K2294">
        <v>6</v>
      </c>
      <c r="L2294" t="s">
        <v>44</v>
      </c>
      <c r="M2294" t="s">
        <v>48</v>
      </c>
    </row>
    <row r="2295" spans="1:13">
      <c r="A2295" t="s">
        <v>4718</v>
      </c>
      <c r="B2295" t="s">
        <v>683</v>
      </c>
      <c r="C2295" t="s">
        <v>238</v>
      </c>
      <c r="D2295" t="s">
        <v>4938</v>
      </c>
      <c r="E2295">
        <v>2</v>
      </c>
      <c r="F2295" t="s">
        <v>4939</v>
      </c>
      <c r="G2295" s="10">
        <v>45341</v>
      </c>
      <c r="H2295">
        <v>156492</v>
      </c>
      <c r="I2295">
        <v>31492</v>
      </c>
      <c r="J2295" t="s">
        <v>458</v>
      </c>
      <c r="K2295">
        <v>6</v>
      </c>
      <c r="L2295" t="s">
        <v>37</v>
      </c>
      <c r="M2295" t="s">
        <v>33</v>
      </c>
    </row>
    <row r="2296" spans="1:13">
      <c r="A2296" t="s">
        <v>4718</v>
      </c>
      <c r="B2296" t="s">
        <v>683</v>
      </c>
      <c r="C2296" t="s">
        <v>238</v>
      </c>
      <c r="D2296" t="s">
        <v>4940</v>
      </c>
      <c r="E2296">
        <v>2</v>
      </c>
      <c r="F2296" t="s">
        <v>4941</v>
      </c>
      <c r="G2296" s="10">
        <v>45341</v>
      </c>
      <c r="H2296">
        <v>156492</v>
      </c>
      <c r="I2296">
        <v>73159</v>
      </c>
      <c r="J2296" t="s">
        <v>458</v>
      </c>
      <c r="K2296">
        <v>5</v>
      </c>
      <c r="L2296" t="s">
        <v>37</v>
      </c>
      <c r="M2296" t="s">
        <v>33</v>
      </c>
    </row>
    <row r="2297" spans="1:13">
      <c r="A2297" t="s">
        <v>794</v>
      </c>
      <c r="B2297" t="s">
        <v>118</v>
      </c>
      <c r="C2297" t="s">
        <v>98</v>
      </c>
      <c r="D2297" t="s">
        <v>4942</v>
      </c>
      <c r="E2297">
        <v>4</v>
      </c>
      <c r="F2297" t="s">
        <v>4943</v>
      </c>
      <c r="G2297" s="10">
        <v>45341</v>
      </c>
      <c r="H2297">
        <v>342364.53</v>
      </c>
      <c r="I2297">
        <v>175698.53</v>
      </c>
      <c r="J2297" t="s">
        <v>121</v>
      </c>
      <c r="K2297">
        <v>5</v>
      </c>
      <c r="L2297" t="s">
        <v>24</v>
      </c>
      <c r="M2297" t="s">
        <v>30</v>
      </c>
    </row>
    <row r="2298" spans="1:13">
      <c r="A2298" t="s">
        <v>197</v>
      </c>
      <c r="B2298" t="s">
        <v>160</v>
      </c>
      <c r="C2298" t="s">
        <v>67</v>
      </c>
      <c r="D2298" t="s">
        <v>4944</v>
      </c>
      <c r="E2298">
        <v>2</v>
      </c>
      <c r="F2298" t="s">
        <v>4945</v>
      </c>
      <c r="G2298" s="10">
        <v>45330</v>
      </c>
      <c r="H2298">
        <v>143960</v>
      </c>
      <c r="I2298">
        <v>21960</v>
      </c>
      <c r="J2298" t="s">
        <v>193</v>
      </c>
      <c r="K2298">
        <v>5</v>
      </c>
      <c r="L2298" t="s">
        <v>35</v>
      </c>
      <c r="M2298" t="s">
        <v>27</v>
      </c>
    </row>
    <row r="2299" spans="1:13">
      <c r="A2299" t="s">
        <v>305</v>
      </c>
      <c r="B2299" t="s">
        <v>118</v>
      </c>
      <c r="C2299" t="s">
        <v>98</v>
      </c>
      <c r="D2299" t="s">
        <v>4946</v>
      </c>
      <c r="E2299">
        <v>2</v>
      </c>
      <c r="F2299" t="s">
        <v>4947</v>
      </c>
      <c r="G2299" s="10">
        <v>45334</v>
      </c>
      <c r="H2299">
        <v>138542</v>
      </c>
      <c r="I2299">
        <v>71876</v>
      </c>
      <c r="J2299" t="s">
        <v>3381</v>
      </c>
      <c r="K2299">
        <v>5</v>
      </c>
      <c r="L2299" t="s">
        <v>24</v>
      </c>
      <c r="M2299" t="s">
        <v>32</v>
      </c>
    </row>
    <row r="2300" spans="1:13">
      <c r="A2300" t="s">
        <v>3284</v>
      </c>
      <c r="B2300" t="s">
        <v>160</v>
      </c>
      <c r="C2300" t="s">
        <v>67</v>
      </c>
      <c r="D2300" t="s">
        <v>4948</v>
      </c>
      <c r="E2300">
        <v>2</v>
      </c>
      <c r="F2300" t="s">
        <v>4949</v>
      </c>
      <c r="G2300" s="10">
        <v>45334</v>
      </c>
      <c r="H2300">
        <v>22420</v>
      </c>
      <c r="I2300">
        <v>3420</v>
      </c>
      <c r="J2300" t="s">
        <v>193</v>
      </c>
      <c r="K2300">
        <v>5</v>
      </c>
      <c r="L2300" t="s">
        <v>35</v>
      </c>
      <c r="M2300" t="s">
        <v>27</v>
      </c>
    </row>
    <row r="2301" spans="1:13">
      <c r="A2301" t="s">
        <v>431</v>
      </c>
      <c r="B2301" t="s">
        <v>160</v>
      </c>
      <c r="C2301" t="s">
        <v>67</v>
      </c>
      <c r="D2301" t="s">
        <v>4950</v>
      </c>
      <c r="E2301">
        <v>2</v>
      </c>
      <c r="F2301" t="s">
        <v>4951</v>
      </c>
      <c r="G2301" s="10">
        <v>45337</v>
      </c>
      <c r="H2301">
        <v>22420</v>
      </c>
      <c r="I2301">
        <v>3420</v>
      </c>
      <c r="J2301" t="s">
        <v>193</v>
      </c>
      <c r="K2301">
        <v>5</v>
      </c>
      <c r="L2301" t="s">
        <v>35</v>
      </c>
      <c r="M2301" t="s">
        <v>27</v>
      </c>
    </row>
    <row r="2302" spans="1:13">
      <c r="A2302" t="s">
        <v>197</v>
      </c>
      <c r="B2302" t="s">
        <v>160</v>
      </c>
      <c r="C2302" t="s">
        <v>67</v>
      </c>
      <c r="D2302" t="s">
        <v>4952</v>
      </c>
      <c r="E2302">
        <v>2</v>
      </c>
      <c r="F2302" t="s">
        <v>4953</v>
      </c>
      <c r="G2302" s="10">
        <v>45334</v>
      </c>
      <c r="H2302">
        <v>22420</v>
      </c>
      <c r="I2302">
        <v>3420</v>
      </c>
      <c r="J2302" t="s">
        <v>193</v>
      </c>
      <c r="K2302">
        <v>5</v>
      </c>
      <c r="L2302" t="s">
        <v>35</v>
      </c>
      <c r="M2302" t="s">
        <v>27</v>
      </c>
    </row>
    <row r="2303" spans="1:13">
      <c r="A2303" t="s">
        <v>190</v>
      </c>
      <c r="B2303" t="s">
        <v>160</v>
      </c>
      <c r="C2303" t="s">
        <v>67</v>
      </c>
      <c r="D2303" t="s">
        <v>4954</v>
      </c>
      <c r="E2303">
        <v>2</v>
      </c>
      <c r="F2303" t="s">
        <v>4955</v>
      </c>
      <c r="G2303" s="10">
        <v>45334</v>
      </c>
      <c r="H2303">
        <v>22420</v>
      </c>
      <c r="I2303">
        <v>3420</v>
      </c>
      <c r="J2303" t="s">
        <v>193</v>
      </c>
      <c r="K2303">
        <v>5</v>
      </c>
      <c r="L2303" t="s">
        <v>35</v>
      </c>
      <c r="M2303" t="s">
        <v>27</v>
      </c>
    </row>
    <row r="2304" spans="1:13">
      <c r="A2304" t="s">
        <v>4017</v>
      </c>
      <c r="B2304" t="s">
        <v>1983</v>
      </c>
      <c r="C2304" t="s">
        <v>45</v>
      </c>
      <c r="D2304" t="s">
        <v>4956</v>
      </c>
      <c r="E2304">
        <v>2</v>
      </c>
      <c r="F2304" t="s">
        <v>4957</v>
      </c>
      <c r="G2304" s="10">
        <v>45334</v>
      </c>
      <c r="H2304">
        <v>50833.33</v>
      </c>
      <c r="I2304">
        <v>9167.33</v>
      </c>
      <c r="J2304" t="s">
        <v>517</v>
      </c>
      <c r="K2304">
        <v>5</v>
      </c>
      <c r="L2304" t="s">
        <v>44</v>
      </c>
      <c r="M2304" t="s">
        <v>48</v>
      </c>
    </row>
    <row r="2305" spans="1:13">
      <c r="A2305" t="s">
        <v>4958</v>
      </c>
      <c r="B2305" t="s">
        <v>683</v>
      </c>
      <c r="C2305" t="s">
        <v>238</v>
      </c>
      <c r="D2305" t="s">
        <v>4959</v>
      </c>
      <c r="E2305">
        <v>1</v>
      </c>
      <c r="F2305" t="s">
        <v>4960</v>
      </c>
      <c r="G2305" s="10">
        <v>45334</v>
      </c>
      <c r="H2305">
        <v>384468</v>
      </c>
      <c r="I2305">
        <v>67802</v>
      </c>
      <c r="J2305" t="s">
        <v>4884</v>
      </c>
      <c r="K2305">
        <v>6</v>
      </c>
      <c r="L2305" t="s">
        <v>24</v>
      </c>
      <c r="M2305" t="s">
        <v>31</v>
      </c>
    </row>
    <row r="2306" spans="1:13">
      <c r="A2306" t="s">
        <v>159</v>
      </c>
      <c r="B2306" t="s">
        <v>160</v>
      </c>
      <c r="C2306" t="s">
        <v>67</v>
      </c>
      <c r="D2306" t="s">
        <v>4961</v>
      </c>
      <c r="E2306">
        <v>2</v>
      </c>
      <c r="F2306" t="s">
        <v>4962</v>
      </c>
      <c r="G2306" s="10">
        <v>45343</v>
      </c>
      <c r="H2306">
        <v>29500</v>
      </c>
      <c r="I2306">
        <v>4500</v>
      </c>
      <c r="J2306" t="s">
        <v>193</v>
      </c>
      <c r="K2306">
        <v>5</v>
      </c>
      <c r="L2306" t="s">
        <v>35</v>
      </c>
      <c r="M2306" t="s">
        <v>27</v>
      </c>
    </row>
    <row r="2307" spans="1:13">
      <c r="A2307" t="s">
        <v>297</v>
      </c>
      <c r="B2307" t="s">
        <v>179</v>
      </c>
      <c r="C2307" t="s">
        <v>45</v>
      </c>
      <c r="D2307" t="s">
        <v>4963</v>
      </c>
      <c r="E2307">
        <v>2</v>
      </c>
      <c r="F2307" t="s">
        <v>4964</v>
      </c>
      <c r="G2307" s="10">
        <v>45336</v>
      </c>
      <c r="H2307">
        <v>242781</v>
      </c>
      <c r="I2307">
        <v>84448</v>
      </c>
      <c r="J2307" t="s">
        <v>1414</v>
      </c>
      <c r="K2307">
        <v>5</v>
      </c>
      <c r="L2307" t="s">
        <v>44</v>
      </c>
      <c r="M2307" t="s">
        <v>49</v>
      </c>
    </row>
    <row r="2308" spans="1:13">
      <c r="A2308" t="s">
        <v>3647</v>
      </c>
      <c r="B2308" t="s">
        <v>1983</v>
      </c>
      <c r="C2308" t="s">
        <v>45</v>
      </c>
      <c r="D2308" t="s">
        <v>4965</v>
      </c>
      <c r="E2308">
        <v>2</v>
      </c>
      <c r="F2308" t="s">
        <v>4966</v>
      </c>
      <c r="G2308" s="10">
        <v>45334</v>
      </c>
      <c r="H2308">
        <v>48800</v>
      </c>
      <c r="I2308">
        <v>8800</v>
      </c>
      <c r="J2308" t="s">
        <v>517</v>
      </c>
      <c r="K2308">
        <v>5</v>
      </c>
      <c r="L2308" t="s">
        <v>44</v>
      </c>
      <c r="M2308" t="s">
        <v>48</v>
      </c>
    </row>
    <row r="2309" spans="1:13">
      <c r="A2309" t="s">
        <v>3647</v>
      </c>
      <c r="B2309" t="s">
        <v>1983</v>
      </c>
      <c r="C2309" t="s">
        <v>45</v>
      </c>
      <c r="D2309" t="s">
        <v>4967</v>
      </c>
      <c r="E2309">
        <v>2</v>
      </c>
      <c r="F2309" t="s">
        <v>4968</v>
      </c>
      <c r="G2309" s="10">
        <v>45334</v>
      </c>
      <c r="H2309">
        <v>48800</v>
      </c>
      <c r="I2309">
        <v>8800</v>
      </c>
      <c r="J2309" t="s">
        <v>517</v>
      </c>
      <c r="K2309">
        <v>5</v>
      </c>
      <c r="L2309" t="s">
        <v>44</v>
      </c>
      <c r="M2309" t="s">
        <v>48</v>
      </c>
    </row>
    <row r="2310" spans="1:13">
      <c r="A2310" t="s">
        <v>3647</v>
      </c>
      <c r="B2310" t="s">
        <v>1983</v>
      </c>
      <c r="C2310" t="s">
        <v>45</v>
      </c>
      <c r="D2310" t="s">
        <v>4969</v>
      </c>
      <c r="E2310">
        <v>2</v>
      </c>
      <c r="F2310" t="s">
        <v>4970</v>
      </c>
      <c r="G2310" s="10">
        <v>45334</v>
      </c>
      <c r="H2310">
        <v>50833.33</v>
      </c>
      <c r="I2310">
        <v>9167.33</v>
      </c>
      <c r="J2310" t="s">
        <v>517</v>
      </c>
      <c r="K2310">
        <v>5</v>
      </c>
      <c r="L2310" t="s">
        <v>44</v>
      </c>
      <c r="M2310" t="s">
        <v>48</v>
      </c>
    </row>
    <row r="2311" spans="1:13">
      <c r="A2311" t="s">
        <v>261</v>
      </c>
      <c r="B2311" t="s">
        <v>160</v>
      </c>
      <c r="C2311" t="s">
        <v>67</v>
      </c>
      <c r="D2311" t="s">
        <v>4971</v>
      </c>
      <c r="E2311">
        <v>2</v>
      </c>
      <c r="F2311" t="s">
        <v>4972</v>
      </c>
      <c r="G2311" s="10">
        <v>45335</v>
      </c>
      <c r="H2311">
        <v>65000</v>
      </c>
      <c r="I2311">
        <v>15000</v>
      </c>
      <c r="J2311" t="s">
        <v>163</v>
      </c>
      <c r="K2311">
        <v>5</v>
      </c>
      <c r="L2311" t="s">
        <v>35</v>
      </c>
      <c r="M2311" t="s">
        <v>27</v>
      </c>
    </row>
    <row r="2312" spans="1:13">
      <c r="A2312" t="s">
        <v>361</v>
      </c>
      <c r="B2312" t="s">
        <v>72</v>
      </c>
      <c r="C2312" t="s">
        <v>67</v>
      </c>
      <c r="D2312" t="s">
        <v>4973</v>
      </c>
      <c r="E2312">
        <v>1</v>
      </c>
      <c r="F2312" t="s">
        <v>4974</v>
      </c>
      <c r="G2312" s="10">
        <v>45363</v>
      </c>
      <c r="H2312">
        <v>45517</v>
      </c>
      <c r="I2312">
        <v>6350.33</v>
      </c>
      <c r="J2312" t="s">
        <v>75</v>
      </c>
      <c r="K2312">
        <v>5</v>
      </c>
      <c r="L2312" t="s">
        <v>35</v>
      </c>
      <c r="M2312" t="s">
        <v>29</v>
      </c>
    </row>
    <row r="2313" spans="1:13">
      <c r="A2313" t="s">
        <v>30</v>
      </c>
      <c r="B2313" t="s">
        <v>4881</v>
      </c>
      <c r="C2313" t="s">
        <v>137</v>
      </c>
      <c r="D2313" t="s">
        <v>4975</v>
      </c>
      <c r="E2313">
        <v>1</v>
      </c>
      <c r="F2313" t="s">
        <v>4976</v>
      </c>
      <c r="G2313" s="10">
        <v>45365</v>
      </c>
      <c r="H2313">
        <v>376110</v>
      </c>
      <c r="I2313">
        <v>59443.33</v>
      </c>
      <c r="J2313" t="s">
        <v>4884</v>
      </c>
      <c r="K2313">
        <v>5</v>
      </c>
      <c r="L2313" t="s">
        <v>24</v>
      </c>
      <c r="M2313" t="s">
        <v>31</v>
      </c>
    </row>
    <row r="2314" spans="1:13">
      <c r="A2314" t="s">
        <v>3519</v>
      </c>
      <c r="B2314" t="s">
        <v>93</v>
      </c>
      <c r="C2314" t="s">
        <v>94</v>
      </c>
      <c r="D2314" t="s">
        <v>4977</v>
      </c>
      <c r="E2314">
        <v>7</v>
      </c>
      <c r="F2314" t="s">
        <v>4978</v>
      </c>
      <c r="G2314" s="10">
        <v>45336</v>
      </c>
      <c r="H2314">
        <v>71363</v>
      </c>
      <c r="I2314">
        <v>3073</v>
      </c>
      <c r="J2314" t="s">
        <v>313</v>
      </c>
      <c r="K2314">
        <v>5</v>
      </c>
      <c r="L2314" t="s">
        <v>41</v>
      </c>
      <c r="M2314" t="s">
        <v>42</v>
      </c>
    </row>
    <row r="2315" spans="1:13">
      <c r="A2315" t="s">
        <v>190</v>
      </c>
      <c r="B2315" t="s">
        <v>160</v>
      </c>
      <c r="C2315" t="s">
        <v>67</v>
      </c>
      <c r="D2315" t="s">
        <v>4979</v>
      </c>
      <c r="E2315">
        <v>2</v>
      </c>
      <c r="F2315" t="s">
        <v>4980</v>
      </c>
      <c r="G2315" s="10">
        <v>45336</v>
      </c>
      <c r="H2315">
        <v>22420</v>
      </c>
      <c r="I2315">
        <v>3420</v>
      </c>
      <c r="J2315" t="s">
        <v>193</v>
      </c>
      <c r="K2315">
        <v>5</v>
      </c>
      <c r="L2315" t="s">
        <v>35</v>
      </c>
      <c r="M2315" t="s">
        <v>27</v>
      </c>
    </row>
    <row r="2316" spans="1:13">
      <c r="A2316" t="s">
        <v>3726</v>
      </c>
      <c r="B2316" t="s">
        <v>1983</v>
      </c>
      <c r="C2316" t="s">
        <v>45</v>
      </c>
      <c r="D2316" t="s">
        <v>4981</v>
      </c>
      <c r="E2316">
        <v>1</v>
      </c>
      <c r="F2316" t="s">
        <v>4982</v>
      </c>
      <c r="G2316" s="10">
        <v>45313</v>
      </c>
      <c r="H2316">
        <v>105000</v>
      </c>
      <c r="I2316">
        <v>63334</v>
      </c>
      <c r="J2316" t="s">
        <v>4643</v>
      </c>
      <c r="K2316">
        <v>5</v>
      </c>
      <c r="L2316" t="s">
        <v>44</v>
      </c>
      <c r="M2316" t="s">
        <v>44</v>
      </c>
    </row>
    <row r="2317" spans="1:13">
      <c r="A2317" t="s">
        <v>1868</v>
      </c>
      <c r="B2317" t="s">
        <v>66</v>
      </c>
      <c r="C2317" t="s">
        <v>67</v>
      </c>
      <c r="D2317" t="s">
        <v>4983</v>
      </c>
      <c r="E2317">
        <v>2</v>
      </c>
      <c r="F2317" t="s">
        <v>4984</v>
      </c>
      <c r="G2317" s="10">
        <v>45341</v>
      </c>
      <c r="H2317">
        <v>45517</v>
      </c>
      <c r="I2317">
        <v>6350.33</v>
      </c>
      <c r="J2317" t="s">
        <v>75</v>
      </c>
      <c r="K2317">
        <v>5</v>
      </c>
      <c r="L2317" t="s">
        <v>35</v>
      </c>
      <c r="M2317" t="s">
        <v>29</v>
      </c>
    </row>
    <row r="2318" spans="1:13">
      <c r="A2318" t="s">
        <v>251</v>
      </c>
      <c r="B2318" t="s">
        <v>160</v>
      </c>
      <c r="C2318" t="s">
        <v>67</v>
      </c>
      <c r="D2318" t="s">
        <v>4985</v>
      </c>
      <c r="E2318">
        <v>2</v>
      </c>
      <c r="F2318" t="s">
        <v>4986</v>
      </c>
      <c r="G2318" s="10">
        <v>45337</v>
      </c>
      <c r="H2318">
        <v>32500</v>
      </c>
      <c r="I2318">
        <v>7500</v>
      </c>
      <c r="J2318" t="s">
        <v>193</v>
      </c>
      <c r="K2318">
        <v>6</v>
      </c>
      <c r="L2318" t="s">
        <v>35</v>
      </c>
      <c r="M2318" t="s">
        <v>27</v>
      </c>
    </row>
    <row r="2319" spans="1:13">
      <c r="A2319" t="s">
        <v>3284</v>
      </c>
      <c r="B2319" t="s">
        <v>160</v>
      </c>
      <c r="C2319" t="s">
        <v>67</v>
      </c>
      <c r="D2319" t="s">
        <v>4987</v>
      </c>
      <c r="E2319">
        <v>2</v>
      </c>
      <c r="F2319" t="s">
        <v>4988</v>
      </c>
      <c r="G2319" s="10">
        <v>45338</v>
      </c>
      <c r="H2319">
        <v>143960</v>
      </c>
      <c r="I2319">
        <v>21960</v>
      </c>
      <c r="J2319" t="s">
        <v>193</v>
      </c>
      <c r="K2319">
        <v>5</v>
      </c>
      <c r="L2319" t="s">
        <v>35</v>
      </c>
      <c r="M2319" t="s">
        <v>27</v>
      </c>
    </row>
    <row r="2320" spans="1:13">
      <c r="A2320" t="s">
        <v>4989</v>
      </c>
      <c r="B2320" t="s">
        <v>160</v>
      </c>
      <c r="C2320" t="s">
        <v>67</v>
      </c>
      <c r="D2320" t="s">
        <v>4990</v>
      </c>
      <c r="E2320">
        <v>2</v>
      </c>
      <c r="F2320" t="s">
        <v>4991</v>
      </c>
      <c r="G2320" s="10">
        <v>45338</v>
      </c>
      <c r="H2320">
        <v>65000</v>
      </c>
      <c r="I2320">
        <v>15000</v>
      </c>
      <c r="J2320" t="s">
        <v>163</v>
      </c>
      <c r="K2320">
        <v>5</v>
      </c>
      <c r="L2320" t="s">
        <v>35</v>
      </c>
      <c r="M2320" t="s">
        <v>27</v>
      </c>
    </row>
    <row r="2321" spans="1:13">
      <c r="A2321" t="s">
        <v>186</v>
      </c>
      <c r="B2321" t="s">
        <v>179</v>
      </c>
      <c r="C2321" t="s">
        <v>45</v>
      </c>
      <c r="D2321" t="s">
        <v>4992</v>
      </c>
      <c r="E2321">
        <v>2</v>
      </c>
      <c r="F2321" t="s">
        <v>4993</v>
      </c>
      <c r="G2321" s="10">
        <v>45337</v>
      </c>
      <c r="H2321">
        <v>200000</v>
      </c>
      <c r="I2321">
        <v>75000</v>
      </c>
      <c r="J2321" t="s">
        <v>714</v>
      </c>
      <c r="K2321">
        <v>5</v>
      </c>
      <c r="L2321" t="s">
        <v>44</v>
      </c>
      <c r="M2321" t="s">
        <v>45</v>
      </c>
    </row>
    <row r="2322" spans="1:13">
      <c r="A2322" t="s">
        <v>186</v>
      </c>
      <c r="B2322" t="s">
        <v>179</v>
      </c>
      <c r="C2322" t="s">
        <v>45</v>
      </c>
      <c r="D2322" t="s">
        <v>4994</v>
      </c>
      <c r="E2322">
        <v>4</v>
      </c>
      <c r="F2322" t="s">
        <v>4995</v>
      </c>
      <c r="G2322" s="10">
        <v>45341</v>
      </c>
      <c r="H2322">
        <v>285600</v>
      </c>
      <c r="I2322">
        <v>102267</v>
      </c>
      <c r="J2322" t="s">
        <v>189</v>
      </c>
      <c r="K2322">
        <v>6</v>
      </c>
      <c r="L2322" t="s">
        <v>44</v>
      </c>
      <c r="M2322" t="s">
        <v>45</v>
      </c>
    </row>
    <row r="2323" spans="1:13">
      <c r="A2323" t="s">
        <v>2389</v>
      </c>
      <c r="B2323" t="s">
        <v>2267</v>
      </c>
      <c r="C2323" t="s">
        <v>94</v>
      </c>
      <c r="D2323" t="s">
        <v>4996</v>
      </c>
      <c r="E2323">
        <v>2</v>
      </c>
      <c r="F2323" t="s">
        <v>4997</v>
      </c>
      <c r="G2323" s="10">
        <v>45341</v>
      </c>
      <c r="H2323">
        <v>157500</v>
      </c>
      <c r="I2323">
        <v>28333.33</v>
      </c>
      <c r="J2323" t="s">
        <v>4998</v>
      </c>
      <c r="K2323">
        <v>5</v>
      </c>
      <c r="L2323" t="s">
        <v>41</v>
      </c>
      <c r="M2323" t="s">
        <v>43</v>
      </c>
    </row>
    <row r="2324" spans="1:13">
      <c r="A2324" t="s">
        <v>1447</v>
      </c>
      <c r="B2324" t="s">
        <v>179</v>
      </c>
      <c r="C2324" t="s">
        <v>45</v>
      </c>
      <c r="D2324" t="s">
        <v>4999</v>
      </c>
      <c r="E2324">
        <v>4</v>
      </c>
      <c r="F2324" t="s">
        <v>5000</v>
      </c>
      <c r="G2324" s="10">
        <v>45336</v>
      </c>
      <c r="H2324">
        <v>373500</v>
      </c>
      <c r="I2324">
        <v>90166.67</v>
      </c>
      <c r="J2324" t="s">
        <v>322</v>
      </c>
      <c r="K2324">
        <v>5</v>
      </c>
      <c r="L2324" t="s">
        <v>44</v>
      </c>
      <c r="M2324" t="s">
        <v>45</v>
      </c>
    </row>
    <row r="2325" spans="1:13">
      <c r="A2325" t="s">
        <v>703</v>
      </c>
      <c r="B2325" t="s">
        <v>179</v>
      </c>
      <c r="C2325" t="s">
        <v>45</v>
      </c>
      <c r="D2325" t="s">
        <v>5001</v>
      </c>
      <c r="E2325">
        <v>2</v>
      </c>
      <c r="F2325" t="s">
        <v>5002</v>
      </c>
      <c r="G2325" s="10">
        <v>45338</v>
      </c>
      <c r="H2325">
        <v>436000</v>
      </c>
      <c r="I2325">
        <v>102667</v>
      </c>
      <c r="J2325" t="s">
        <v>189</v>
      </c>
      <c r="K2325">
        <v>6</v>
      </c>
      <c r="L2325" t="s">
        <v>44</v>
      </c>
      <c r="M2325" t="s">
        <v>45</v>
      </c>
    </row>
    <row r="2326" spans="1:13">
      <c r="A2326" t="s">
        <v>3726</v>
      </c>
      <c r="B2326" t="s">
        <v>1983</v>
      </c>
      <c r="C2326" t="s">
        <v>45</v>
      </c>
      <c r="D2326" t="s">
        <v>5003</v>
      </c>
      <c r="E2326">
        <v>2</v>
      </c>
      <c r="F2326" t="s">
        <v>5004</v>
      </c>
      <c r="G2326" s="10">
        <v>45338</v>
      </c>
      <c r="H2326">
        <v>124159.86</v>
      </c>
      <c r="I2326">
        <v>7493.86</v>
      </c>
      <c r="J2326" t="s">
        <v>300</v>
      </c>
      <c r="K2326">
        <v>5</v>
      </c>
      <c r="L2326" t="s">
        <v>44</v>
      </c>
      <c r="M2326" t="s">
        <v>48</v>
      </c>
    </row>
    <row r="2327" spans="1:13">
      <c r="A2327" t="s">
        <v>5005</v>
      </c>
      <c r="B2327" t="s">
        <v>112</v>
      </c>
      <c r="C2327" t="s">
        <v>113</v>
      </c>
      <c r="D2327" t="s">
        <v>5006</v>
      </c>
      <c r="E2327">
        <v>2</v>
      </c>
      <c r="F2327" t="s">
        <v>5007</v>
      </c>
      <c r="G2327" s="10">
        <v>45351</v>
      </c>
      <c r="H2327">
        <v>124950</v>
      </c>
      <c r="I2327">
        <v>33283.33</v>
      </c>
      <c r="J2327" t="s">
        <v>97</v>
      </c>
      <c r="K2327">
        <v>5</v>
      </c>
      <c r="L2327" t="s">
        <v>41</v>
      </c>
      <c r="M2327" t="s">
        <v>42</v>
      </c>
    </row>
    <row r="2328" spans="1:13">
      <c r="A2328" t="s">
        <v>341</v>
      </c>
      <c r="B2328" t="s">
        <v>179</v>
      </c>
      <c r="C2328" t="s">
        <v>45</v>
      </c>
      <c r="D2328" t="s">
        <v>5008</v>
      </c>
      <c r="E2328">
        <v>2</v>
      </c>
      <c r="F2328" t="s">
        <v>5009</v>
      </c>
      <c r="G2328" s="10">
        <v>45338</v>
      </c>
      <c r="H2328">
        <v>386400</v>
      </c>
      <c r="I2328">
        <v>136400</v>
      </c>
      <c r="J2328" t="s">
        <v>189</v>
      </c>
      <c r="K2328">
        <v>5</v>
      </c>
      <c r="L2328" t="s">
        <v>44</v>
      </c>
      <c r="M2328" t="s">
        <v>45</v>
      </c>
    </row>
    <row r="2329" spans="1:13">
      <c r="A2329" t="s">
        <v>297</v>
      </c>
      <c r="B2329" t="s">
        <v>179</v>
      </c>
      <c r="C2329" t="s">
        <v>45</v>
      </c>
      <c r="D2329" t="s">
        <v>5010</v>
      </c>
      <c r="E2329">
        <v>2</v>
      </c>
      <c r="F2329" t="s">
        <v>5011</v>
      </c>
      <c r="G2329" s="10">
        <v>45341</v>
      </c>
      <c r="H2329">
        <v>147416.67000000001</v>
      </c>
      <c r="I2329">
        <v>26583.67</v>
      </c>
      <c r="J2329" t="s">
        <v>517</v>
      </c>
      <c r="K2329">
        <v>5</v>
      </c>
      <c r="L2329" t="s">
        <v>44</v>
      </c>
      <c r="M2329" t="s">
        <v>48</v>
      </c>
    </row>
    <row r="2330" spans="1:13">
      <c r="A2330" t="s">
        <v>5012</v>
      </c>
      <c r="B2330" t="s">
        <v>683</v>
      </c>
      <c r="C2330" t="s">
        <v>238</v>
      </c>
      <c r="D2330" t="s">
        <v>5013</v>
      </c>
      <c r="E2330">
        <v>2</v>
      </c>
      <c r="F2330" t="s">
        <v>5014</v>
      </c>
      <c r="G2330" s="10">
        <v>45364</v>
      </c>
      <c r="H2330">
        <v>150099.6</v>
      </c>
      <c r="I2330">
        <v>79266.27</v>
      </c>
      <c r="J2330" t="s">
        <v>458</v>
      </c>
      <c r="K2330">
        <v>5</v>
      </c>
      <c r="L2330" t="s">
        <v>37</v>
      </c>
      <c r="M2330" t="s">
        <v>33</v>
      </c>
    </row>
    <row r="2331" spans="1:13">
      <c r="A2331" t="s">
        <v>159</v>
      </c>
      <c r="B2331" t="s">
        <v>160</v>
      </c>
      <c r="C2331" t="s">
        <v>67</v>
      </c>
      <c r="D2331" t="s">
        <v>5015</v>
      </c>
      <c r="E2331">
        <v>2</v>
      </c>
      <c r="F2331" t="s">
        <v>5016</v>
      </c>
      <c r="G2331" s="10">
        <v>45343</v>
      </c>
      <c r="H2331">
        <v>17700</v>
      </c>
      <c r="I2331">
        <v>2700</v>
      </c>
      <c r="J2331" t="s">
        <v>193</v>
      </c>
      <c r="K2331">
        <v>5</v>
      </c>
      <c r="L2331" t="s">
        <v>35</v>
      </c>
      <c r="M2331" t="s">
        <v>27</v>
      </c>
    </row>
    <row r="2332" spans="1:13">
      <c r="A2332" t="s">
        <v>5017</v>
      </c>
      <c r="B2332" t="s">
        <v>118</v>
      </c>
      <c r="C2332" t="s">
        <v>98</v>
      </c>
      <c r="D2332" t="s">
        <v>5018</v>
      </c>
      <c r="E2332">
        <v>1</v>
      </c>
      <c r="F2332" t="s">
        <v>5019</v>
      </c>
      <c r="G2332" s="10">
        <v>45358</v>
      </c>
      <c r="H2332">
        <v>302400</v>
      </c>
      <c r="I2332">
        <v>144066.67000000001</v>
      </c>
      <c r="J2332" t="s">
        <v>859</v>
      </c>
      <c r="K2332">
        <v>6</v>
      </c>
      <c r="L2332" t="s">
        <v>24</v>
      </c>
      <c r="M2332" t="s">
        <v>24</v>
      </c>
    </row>
    <row r="2333" spans="1:13">
      <c r="A2333" t="s">
        <v>159</v>
      </c>
      <c r="B2333" t="s">
        <v>160</v>
      </c>
      <c r="C2333" t="s">
        <v>67</v>
      </c>
      <c r="D2333" t="s">
        <v>5020</v>
      </c>
      <c r="E2333">
        <v>2</v>
      </c>
      <c r="F2333" t="s">
        <v>5021</v>
      </c>
      <c r="G2333" s="10">
        <v>45345</v>
      </c>
      <c r="H2333">
        <v>132750</v>
      </c>
      <c r="I2333">
        <v>20250</v>
      </c>
      <c r="J2333" t="s">
        <v>193</v>
      </c>
      <c r="K2333">
        <v>5</v>
      </c>
      <c r="L2333" t="s">
        <v>35</v>
      </c>
      <c r="M2333" t="s">
        <v>27</v>
      </c>
    </row>
    <row r="2334" spans="1:13">
      <c r="A2334" t="s">
        <v>5022</v>
      </c>
      <c r="B2334" t="s">
        <v>848</v>
      </c>
      <c r="C2334" t="s">
        <v>98</v>
      </c>
      <c r="D2334" t="s">
        <v>5023</v>
      </c>
      <c r="E2334">
        <v>1</v>
      </c>
      <c r="F2334" t="s">
        <v>5024</v>
      </c>
      <c r="G2334" s="10">
        <v>45358</v>
      </c>
      <c r="H2334">
        <v>227337.60000000001</v>
      </c>
      <c r="I2334">
        <v>102337.60000000001</v>
      </c>
      <c r="J2334" t="s">
        <v>859</v>
      </c>
      <c r="K2334">
        <v>5</v>
      </c>
      <c r="L2334" t="s">
        <v>24</v>
      </c>
      <c r="M2334" t="s">
        <v>24</v>
      </c>
    </row>
    <row r="2335" spans="1:13">
      <c r="A2335" t="s">
        <v>703</v>
      </c>
      <c r="B2335" t="s">
        <v>179</v>
      </c>
      <c r="C2335" t="s">
        <v>45</v>
      </c>
      <c r="D2335" t="s">
        <v>5025</v>
      </c>
      <c r="E2335">
        <v>2</v>
      </c>
      <c r="F2335" t="s">
        <v>5026</v>
      </c>
      <c r="G2335" s="10">
        <v>45342</v>
      </c>
      <c r="H2335">
        <v>336000</v>
      </c>
      <c r="I2335">
        <v>102667</v>
      </c>
      <c r="J2335" t="s">
        <v>189</v>
      </c>
      <c r="K2335">
        <v>6</v>
      </c>
      <c r="L2335" t="s">
        <v>44</v>
      </c>
      <c r="M2335" t="s">
        <v>45</v>
      </c>
    </row>
    <row r="2336" spans="1:13">
      <c r="A2336" t="s">
        <v>190</v>
      </c>
      <c r="B2336" t="s">
        <v>160</v>
      </c>
      <c r="C2336" t="s">
        <v>67</v>
      </c>
      <c r="D2336" t="s">
        <v>5027</v>
      </c>
      <c r="E2336">
        <v>2</v>
      </c>
      <c r="F2336" t="s">
        <v>5028</v>
      </c>
      <c r="G2336" s="10">
        <v>45348</v>
      </c>
      <c r="H2336">
        <v>23600</v>
      </c>
      <c r="I2336">
        <v>3600</v>
      </c>
      <c r="J2336" t="s">
        <v>193</v>
      </c>
      <c r="K2336">
        <v>5</v>
      </c>
      <c r="L2336" t="s">
        <v>35</v>
      </c>
      <c r="M2336" t="s">
        <v>27</v>
      </c>
    </row>
    <row r="2337" spans="1:13">
      <c r="A2337" t="s">
        <v>190</v>
      </c>
      <c r="B2337" t="s">
        <v>160</v>
      </c>
      <c r="C2337" t="s">
        <v>67</v>
      </c>
      <c r="D2337" t="s">
        <v>5029</v>
      </c>
      <c r="E2337">
        <v>2</v>
      </c>
      <c r="F2337" t="s">
        <v>5030</v>
      </c>
      <c r="G2337" s="10">
        <v>45355</v>
      </c>
      <c r="H2337">
        <v>22420</v>
      </c>
      <c r="I2337">
        <v>3420</v>
      </c>
      <c r="J2337" t="s">
        <v>193</v>
      </c>
      <c r="K2337">
        <v>5</v>
      </c>
      <c r="L2337" t="s">
        <v>35</v>
      </c>
      <c r="M2337" t="s">
        <v>27</v>
      </c>
    </row>
    <row r="2338" spans="1:13">
      <c r="A2338" t="s">
        <v>190</v>
      </c>
      <c r="B2338" t="s">
        <v>160</v>
      </c>
      <c r="C2338" t="s">
        <v>67</v>
      </c>
      <c r="D2338" t="s">
        <v>5031</v>
      </c>
      <c r="E2338">
        <v>2</v>
      </c>
      <c r="F2338" t="s">
        <v>5032</v>
      </c>
      <c r="G2338" s="10">
        <v>45342</v>
      </c>
      <c r="H2338">
        <v>17700</v>
      </c>
      <c r="I2338">
        <v>2700</v>
      </c>
      <c r="J2338" t="s">
        <v>193</v>
      </c>
      <c r="K2338">
        <v>5</v>
      </c>
      <c r="L2338" t="s">
        <v>35</v>
      </c>
      <c r="M2338" t="s">
        <v>27</v>
      </c>
    </row>
    <row r="2339" spans="1:13">
      <c r="A2339" t="s">
        <v>4920</v>
      </c>
      <c r="B2339" t="s">
        <v>66</v>
      </c>
      <c r="C2339" t="s">
        <v>67</v>
      </c>
      <c r="D2339" t="s">
        <v>5033</v>
      </c>
      <c r="E2339">
        <v>6</v>
      </c>
      <c r="F2339" t="s">
        <v>5034</v>
      </c>
      <c r="G2339" s="10">
        <v>45348</v>
      </c>
      <c r="H2339">
        <v>34375</v>
      </c>
      <c r="I2339">
        <v>6875</v>
      </c>
      <c r="J2339" t="s">
        <v>70</v>
      </c>
      <c r="K2339">
        <v>5</v>
      </c>
      <c r="L2339" t="s">
        <v>35</v>
      </c>
      <c r="M2339" t="s">
        <v>36</v>
      </c>
    </row>
    <row r="2340" spans="1:13">
      <c r="A2340" t="s">
        <v>5035</v>
      </c>
      <c r="B2340" t="s">
        <v>215</v>
      </c>
      <c r="C2340" t="s">
        <v>94</v>
      </c>
      <c r="D2340" t="s">
        <v>5036</v>
      </c>
      <c r="E2340">
        <v>2</v>
      </c>
      <c r="F2340" t="s">
        <v>5037</v>
      </c>
      <c r="G2340" s="10">
        <v>45344</v>
      </c>
      <c r="H2340">
        <v>205000</v>
      </c>
      <c r="I2340">
        <v>13333.33</v>
      </c>
      <c r="J2340" t="s">
        <v>227</v>
      </c>
      <c r="K2340">
        <v>5</v>
      </c>
      <c r="L2340" t="s">
        <v>41</v>
      </c>
      <c r="M2340" t="s">
        <v>42</v>
      </c>
    </row>
    <row r="2341" spans="1:13">
      <c r="A2341" t="s">
        <v>431</v>
      </c>
      <c r="B2341" t="s">
        <v>160</v>
      </c>
      <c r="C2341" t="s">
        <v>67</v>
      </c>
      <c r="D2341" t="s">
        <v>5038</v>
      </c>
      <c r="E2341">
        <v>2</v>
      </c>
      <c r="F2341" t="s">
        <v>5039</v>
      </c>
      <c r="G2341" s="10">
        <v>45342</v>
      </c>
      <c r="H2341">
        <v>22420</v>
      </c>
      <c r="I2341">
        <v>3420</v>
      </c>
      <c r="J2341" t="s">
        <v>193</v>
      </c>
      <c r="K2341">
        <v>5</v>
      </c>
      <c r="L2341" t="s">
        <v>35</v>
      </c>
      <c r="M2341" t="s">
        <v>27</v>
      </c>
    </row>
    <row r="2342" spans="1:13">
      <c r="A2342" t="s">
        <v>261</v>
      </c>
      <c r="B2342" t="s">
        <v>160</v>
      </c>
      <c r="C2342" t="s">
        <v>67</v>
      </c>
      <c r="D2342" t="s">
        <v>5040</v>
      </c>
      <c r="E2342">
        <v>2</v>
      </c>
      <c r="F2342" t="s">
        <v>5041</v>
      </c>
      <c r="G2342" s="10">
        <v>45348</v>
      </c>
      <c r="H2342">
        <v>23600</v>
      </c>
      <c r="I2342">
        <v>3600</v>
      </c>
      <c r="J2342" t="s">
        <v>193</v>
      </c>
      <c r="K2342">
        <v>6</v>
      </c>
      <c r="L2342" t="s">
        <v>35</v>
      </c>
      <c r="M2342" t="s">
        <v>27</v>
      </c>
    </row>
    <row r="2343" spans="1:13">
      <c r="A2343" t="s">
        <v>376</v>
      </c>
      <c r="B2343" t="s">
        <v>66</v>
      </c>
      <c r="C2343" t="s">
        <v>67</v>
      </c>
      <c r="D2343" t="s">
        <v>5042</v>
      </c>
      <c r="E2343">
        <v>6</v>
      </c>
      <c r="F2343" t="s">
        <v>5043</v>
      </c>
      <c r="G2343" s="10">
        <v>45348</v>
      </c>
      <c r="H2343">
        <v>34375</v>
      </c>
      <c r="I2343">
        <v>6875</v>
      </c>
      <c r="J2343" t="s">
        <v>70</v>
      </c>
      <c r="K2343">
        <v>5</v>
      </c>
      <c r="L2343" t="s">
        <v>35</v>
      </c>
      <c r="M2343" t="s">
        <v>36</v>
      </c>
    </row>
    <row r="2344" spans="1:13">
      <c r="A2344" t="s">
        <v>4989</v>
      </c>
      <c r="B2344" t="s">
        <v>160</v>
      </c>
      <c r="C2344" t="s">
        <v>67</v>
      </c>
      <c r="D2344" t="s">
        <v>5044</v>
      </c>
      <c r="E2344">
        <v>2</v>
      </c>
      <c r="F2344" t="s">
        <v>5045</v>
      </c>
      <c r="G2344" s="10">
        <v>45351</v>
      </c>
      <c r="H2344">
        <v>65000</v>
      </c>
      <c r="I2344">
        <v>15000</v>
      </c>
      <c r="J2344" t="s">
        <v>163</v>
      </c>
      <c r="K2344">
        <v>5</v>
      </c>
      <c r="L2344" t="s">
        <v>35</v>
      </c>
      <c r="M2344" t="s">
        <v>27</v>
      </c>
    </row>
    <row r="2345" spans="1:13">
      <c r="A2345" t="s">
        <v>5046</v>
      </c>
      <c r="B2345" t="s">
        <v>5047</v>
      </c>
      <c r="C2345" t="s">
        <v>5048</v>
      </c>
      <c r="D2345" t="s">
        <v>5049</v>
      </c>
      <c r="E2345">
        <v>1</v>
      </c>
      <c r="F2345" t="s">
        <v>5050</v>
      </c>
      <c r="G2345" s="10">
        <v>45345</v>
      </c>
      <c r="H2345">
        <v>367752</v>
      </c>
      <c r="I2345">
        <v>117752</v>
      </c>
      <c r="J2345" t="s">
        <v>4884</v>
      </c>
      <c r="K2345">
        <v>5</v>
      </c>
      <c r="L2345" t="s">
        <v>24</v>
      </c>
      <c r="M2345" t="s">
        <v>31</v>
      </c>
    </row>
    <row r="2346" spans="1:13">
      <c r="A2346" t="s">
        <v>1868</v>
      </c>
      <c r="B2346" t="s">
        <v>66</v>
      </c>
      <c r="C2346" t="s">
        <v>67</v>
      </c>
      <c r="D2346" t="s">
        <v>5051</v>
      </c>
      <c r="E2346">
        <v>2</v>
      </c>
      <c r="F2346" t="s">
        <v>5052</v>
      </c>
      <c r="G2346" s="10">
        <v>45345</v>
      </c>
      <c r="H2346">
        <v>109998</v>
      </c>
      <c r="I2346">
        <v>18332</v>
      </c>
      <c r="J2346" t="s">
        <v>4320</v>
      </c>
      <c r="K2346">
        <v>5</v>
      </c>
      <c r="L2346" t="s">
        <v>24</v>
      </c>
      <c r="M2346" t="s">
        <v>24</v>
      </c>
    </row>
    <row r="2347" spans="1:13">
      <c r="A2347" t="s">
        <v>3874</v>
      </c>
      <c r="B2347" t="s">
        <v>179</v>
      </c>
      <c r="C2347" t="s">
        <v>45</v>
      </c>
      <c r="D2347" t="s">
        <v>4492</v>
      </c>
      <c r="E2347">
        <v>2</v>
      </c>
      <c r="F2347" t="s">
        <v>5053</v>
      </c>
      <c r="G2347" s="10">
        <v>45341</v>
      </c>
      <c r="H2347">
        <v>279617.52</v>
      </c>
      <c r="I2347">
        <v>104617.52</v>
      </c>
      <c r="J2347" t="s">
        <v>2077</v>
      </c>
      <c r="K2347">
        <v>5</v>
      </c>
      <c r="L2347" t="s">
        <v>44</v>
      </c>
      <c r="M2347" t="s">
        <v>45</v>
      </c>
    </row>
    <row r="2348" spans="1:13">
      <c r="A2348" t="s">
        <v>190</v>
      </c>
      <c r="B2348" t="s">
        <v>160</v>
      </c>
      <c r="C2348" t="s">
        <v>67</v>
      </c>
      <c r="D2348" t="s">
        <v>5054</v>
      </c>
      <c r="E2348">
        <v>2</v>
      </c>
      <c r="F2348" t="s">
        <v>5055</v>
      </c>
      <c r="G2348" s="10">
        <v>45344</v>
      </c>
      <c r="H2348">
        <v>65000</v>
      </c>
      <c r="I2348">
        <v>15000</v>
      </c>
      <c r="J2348" t="s">
        <v>163</v>
      </c>
      <c r="K2348">
        <v>5</v>
      </c>
      <c r="L2348" t="s">
        <v>35</v>
      </c>
      <c r="M2348" t="s">
        <v>27</v>
      </c>
    </row>
    <row r="2349" spans="1:13">
      <c r="A2349" t="s">
        <v>676</v>
      </c>
      <c r="B2349" t="s">
        <v>28</v>
      </c>
      <c r="C2349" t="s">
        <v>238</v>
      </c>
      <c r="D2349" t="s">
        <v>5056</v>
      </c>
      <c r="E2349">
        <v>2</v>
      </c>
      <c r="F2349" t="s">
        <v>5057</v>
      </c>
      <c r="G2349" s="10">
        <v>45358</v>
      </c>
      <c r="H2349">
        <v>88200</v>
      </c>
      <c r="I2349">
        <v>21533.33</v>
      </c>
      <c r="J2349" t="s">
        <v>834</v>
      </c>
      <c r="K2349">
        <v>5</v>
      </c>
      <c r="L2349" t="s">
        <v>37</v>
      </c>
      <c r="M2349" t="s">
        <v>25</v>
      </c>
    </row>
    <row r="2350" spans="1:13">
      <c r="A2350" t="s">
        <v>159</v>
      </c>
      <c r="B2350" t="s">
        <v>160</v>
      </c>
      <c r="C2350" t="s">
        <v>67</v>
      </c>
      <c r="D2350" t="s">
        <v>5058</v>
      </c>
      <c r="E2350">
        <v>2</v>
      </c>
      <c r="F2350" t="s">
        <v>5059</v>
      </c>
      <c r="G2350" s="10">
        <v>45348</v>
      </c>
      <c r="H2350">
        <v>23600</v>
      </c>
      <c r="I2350">
        <v>3600</v>
      </c>
      <c r="J2350" t="s">
        <v>193</v>
      </c>
      <c r="K2350">
        <v>5</v>
      </c>
      <c r="L2350" t="s">
        <v>35</v>
      </c>
      <c r="M2350" t="s">
        <v>27</v>
      </c>
    </row>
    <row r="2351" spans="1:13">
      <c r="A2351" t="s">
        <v>117</v>
      </c>
      <c r="B2351" t="s">
        <v>118</v>
      </c>
      <c r="C2351" t="s">
        <v>98</v>
      </c>
      <c r="D2351" t="s">
        <v>5060</v>
      </c>
      <c r="E2351">
        <v>4</v>
      </c>
      <c r="F2351" t="s">
        <v>5061</v>
      </c>
      <c r="G2351" s="10">
        <v>45345</v>
      </c>
      <c r="H2351">
        <v>187192.12</v>
      </c>
      <c r="I2351">
        <v>27192.12</v>
      </c>
      <c r="J2351" t="s">
        <v>121</v>
      </c>
      <c r="K2351">
        <v>5</v>
      </c>
      <c r="L2351" t="s">
        <v>24</v>
      </c>
      <c r="M2351" t="s">
        <v>30</v>
      </c>
    </row>
    <row r="2352" spans="1:13">
      <c r="A2352" t="s">
        <v>197</v>
      </c>
      <c r="B2352" t="s">
        <v>160</v>
      </c>
      <c r="C2352" t="s">
        <v>67</v>
      </c>
      <c r="D2352" t="s">
        <v>5062</v>
      </c>
      <c r="E2352">
        <v>2</v>
      </c>
      <c r="F2352" t="s">
        <v>5063</v>
      </c>
      <c r="G2352" s="10">
        <v>45348</v>
      </c>
      <c r="H2352">
        <v>23600</v>
      </c>
      <c r="I2352">
        <v>3600</v>
      </c>
      <c r="J2352" t="s">
        <v>193</v>
      </c>
      <c r="K2352">
        <v>5</v>
      </c>
      <c r="L2352" t="s">
        <v>35</v>
      </c>
      <c r="M2352" t="s">
        <v>27</v>
      </c>
    </row>
    <row r="2353" spans="1:13">
      <c r="A2353" t="s">
        <v>48</v>
      </c>
      <c r="B2353" t="s">
        <v>44</v>
      </c>
      <c r="C2353" t="s">
        <v>48</v>
      </c>
      <c r="D2353" t="s">
        <v>5064</v>
      </c>
      <c r="E2353">
        <v>2</v>
      </c>
      <c r="F2353" t="s">
        <v>5065</v>
      </c>
      <c r="G2353" s="10">
        <v>45380</v>
      </c>
      <c r="H2353">
        <v>130950</v>
      </c>
      <c r="I2353">
        <v>14283.33</v>
      </c>
      <c r="J2353" t="s">
        <v>300</v>
      </c>
      <c r="K2353">
        <v>5</v>
      </c>
      <c r="L2353" t="s">
        <v>44</v>
      </c>
      <c r="M2353" t="s">
        <v>48</v>
      </c>
    </row>
    <row r="2354" spans="1:13">
      <c r="A2354" t="s">
        <v>5017</v>
      </c>
      <c r="B2354" t="s">
        <v>118</v>
      </c>
      <c r="C2354" t="s">
        <v>98</v>
      </c>
      <c r="D2354" t="s">
        <v>5066</v>
      </c>
      <c r="E2354">
        <v>1</v>
      </c>
      <c r="F2354" t="s">
        <v>5067</v>
      </c>
      <c r="G2354" s="10">
        <v>45351</v>
      </c>
      <c r="H2354">
        <v>367752</v>
      </c>
      <c r="I2354">
        <v>367750</v>
      </c>
      <c r="J2354" t="s">
        <v>859</v>
      </c>
      <c r="K2354">
        <v>5</v>
      </c>
      <c r="L2354" t="s">
        <v>24</v>
      </c>
      <c r="M2354" t="s">
        <v>24</v>
      </c>
    </row>
    <row r="2355" spans="1:13">
      <c r="A2355" t="s">
        <v>1381</v>
      </c>
      <c r="B2355" t="s">
        <v>683</v>
      </c>
      <c r="C2355" t="s">
        <v>238</v>
      </c>
      <c r="D2355" t="s">
        <v>5068</v>
      </c>
      <c r="E2355">
        <v>2</v>
      </c>
      <c r="F2355" t="s">
        <v>5069</v>
      </c>
      <c r="G2355" s="10">
        <v>45349</v>
      </c>
      <c r="H2355">
        <v>184160</v>
      </c>
      <c r="I2355">
        <v>42494</v>
      </c>
      <c r="J2355" t="s">
        <v>1096</v>
      </c>
      <c r="K2355">
        <v>5</v>
      </c>
      <c r="L2355" t="s">
        <v>24</v>
      </c>
      <c r="M2355" t="s">
        <v>25</v>
      </c>
    </row>
    <row r="2356" spans="1:13">
      <c r="A2356" t="s">
        <v>5070</v>
      </c>
      <c r="B2356" t="s">
        <v>66</v>
      </c>
      <c r="C2356" t="s">
        <v>67</v>
      </c>
      <c r="D2356" t="s">
        <v>5071</v>
      </c>
      <c r="E2356">
        <v>6</v>
      </c>
      <c r="F2356" t="s">
        <v>5072</v>
      </c>
      <c r="G2356" s="10">
        <v>45348</v>
      </c>
      <c r="H2356">
        <v>34375</v>
      </c>
      <c r="I2356">
        <v>6875</v>
      </c>
      <c r="J2356" t="s">
        <v>70</v>
      </c>
      <c r="K2356">
        <v>5</v>
      </c>
      <c r="L2356" t="s">
        <v>35</v>
      </c>
      <c r="M2356" t="s">
        <v>36</v>
      </c>
    </row>
    <row r="2357" spans="1:13">
      <c r="A2357" t="s">
        <v>4401</v>
      </c>
      <c r="B2357" t="s">
        <v>848</v>
      </c>
      <c r="C2357" t="s">
        <v>98</v>
      </c>
      <c r="D2357" t="s">
        <v>5073</v>
      </c>
      <c r="E2357">
        <v>2</v>
      </c>
      <c r="F2357" t="s">
        <v>5074</v>
      </c>
      <c r="G2357" s="10">
        <v>45366</v>
      </c>
      <c r="H2357">
        <v>124824</v>
      </c>
      <c r="I2357">
        <v>39824</v>
      </c>
      <c r="J2357" t="s">
        <v>126</v>
      </c>
      <c r="K2357">
        <v>5</v>
      </c>
      <c r="L2357" t="s">
        <v>24</v>
      </c>
      <c r="M2357" t="s">
        <v>26</v>
      </c>
    </row>
    <row r="2358" spans="1:13">
      <c r="A2358" t="s">
        <v>5075</v>
      </c>
      <c r="B2358" t="s">
        <v>5047</v>
      </c>
      <c r="C2358" t="s">
        <v>5048</v>
      </c>
      <c r="D2358" t="s">
        <v>5076</v>
      </c>
      <c r="E2358">
        <v>2</v>
      </c>
      <c r="F2358" t="s">
        <v>5077</v>
      </c>
      <c r="G2358" s="10">
        <v>45344</v>
      </c>
      <c r="H2358">
        <v>380000</v>
      </c>
      <c r="I2358">
        <v>109166.67</v>
      </c>
      <c r="J2358" t="s">
        <v>5078</v>
      </c>
      <c r="K2358">
        <v>5</v>
      </c>
      <c r="L2358" t="s">
        <v>44</v>
      </c>
      <c r="M2358" t="s">
        <v>45</v>
      </c>
    </row>
    <row r="2359" spans="1:13">
      <c r="A2359" t="s">
        <v>1868</v>
      </c>
      <c r="B2359" t="s">
        <v>66</v>
      </c>
      <c r="C2359" t="s">
        <v>67</v>
      </c>
      <c r="D2359" t="s">
        <v>5079</v>
      </c>
      <c r="E2359">
        <v>2</v>
      </c>
      <c r="F2359" t="s">
        <v>5080</v>
      </c>
      <c r="G2359" s="10">
        <v>45344</v>
      </c>
      <c r="H2359">
        <v>65000</v>
      </c>
      <c r="I2359">
        <v>15000</v>
      </c>
      <c r="J2359" t="s">
        <v>163</v>
      </c>
      <c r="K2359">
        <v>5</v>
      </c>
      <c r="L2359" t="s">
        <v>35</v>
      </c>
      <c r="M2359" t="s">
        <v>27</v>
      </c>
    </row>
    <row r="2360" spans="1:13">
      <c r="A2360" t="s">
        <v>703</v>
      </c>
      <c r="B2360" t="s">
        <v>179</v>
      </c>
      <c r="C2360" t="s">
        <v>45</v>
      </c>
      <c r="D2360" t="s">
        <v>5081</v>
      </c>
      <c r="E2360">
        <v>2</v>
      </c>
      <c r="F2360" t="s">
        <v>5082</v>
      </c>
      <c r="G2360" s="10">
        <v>45313</v>
      </c>
      <c r="H2360">
        <v>115000</v>
      </c>
      <c r="I2360">
        <v>69167</v>
      </c>
      <c r="J2360" t="s">
        <v>4643</v>
      </c>
      <c r="K2360">
        <v>5</v>
      </c>
      <c r="L2360" t="s">
        <v>44</v>
      </c>
      <c r="M2360" t="s">
        <v>44</v>
      </c>
    </row>
    <row r="2361" spans="1:13">
      <c r="A2361" t="s">
        <v>602</v>
      </c>
      <c r="B2361" t="s">
        <v>224</v>
      </c>
      <c r="C2361" t="s">
        <v>94</v>
      </c>
      <c r="D2361" t="s">
        <v>5083</v>
      </c>
      <c r="E2361">
        <v>2</v>
      </c>
      <c r="F2361" t="s">
        <v>5084</v>
      </c>
      <c r="G2361" s="10">
        <v>45344</v>
      </c>
      <c r="H2361">
        <v>35000</v>
      </c>
      <c r="I2361">
        <v>9000</v>
      </c>
      <c r="J2361" t="s">
        <v>227</v>
      </c>
      <c r="K2361">
        <v>5</v>
      </c>
      <c r="L2361" t="s">
        <v>41</v>
      </c>
      <c r="M2361" t="s">
        <v>42</v>
      </c>
    </row>
    <row r="2362" spans="1:13">
      <c r="A2362" t="s">
        <v>3950</v>
      </c>
      <c r="B2362" t="s">
        <v>215</v>
      </c>
      <c r="C2362" t="s">
        <v>94</v>
      </c>
      <c r="D2362" t="s">
        <v>5085</v>
      </c>
      <c r="E2362">
        <v>2</v>
      </c>
      <c r="F2362" t="s">
        <v>5086</v>
      </c>
      <c r="G2362" s="10">
        <v>45349</v>
      </c>
      <c r="H2362">
        <v>146900</v>
      </c>
      <c r="I2362">
        <v>55233.33</v>
      </c>
      <c r="J2362" t="s">
        <v>227</v>
      </c>
      <c r="K2362">
        <v>5</v>
      </c>
      <c r="L2362" t="s">
        <v>41</v>
      </c>
      <c r="M2362" t="s">
        <v>42</v>
      </c>
    </row>
    <row r="2363" spans="1:13">
      <c r="A2363" t="s">
        <v>232</v>
      </c>
      <c r="B2363" t="s">
        <v>41</v>
      </c>
      <c r="C2363" t="s">
        <v>232</v>
      </c>
      <c r="D2363" t="s">
        <v>5087</v>
      </c>
      <c r="E2363">
        <v>2</v>
      </c>
      <c r="F2363" t="s">
        <v>5088</v>
      </c>
      <c r="G2363" s="10">
        <v>45349</v>
      </c>
      <c r="H2363">
        <v>30000</v>
      </c>
      <c r="I2363">
        <v>5000</v>
      </c>
      <c r="J2363" t="s">
        <v>227</v>
      </c>
      <c r="K2363">
        <v>5</v>
      </c>
      <c r="L2363" t="s">
        <v>41</v>
      </c>
      <c r="M2363" t="s">
        <v>42</v>
      </c>
    </row>
    <row r="2364" spans="1:13">
      <c r="A2364" t="s">
        <v>854</v>
      </c>
      <c r="B2364" t="s">
        <v>93</v>
      </c>
      <c r="C2364" t="s">
        <v>94</v>
      </c>
      <c r="D2364" t="s">
        <v>5089</v>
      </c>
      <c r="E2364">
        <v>7</v>
      </c>
      <c r="F2364" t="s">
        <v>5090</v>
      </c>
      <c r="G2364" s="10">
        <v>45369</v>
      </c>
      <c r="H2364">
        <v>60860.800000000003</v>
      </c>
      <c r="I2364">
        <v>2620.8000000000002</v>
      </c>
      <c r="J2364" t="s">
        <v>313</v>
      </c>
      <c r="K2364">
        <v>5</v>
      </c>
      <c r="L2364" t="s">
        <v>41</v>
      </c>
      <c r="M2364" t="s">
        <v>42</v>
      </c>
    </row>
    <row r="2365" spans="1:13">
      <c r="A2365" t="s">
        <v>3120</v>
      </c>
      <c r="B2365" t="s">
        <v>179</v>
      </c>
      <c r="C2365" t="s">
        <v>45</v>
      </c>
      <c r="D2365" t="s">
        <v>5091</v>
      </c>
      <c r="E2365">
        <v>2</v>
      </c>
      <c r="F2365" t="s">
        <v>5092</v>
      </c>
      <c r="G2365" s="10">
        <v>45350</v>
      </c>
      <c r="H2365">
        <v>336000</v>
      </c>
      <c r="I2365">
        <v>94333.33</v>
      </c>
      <c r="J2365" t="s">
        <v>189</v>
      </c>
      <c r="K2365">
        <v>5</v>
      </c>
      <c r="L2365" t="s">
        <v>44</v>
      </c>
      <c r="M2365" t="s">
        <v>45</v>
      </c>
    </row>
    <row r="2366" spans="1:13">
      <c r="A2366" t="s">
        <v>186</v>
      </c>
      <c r="B2366" t="s">
        <v>179</v>
      </c>
      <c r="C2366" t="s">
        <v>45</v>
      </c>
      <c r="D2366" t="s">
        <v>5093</v>
      </c>
      <c r="E2366">
        <v>2</v>
      </c>
      <c r="F2366" t="s">
        <v>5094</v>
      </c>
      <c r="G2366" s="10">
        <v>45344</v>
      </c>
      <c r="H2366">
        <v>386400</v>
      </c>
      <c r="I2366">
        <v>61400</v>
      </c>
      <c r="J2366" t="s">
        <v>189</v>
      </c>
      <c r="K2366">
        <v>5</v>
      </c>
      <c r="L2366" t="s">
        <v>44</v>
      </c>
      <c r="M2366" t="s">
        <v>45</v>
      </c>
    </row>
    <row r="2367" spans="1:13">
      <c r="A2367" t="s">
        <v>571</v>
      </c>
      <c r="B2367" t="s">
        <v>179</v>
      </c>
      <c r="C2367" t="s">
        <v>45</v>
      </c>
      <c r="D2367" t="s">
        <v>5095</v>
      </c>
      <c r="E2367">
        <v>2</v>
      </c>
      <c r="F2367" t="s">
        <v>5096</v>
      </c>
      <c r="G2367" s="10">
        <v>45342</v>
      </c>
      <c r="H2367">
        <v>302400</v>
      </c>
      <c r="I2367">
        <v>102400</v>
      </c>
      <c r="J2367" t="s">
        <v>189</v>
      </c>
      <c r="K2367">
        <v>5</v>
      </c>
      <c r="L2367" t="s">
        <v>44</v>
      </c>
      <c r="M2367" t="s">
        <v>45</v>
      </c>
    </row>
    <row r="2368" spans="1:13">
      <c r="A2368" t="s">
        <v>703</v>
      </c>
      <c r="B2368" t="s">
        <v>179</v>
      </c>
      <c r="C2368" t="s">
        <v>45</v>
      </c>
      <c r="D2368" t="s">
        <v>5097</v>
      </c>
      <c r="E2368">
        <v>2</v>
      </c>
      <c r="F2368" t="s">
        <v>5098</v>
      </c>
      <c r="G2368" s="10">
        <v>45342</v>
      </c>
      <c r="H2368">
        <v>336000</v>
      </c>
      <c r="I2368">
        <v>169333.33</v>
      </c>
      <c r="J2368" t="s">
        <v>189</v>
      </c>
      <c r="K2368">
        <v>5</v>
      </c>
      <c r="L2368" t="s">
        <v>44</v>
      </c>
      <c r="M2368" t="s">
        <v>45</v>
      </c>
    </row>
    <row r="2369" spans="1:13">
      <c r="A2369" t="s">
        <v>251</v>
      </c>
      <c r="B2369" t="s">
        <v>160</v>
      </c>
      <c r="C2369" t="s">
        <v>67</v>
      </c>
      <c r="D2369" t="s">
        <v>5099</v>
      </c>
      <c r="E2369">
        <v>2</v>
      </c>
      <c r="F2369" t="s">
        <v>5100</v>
      </c>
      <c r="G2369" s="10">
        <v>45348</v>
      </c>
      <c r="H2369">
        <v>23600</v>
      </c>
      <c r="I2369">
        <v>3600</v>
      </c>
      <c r="J2369" t="s">
        <v>193</v>
      </c>
      <c r="K2369">
        <v>5</v>
      </c>
      <c r="L2369" t="s">
        <v>35</v>
      </c>
      <c r="M2369" t="s">
        <v>27</v>
      </c>
    </row>
    <row r="2370" spans="1:13">
      <c r="A2370" t="s">
        <v>4989</v>
      </c>
      <c r="B2370" t="s">
        <v>160</v>
      </c>
      <c r="C2370" t="s">
        <v>67</v>
      </c>
      <c r="D2370" t="s">
        <v>5101</v>
      </c>
      <c r="E2370">
        <v>1</v>
      </c>
      <c r="F2370" t="s">
        <v>5102</v>
      </c>
      <c r="G2370" s="10">
        <v>45345</v>
      </c>
      <c r="H2370">
        <v>65000</v>
      </c>
      <c r="I2370">
        <v>15000</v>
      </c>
      <c r="J2370" t="s">
        <v>163</v>
      </c>
      <c r="K2370">
        <v>5</v>
      </c>
      <c r="L2370" t="s">
        <v>35</v>
      </c>
      <c r="M2370" t="s">
        <v>27</v>
      </c>
    </row>
    <row r="2371" spans="1:13">
      <c r="A2371" t="s">
        <v>5017</v>
      </c>
      <c r="B2371" t="s">
        <v>118</v>
      </c>
      <c r="C2371" t="s">
        <v>98</v>
      </c>
      <c r="D2371" t="s">
        <v>5103</v>
      </c>
      <c r="E2371">
        <v>1</v>
      </c>
      <c r="F2371" t="s">
        <v>5104</v>
      </c>
      <c r="G2371" s="10">
        <v>45355</v>
      </c>
      <c r="H2371">
        <v>352800</v>
      </c>
      <c r="I2371">
        <v>144466.67000000001</v>
      </c>
      <c r="J2371" t="s">
        <v>859</v>
      </c>
      <c r="K2371">
        <v>6</v>
      </c>
      <c r="L2371" t="s">
        <v>24</v>
      </c>
      <c r="M2371" t="s">
        <v>24</v>
      </c>
    </row>
    <row r="2372" spans="1:13">
      <c r="A2372" t="s">
        <v>1772</v>
      </c>
      <c r="B2372" t="s">
        <v>1030</v>
      </c>
      <c r="C2372" t="s">
        <v>94</v>
      </c>
      <c r="D2372" t="s">
        <v>5105</v>
      </c>
      <c r="E2372">
        <v>2</v>
      </c>
      <c r="F2372" t="s">
        <v>5106</v>
      </c>
      <c r="G2372" s="10">
        <v>45331</v>
      </c>
      <c r="H2372">
        <v>50400</v>
      </c>
      <c r="I2372">
        <v>4567</v>
      </c>
      <c r="J2372" t="s">
        <v>1357</v>
      </c>
      <c r="K2372">
        <v>6</v>
      </c>
      <c r="L2372" t="s">
        <v>41</v>
      </c>
      <c r="M2372" t="s">
        <v>25</v>
      </c>
    </row>
    <row r="2373" spans="1:13">
      <c r="A2373" t="s">
        <v>1749</v>
      </c>
      <c r="B2373" t="s">
        <v>179</v>
      </c>
      <c r="C2373" t="s">
        <v>45</v>
      </c>
      <c r="D2373" t="s">
        <v>5107</v>
      </c>
      <c r="E2373">
        <v>2</v>
      </c>
      <c r="F2373" t="s">
        <v>5108</v>
      </c>
      <c r="G2373" s="10">
        <v>45313</v>
      </c>
      <c r="H2373">
        <v>105000</v>
      </c>
      <c r="I2373">
        <v>67500</v>
      </c>
      <c r="J2373" t="s">
        <v>4643</v>
      </c>
      <c r="K2373">
        <v>5</v>
      </c>
      <c r="L2373" t="s">
        <v>44</v>
      </c>
      <c r="M2373" t="s">
        <v>44</v>
      </c>
    </row>
    <row r="2374" spans="1:13">
      <c r="A2374" t="s">
        <v>1749</v>
      </c>
      <c r="B2374" t="s">
        <v>179</v>
      </c>
      <c r="C2374" t="s">
        <v>45</v>
      </c>
      <c r="D2374" t="s">
        <v>5109</v>
      </c>
      <c r="E2374">
        <v>2</v>
      </c>
      <c r="F2374" t="s">
        <v>5110</v>
      </c>
      <c r="G2374" s="10">
        <v>45313</v>
      </c>
      <c r="H2374">
        <v>105000</v>
      </c>
      <c r="I2374">
        <v>63334</v>
      </c>
      <c r="J2374" t="s">
        <v>4643</v>
      </c>
      <c r="K2374">
        <v>5</v>
      </c>
      <c r="L2374" t="s">
        <v>44</v>
      </c>
      <c r="M2374" t="s">
        <v>44</v>
      </c>
    </row>
    <row r="2375" spans="1:13">
      <c r="A2375" t="s">
        <v>48</v>
      </c>
      <c r="B2375" t="s">
        <v>44</v>
      </c>
      <c r="C2375" t="s">
        <v>48</v>
      </c>
      <c r="D2375" t="s">
        <v>5111</v>
      </c>
      <c r="E2375">
        <v>2</v>
      </c>
      <c r="F2375" t="s">
        <v>5112</v>
      </c>
      <c r="G2375" s="10">
        <v>45380</v>
      </c>
      <c r="H2375">
        <v>67415</v>
      </c>
      <c r="I2375">
        <v>4915</v>
      </c>
      <c r="J2375" t="s">
        <v>300</v>
      </c>
      <c r="K2375">
        <v>5</v>
      </c>
      <c r="L2375" t="s">
        <v>44</v>
      </c>
      <c r="M2375" t="s">
        <v>48</v>
      </c>
    </row>
    <row r="2376" spans="1:13">
      <c r="A2376" t="s">
        <v>186</v>
      </c>
      <c r="B2376" t="s">
        <v>179</v>
      </c>
      <c r="C2376" t="s">
        <v>45</v>
      </c>
      <c r="D2376" t="s">
        <v>5113</v>
      </c>
      <c r="E2376">
        <v>2</v>
      </c>
      <c r="F2376" t="s">
        <v>5114</v>
      </c>
      <c r="G2376" s="10">
        <v>45313</v>
      </c>
      <c r="H2376">
        <v>105000</v>
      </c>
      <c r="I2376">
        <v>59167</v>
      </c>
      <c r="J2376" t="s">
        <v>4643</v>
      </c>
      <c r="K2376">
        <v>5</v>
      </c>
      <c r="L2376" t="s">
        <v>44</v>
      </c>
      <c r="M2376" t="s">
        <v>44</v>
      </c>
    </row>
    <row r="2377" spans="1:13">
      <c r="A2377" t="s">
        <v>251</v>
      </c>
      <c r="B2377" t="s">
        <v>160</v>
      </c>
      <c r="C2377" t="s">
        <v>67</v>
      </c>
      <c r="D2377" t="s">
        <v>5115</v>
      </c>
      <c r="E2377">
        <v>2</v>
      </c>
      <c r="F2377" t="s">
        <v>5116</v>
      </c>
      <c r="G2377" s="10">
        <v>45371</v>
      </c>
      <c r="H2377">
        <v>46610</v>
      </c>
      <c r="I2377">
        <v>7110</v>
      </c>
      <c r="J2377" t="s">
        <v>193</v>
      </c>
      <c r="K2377">
        <v>5</v>
      </c>
      <c r="L2377" t="s">
        <v>35</v>
      </c>
      <c r="M2377" t="s">
        <v>27</v>
      </c>
    </row>
    <row r="2378" spans="1:13">
      <c r="A2378" t="s">
        <v>305</v>
      </c>
      <c r="B2378" t="s">
        <v>118</v>
      </c>
      <c r="C2378" t="s">
        <v>98</v>
      </c>
      <c r="D2378" t="s">
        <v>5117</v>
      </c>
      <c r="E2378">
        <v>4</v>
      </c>
      <c r="F2378" t="s">
        <v>5118</v>
      </c>
      <c r="G2378" s="10">
        <v>45350</v>
      </c>
      <c r="H2378">
        <v>362068.97</v>
      </c>
      <c r="I2378">
        <v>128735.97</v>
      </c>
      <c r="J2378" t="s">
        <v>121</v>
      </c>
      <c r="K2378">
        <v>5</v>
      </c>
      <c r="L2378" t="s">
        <v>24</v>
      </c>
      <c r="M2378" t="s">
        <v>30</v>
      </c>
    </row>
    <row r="2379" spans="1:13">
      <c r="A2379" t="s">
        <v>36</v>
      </c>
      <c r="B2379" t="s">
        <v>98</v>
      </c>
      <c r="C2379" t="s">
        <v>36</v>
      </c>
      <c r="D2379" t="s">
        <v>5119</v>
      </c>
      <c r="E2379">
        <v>1</v>
      </c>
      <c r="F2379" t="s">
        <v>5120</v>
      </c>
      <c r="G2379" s="10">
        <v>45098</v>
      </c>
      <c r="H2379">
        <v>60000</v>
      </c>
      <c r="I2379">
        <v>10000</v>
      </c>
      <c r="J2379" t="s">
        <v>5121</v>
      </c>
      <c r="K2379">
        <v>5</v>
      </c>
      <c r="L2379" t="s">
        <v>24</v>
      </c>
      <c r="M2379" t="s">
        <v>24</v>
      </c>
    </row>
    <row r="2380" spans="1:13">
      <c r="A2380" t="s">
        <v>4920</v>
      </c>
      <c r="B2380" t="s">
        <v>66</v>
      </c>
      <c r="C2380" t="s">
        <v>67</v>
      </c>
      <c r="D2380" t="s">
        <v>5122</v>
      </c>
      <c r="E2380">
        <v>6</v>
      </c>
      <c r="F2380" t="s">
        <v>5123</v>
      </c>
      <c r="G2380" s="10">
        <v>45348</v>
      </c>
      <c r="H2380">
        <v>34375</v>
      </c>
      <c r="I2380">
        <v>6875</v>
      </c>
      <c r="J2380" t="s">
        <v>70</v>
      </c>
      <c r="K2380">
        <v>5</v>
      </c>
      <c r="L2380" t="s">
        <v>35</v>
      </c>
      <c r="M2380" t="s">
        <v>36</v>
      </c>
    </row>
    <row r="2381" spans="1:13">
      <c r="A2381" t="s">
        <v>1455</v>
      </c>
      <c r="B2381" t="s">
        <v>179</v>
      </c>
      <c r="C2381" t="s">
        <v>45</v>
      </c>
      <c r="D2381" t="s">
        <v>5124</v>
      </c>
      <c r="E2381">
        <v>2</v>
      </c>
      <c r="F2381" t="s">
        <v>5125</v>
      </c>
      <c r="G2381" s="10">
        <v>45070</v>
      </c>
      <c r="H2381">
        <v>183825</v>
      </c>
      <c r="I2381">
        <v>4659</v>
      </c>
      <c r="J2381" t="s">
        <v>5126</v>
      </c>
      <c r="K2381">
        <v>6</v>
      </c>
      <c r="L2381" t="s">
        <v>44</v>
      </c>
      <c r="M2381" t="s">
        <v>48</v>
      </c>
    </row>
    <row r="2382" spans="1:13">
      <c r="A2382" t="s">
        <v>159</v>
      </c>
      <c r="B2382" t="s">
        <v>160</v>
      </c>
      <c r="C2382" t="s">
        <v>67</v>
      </c>
      <c r="D2382" t="s">
        <v>5127</v>
      </c>
      <c r="E2382">
        <v>2</v>
      </c>
      <c r="F2382" t="s">
        <v>5128</v>
      </c>
      <c r="G2382" s="10">
        <v>45349</v>
      </c>
      <c r="H2382">
        <v>22420</v>
      </c>
      <c r="I2382">
        <v>3420</v>
      </c>
      <c r="J2382" t="s">
        <v>193</v>
      </c>
      <c r="K2382">
        <v>5</v>
      </c>
      <c r="L2382" t="s">
        <v>35</v>
      </c>
      <c r="M2382" t="s">
        <v>27</v>
      </c>
    </row>
    <row r="2383" spans="1:13">
      <c r="A2383" t="s">
        <v>3874</v>
      </c>
      <c r="B2383" t="s">
        <v>179</v>
      </c>
      <c r="C2383" t="s">
        <v>45</v>
      </c>
      <c r="D2383" t="s">
        <v>5129</v>
      </c>
      <c r="E2383">
        <v>2</v>
      </c>
      <c r="F2383" t="s">
        <v>5130</v>
      </c>
      <c r="G2383" s="10">
        <v>45184</v>
      </c>
      <c r="H2383">
        <v>124735.69</v>
      </c>
      <c r="I2383">
        <v>16402.689999999999</v>
      </c>
      <c r="J2383" t="s">
        <v>5126</v>
      </c>
      <c r="K2383">
        <v>5</v>
      </c>
      <c r="L2383" t="s">
        <v>44</v>
      </c>
      <c r="M2383" t="s">
        <v>48</v>
      </c>
    </row>
    <row r="2384" spans="1:13">
      <c r="A2384" t="s">
        <v>431</v>
      </c>
      <c r="B2384" t="s">
        <v>160</v>
      </c>
      <c r="C2384" t="s">
        <v>67</v>
      </c>
      <c r="D2384" t="s">
        <v>5131</v>
      </c>
      <c r="E2384">
        <v>2</v>
      </c>
      <c r="F2384" t="s">
        <v>5132</v>
      </c>
      <c r="G2384" s="10">
        <v>45351</v>
      </c>
      <c r="H2384">
        <v>22420</v>
      </c>
      <c r="I2384">
        <v>3420</v>
      </c>
      <c r="J2384" t="s">
        <v>193</v>
      </c>
      <c r="K2384">
        <v>5</v>
      </c>
      <c r="L2384" t="s">
        <v>35</v>
      </c>
      <c r="M2384" t="s">
        <v>27</v>
      </c>
    </row>
    <row r="2385" spans="1:13">
      <c r="A2385" t="s">
        <v>431</v>
      </c>
      <c r="B2385" t="s">
        <v>160</v>
      </c>
      <c r="C2385" t="s">
        <v>67</v>
      </c>
      <c r="D2385" t="s">
        <v>5133</v>
      </c>
      <c r="E2385">
        <v>2</v>
      </c>
      <c r="F2385" t="s">
        <v>5134</v>
      </c>
      <c r="G2385" s="10">
        <v>45349</v>
      </c>
      <c r="H2385">
        <v>22420</v>
      </c>
      <c r="I2385">
        <v>3420</v>
      </c>
      <c r="J2385" t="s">
        <v>193</v>
      </c>
      <c r="K2385">
        <v>5</v>
      </c>
      <c r="L2385" t="s">
        <v>35</v>
      </c>
      <c r="M2385" t="s">
        <v>27</v>
      </c>
    </row>
    <row r="2386" spans="1:13">
      <c r="A2386" t="s">
        <v>527</v>
      </c>
      <c r="B2386" t="s">
        <v>93</v>
      </c>
      <c r="C2386" t="s">
        <v>94</v>
      </c>
      <c r="D2386" t="s">
        <v>5135</v>
      </c>
      <c r="E2386">
        <v>2</v>
      </c>
      <c r="F2386" t="s">
        <v>5136</v>
      </c>
      <c r="G2386" s="10">
        <v>45362</v>
      </c>
      <c r="H2386">
        <v>105000</v>
      </c>
      <c r="I2386">
        <v>30000</v>
      </c>
      <c r="J2386" t="s">
        <v>97</v>
      </c>
      <c r="K2386">
        <v>5</v>
      </c>
      <c r="L2386" t="s">
        <v>41</v>
      </c>
      <c r="M2386" t="s">
        <v>42</v>
      </c>
    </row>
    <row r="2387" spans="1:13">
      <c r="A2387" t="s">
        <v>1228</v>
      </c>
      <c r="B2387" t="s">
        <v>224</v>
      </c>
      <c r="C2387" t="s">
        <v>94</v>
      </c>
      <c r="D2387" t="s">
        <v>5137</v>
      </c>
      <c r="E2387">
        <v>2</v>
      </c>
      <c r="F2387" t="s">
        <v>5138</v>
      </c>
      <c r="G2387" s="10">
        <v>45349</v>
      </c>
      <c r="H2387">
        <v>130000</v>
      </c>
      <c r="I2387">
        <v>10000</v>
      </c>
      <c r="J2387" t="s">
        <v>227</v>
      </c>
      <c r="K2387">
        <v>5</v>
      </c>
      <c r="L2387" t="s">
        <v>41</v>
      </c>
      <c r="M2387" t="s">
        <v>42</v>
      </c>
    </row>
    <row r="2388" spans="1:13">
      <c r="A2388" t="s">
        <v>2286</v>
      </c>
      <c r="B2388" t="s">
        <v>141</v>
      </c>
      <c r="C2388" t="s">
        <v>67</v>
      </c>
      <c r="D2388" t="s">
        <v>5139</v>
      </c>
      <c r="E2388">
        <v>1</v>
      </c>
      <c r="F2388" t="s">
        <v>5140</v>
      </c>
      <c r="G2388" s="10">
        <v>45358</v>
      </c>
      <c r="H2388">
        <v>43953</v>
      </c>
      <c r="I2388">
        <v>4786.33</v>
      </c>
      <c r="J2388" t="s">
        <v>144</v>
      </c>
      <c r="K2388">
        <v>5</v>
      </c>
      <c r="L2388" t="s">
        <v>38</v>
      </c>
      <c r="M2388" t="s">
        <v>25</v>
      </c>
    </row>
    <row r="2389" spans="1:13">
      <c r="A2389" t="s">
        <v>190</v>
      </c>
      <c r="B2389" t="s">
        <v>160</v>
      </c>
      <c r="C2389" t="s">
        <v>67</v>
      </c>
      <c r="D2389" t="s">
        <v>5141</v>
      </c>
      <c r="E2389">
        <v>2</v>
      </c>
      <c r="F2389" t="s">
        <v>5142</v>
      </c>
      <c r="G2389" s="10">
        <v>45351</v>
      </c>
      <c r="H2389">
        <v>22420</v>
      </c>
      <c r="I2389">
        <v>3420</v>
      </c>
      <c r="J2389" t="s">
        <v>193</v>
      </c>
      <c r="K2389">
        <v>5</v>
      </c>
      <c r="L2389" t="s">
        <v>35</v>
      </c>
      <c r="M2389" t="s">
        <v>27</v>
      </c>
    </row>
    <row r="2390" spans="1:13">
      <c r="A2390" t="s">
        <v>190</v>
      </c>
      <c r="B2390" t="s">
        <v>160</v>
      </c>
      <c r="C2390" t="s">
        <v>67</v>
      </c>
      <c r="D2390" t="s">
        <v>5143</v>
      </c>
      <c r="E2390">
        <v>2</v>
      </c>
      <c r="F2390" t="s">
        <v>5144</v>
      </c>
      <c r="G2390" s="10">
        <v>45351</v>
      </c>
      <c r="H2390">
        <v>22420</v>
      </c>
      <c r="I2390">
        <v>3420</v>
      </c>
      <c r="J2390" t="s">
        <v>193</v>
      </c>
      <c r="K2390">
        <v>5</v>
      </c>
      <c r="L2390" t="s">
        <v>35</v>
      </c>
      <c r="M2390" t="s">
        <v>27</v>
      </c>
    </row>
    <row r="2391" spans="1:13">
      <c r="A2391" t="s">
        <v>661</v>
      </c>
      <c r="B2391" t="s">
        <v>179</v>
      </c>
      <c r="C2391" t="s">
        <v>45</v>
      </c>
      <c r="D2391" t="s">
        <v>5145</v>
      </c>
      <c r="E2391">
        <v>4</v>
      </c>
      <c r="F2391" t="s">
        <v>5146</v>
      </c>
      <c r="G2391" s="10">
        <v>45350</v>
      </c>
      <c r="H2391">
        <v>344064</v>
      </c>
      <c r="I2391">
        <v>52398</v>
      </c>
      <c r="J2391" t="s">
        <v>2077</v>
      </c>
      <c r="K2391">
        <v>6</v>
      </c>
      <c r="L2391" t="s">
        <v>44</v>
      </c>
      <c r="M2391" t="s">
        <v>45</v>
      </c>
    </row>
    <row r="2392" spans="1:13">
      <c r="A2392" t="s">
        <v>1447</v>
      </c>
      <c r="B2392" t="s">
        <v>179</v>
      </c>
      <c r="C2392" t="s">
        <v>45</v>
      </c>
      <c r="D2392" t="s">
        <v>5147</v>
      </c>
      <c r="E2392">
        <v>4</v>
      </c>
      <c r="F2392" t="s">
        <v>5148</v>
      </c>
      <c r="G2392" s="10">
        <v>45350</v>
      </c>
      <c r="H2392">
        <v>480000</v>
      </c>
      <c r="I2392">
        <v>188333.33</v>
      </c>
      <c r="J2392" t="s">
        <v>714</v>
      </c>
      <c r="K2392">
        <v>5</v>
      </c>
      <c r="L2392" t="s">
        <v>44</v>
      </c>
      <c r="M2392" t="s">
        <v>45</v>
      </c>
    </row>
    <row r="2393" spans="1:13">
      <c r="A2393" t="s">
        <v>261</v>
      </c>
      <c r="B2393" t="s">
        <v>160</v>
      </c>
      <c r="C2393" t="s">
        <v>67</v>
      </c>
      <c r="D2393" t="s">
        <v>5149</v>
      </c>
      <c r="E2393">
        <v>2</v>
      </c>
      <c r="F2393" t="s">
        <v>5150</v>
      </c>
      <c r="G2393" s="10">
        <v>45355</v>
      </c>
      <c r="H2393">
        <v>22420</v>
      </c>
      <c r="I2393">
        <v>3420</v>
      </c>
      <c r="J2393" t="s">
        <v>193</v>
      </c>
      <c r="K2393">
        <v>5</v>
      </c>
      <c r="L2393" t="s">
        <v>35</v>
      </c>
      <c r="M2393" t="s">
        <v>27</v>
      </c>
    </row>
    <row r="2394" spans="1:13">
      <c r="A2394" t="s">
        <v>703</v>
      </c>
      <c r="B2394" t="s">
        <v>179</v>
      </c>
      <c r="C2394" t="s">
        <v>45</v>
      </c>
      <c r="D2394" t="s">
        <v>5151</v>
      </c>
      <c r="E2394">
        <v>2</v>
      </c>
      <c r="F2394" t="s">
        <v>5152</v>
      </c>
      <c r="G2394" s="10">
        <v>45350</v>
      </c>
      <c r="H2394">
        <v>336000</v>
      </c>
      <c r="I2394">
        <v>127667</v>
      </c>
      <c r="J2394" t="s">
        <v>189</v>
      </c>
      <c r="K2394">
        <v>5</v>
      </c>
      <c r="L2394" t="s">
        <v>44</v>
      </c>
      <c r="M2394" t="s">
        <v>45</v>
      </c>
    </row>
    <row r="2395" spans="1:13">
      <c r="A2395" t="s">
        <v>194</v>
      </c>
      <c r="B2395" t="s">
        <v>160</v>
      </c>
      <c r="C2395" t="s">
        <v>67</v>
      </c>
      <c r="D2395" t="s">
        <v>5153</v>
      </c>
      <c r="E2395">
        <v>2</v>
      </c>
      <c r="F2395" t="s">
        <v>5154</v>
      </c>
      <c r="G2395" s="10">
        <v>45355</v>
      </c>
      <c r="H2395">
        <v>65000</v>
      </c>
      <c r="I2395">
        <v>15000</v>
      </c>
      <c r="J2395" t="s">
        <v>163</v>
      </c>
      <c r="K2395">
        <v>6</v>
      </c>
      <c r="L2395" t="s">
        <v>35</v>
      </c>
      <c r="M2395" t="s">
        <v>27</v>
      </c>
    </row>
    <row r="2396" spans="1:13">
      <c r="A2396" t="s">
        <v>4989</v>
      </c>
      <c r="B2396" t="s">
        <v>160</v>
      </c>
      <c r="C2396" t="s">
        <v>67</v>
      </c>
      <c r="D2396" t="s">
        <v>5155</v>
      </c>
      <c r="E2396">
        <v>1</v>
      </c>
      <c r="F2396" t="s">
        <v>5156</v>
      </c>
      <c r="G2396" s="10">
        <v>45351</v>
      </c>
      <c r="H2396">
        <v>65000</v>
      </c>
      <c r="I2396">
        <v>15000</v>
      </c>
      <c r="J2396" t="s">
        <v>163</v>
      </c>
      <c r="K2396">
        <v>5</v>
      </c>
      <c r="L2396" t="s">
        <v>35</v>
      </c>
      <c r="M2396" t="s">
        <v>27</v>
      </c>
    </row>
    <row r="2397" spans="1:13">
      <c r="A2397" t="s">
        <v>1749</v>
      </c>
      <c r="B2397" t="s">
        <v>179</v>
      </c>
      <c r="C2397" t="s">
        <v>45</v>
      </c>
      <c r="D2397" t="s">
        <v>5157</v>
      </c>
      <c r="E2397">
        <v>2</v>
      </c>
      <c r="F2397" t="s">
        <v>5158</v>
      </c>
      <c r="G2397" s="10">
        <v>45351</v>
      </c>
      <c r="H2397">
        <v>285000</v>
      </c>
      <c r="I2397">
        <v>60000</v>
      </c>
      <c r="J2397" t="s">
        <v>2077</v>
      </c>
      <c r="K2397">
        <v>5</v>
      </c>
      <c r="L2397" t="s">
        <v>44</v>
      </c>
      <c r="M2397" t="s">
        <v>45</v>
      </c>
    </row>
    <row r="2398" spans="1:13">
      <c r="A2398" t="s">
        <v>4989</v>
      </c>
      <c r="B2398" t="s">
        <v>160</v>
      </c>
      <c r="C2398" t="s">
        <v>67</v>
      </c>
      <c r="D2398" t="s">
        <v>5159</v>
      </c>
      <c r="E2398">
        <v>1</v>
      </c>
      <c r="F2398" t="s">
        <v>5160</v>
      </c>
      <c r="G2398" s="10">
        <v>45351</v>
      </c>
      <c r="H2398">
        <v>65000</v>
      </c>
      <c r="I2398">
        <v>15000</v>
      </c>
      <c r="J2398" t="s">
        <v>163</v>
      </c>
      <c r="K2398">
        <v>5</v>
      </c>
      <c r="L2398" t="s">
        <v>35</v>
      </c>
      <c r="M2398" t="s">
        <v>27</v>
      </c>
    </row>
    <row r="2399" spans="1:13">
      <c r="A2399" t="s">
        <v>197</v>
      </c>
      <c r="B2399" t="s">
        <v>160</v>
      </c>
      <c r="C2399" t="s">
        <v>67</v>
      </c>
      <c r="D2399" t="s">
        <v>5161</v>
      </c>
      <c r="E2399">
        <v>2</v>
      </c>
      <c r="F2399" t="s">
        <v>5162</v>
      </c>
      <c r="G2399" s="10">
        <v>45364</v>
      </c>
      <c r="H2399">
        <v>24898</v>
      </c>
      <c r="I2399">
        <v>3798</v>
      </c>
      <c r="J2399" t="s">
        <v>193</v>
      </c>
      <c r="K2399">
        <v>5</v>
      </c>
      <c r="L2399" t="s">
        <v>35</v>
      </c>
      <c r="M2399" t="s">
        <v>27</v>
      </c>
    </row>
    <row r="2400" spans="1:13">
      <c r="A2400" t="s">
        <v>3284</v>
      </c>
      <c r="B2400" t="s">
        <v>160</v>
      </c>
      <c r="C2400" t="s">
        <v>67</v>
      </c>
      <c r="D2400" t="s">
        <v>5163</v>
      </c>
      <c r="E2400">
        <v>2</v>
      </c>
      <c r="F2400" t="s">
        <v>5164</v>
      </c>
      <c r="G2400" s="10">
        <v>45355</v>
      </c>
      <c r="H2400">
        <v>22420</v>
      </c>
      <c r="I2400">
        <v>3420</v>
      </c>
      <c r="J2400" t="s">
        <v>193</v>
      </c>
      <c r="K2400">
        <v>5</v>
      </c>
      <c r="L2400" t="s">
        <v>35</v>
      </c>
      <c r="M2400" t="s">
        <v>27</v>
      </c>
    </row>
    <row r="2401" spans="1:13">
      <c r="A2401" t="s">
        <v>159</v>
      </c>
      <c r="B2401" t="s">
        <v>160</v>
      </c>
      <c r="C2401" t="s">
        <v>67</v>
      </c>
      <c r="D2401" t="s">
        <v>5165</v>
      </c>
      <c r="E2401">
        <v>2</v>
      </c>
      <c r="F2401" t="s">
        <v>5166</v>
      </c>
      <c r="G2401" s="10">
        <v>45363</v>
      </c>
      <c r="H2401">
        <v>65000</v>
      </c>
      <c r="I2401">
        <v>15000</v>
      </c>
      <c r="J2401" t="s">
        <v>163</v>
      </c>
      <c r="K2401">
        <v>5</v>
      </c>
      <c r="L2401" t="s">
        <v>35</v>
      </c>
      <c r="M2401" t="s">
        <v>27</v>
      </c>
    </row>
    <row r="2402" spans="1:13">
      <c r="A2402" t="s">
        <v>186</v>
      </c>
      <c r="B2402" t="s">
        <v>179</v>
      </c>
      <c r="C2402" t="s">
        <v>45</v>
      </c>
      <c r="D2402" t="s">
        <v>5167</v>
      </c>
      <c r="E2402">
        <v>2</v>
      </c>
      <c r="F2402" t="s">
        <v>5168</v>
      </c>
      <c r="G2402" s="10">
        <v>45351</v>
      </c>
      <c r="H2402">
        <v>285600</v>
      </c>
      <c r="I2402">
        <v>152266.67000000001</v>
      </c>
      <c r="J2402" t="s">
        <v>189</v>
      </c>
      <c r="K2402">
        <v>5</v>
      </c>
      <c r="L2402" t="s">
        <v>44</v>
      </c>
      <c r="M2402" t="s">
        <v>45</v>
      </c>
    </row>
    <row r="2403" spans="1:13">
      <c r="A2403" t="s">
        <v>5169</v>
      </c>
      <c r="B2403" t="s">
        <v>160</v>
      </c>
      <c r="C2403" t="s">
        <v>67</v>
      </c>
      <c r="D2403" t="s">
        <v>5170</v>
      </c>
      <c r="E2403">
        <v>2</v>
      </c>
      <c r="F2403" t="s">
        <v>5171</v>
      </c>
      <c r="G2403" s="10">
        <v>45372</v>
      </c>
      <c r="H2403">
        <v>65000</v>
      </c>
      <c r="I2403">
        <v>15000</v>
      </c>
      <c r="J2403" t="s">
        <v>163</v>
      </c>
      <c r="K2403">
        <v>5</v>
      </c>
      <c r="L2403" t="s">
        <v>35</v>
      </c>
      <c r="M2403" t="s">
        <v>27</v>
      </c>
    </row>
    <row r="2404" spans="1:13">
      <c r="A2404" t="s">
        <v>602</v>
      </c>
      <c r="B2404" t="s">
        <v>224</v>
      </c>
      <c r="C2404" t="s">
        <v>94</v>
      </c>
      <c r="D2404" t="s">
        <v>5172</v>
      </c>
      <c r="E2404">
        <v>2</v>
      </c>
      <c r="F2404" t="s">
        <v>5173</v>
      </c>
      <c r="G2404" s="10">
        <v>45355</v>
      </c>
      <c r="H2404">
        <v>30000</v>
      </c>
      <c r="I2404">
        <v>5000</v>
      </c>
      <c r="J2404" t="s">
        <v>227</v>
      </c>
      <c r="K2404">
        <v>5</v>
      </c>
      <c r="L2404" t="s">
        <v>41</v>
      </c>
      <c r="M2404" t="s">
        <v>42</v>
      </c>
    </row>
    <row r="2405" spans="1:13">
      <c r="A2405" t="s">
        <v>319</v>
      </c>
      <c r="B2405" t="s">
        <v>179</v>
      </c>
      <c r="C2405" t="s">
        <v>45</v>
      </c>
      <c r="D2405" t="s">
        <v>5174</v>
      </c>
      <c r="E2405">
        <v>4</v>
      </c>
      <c r="F2405" t="s">
        <v>5175</v>
      </c>
      <c r="G2405" s="10">
        <v>45159</v>
      </c>
      <c r="H2405">
        <v>305450</v>
      </c>
      <c r="I2405">
        <v>55450</v>
      </c>
      <c r="J2405" t="s">
        <v>5176</v>
      </c>
      <c r="K2405">
        <v>5</v>
      </c>
      <c r="L2405" t="s">
        <v>44</v>
      </c>
      <c r="M2405" t="s">
        <v>44</v>
      </c>
    </row>
    <row r="2406" spans="1:13">
      <c r="A2406" t="s">
        <v>117</v>
      </c>
      <c r="B2406" t="s">
        <v>118</v>
      </c>
      <c r="C2406" t="s">
        <v>98</v>
      </c>
      <c r="D2406" t="s">
        <v>5177</v>
      </c>
      <c r="E2406">
        <v>2</v>
      </c>
      <c r="F2406" t="s">
        <v>5178</v>
      </c>
      <c r="G2406" s="10">
        <v>45352</v>
      </c>
      <c r="H2406">
        <v>29932</v>
      </c>
      <c r="I2406">
        <v>3600</v>
      </c>
      <c r="J2406" t="s">
        <v>308</v>
      </c>
      <c r="K2406">
        <v>5</v>
      </c>
      <c r="L2406" t="s">
        <v>24</v>
      </c>
      <c r="M2406" t="s">
        <v>32</v>
      </c>
    </row>
    <row r="2407" spans="1:13">
      <c r="A2407" t="s">
        <v>2286</v>
      </c>
      <c r="B2407" t="s">
        <v>141</v>
      </c>
      <c r="C2407" t="s">
        <v>67</v>
      </c>
      <c r="D2407" t="s">
        <v>5179</v>
      </c>
      <c r="E2407">
        <v>1</v>
      </c>
      <c r="F2407" t="s">
        <v>5180</v>
      </c>
      <c r="G2407" s="10">
        <v>45365</v>
      </c>
      <c r="H2407">
        <v>33432</v>
      </c>
      <c r="I2407">
        <v>8432</v>
      </c>
      <c r="J2407" t="s">
        <v>5181</v>
      </c>
      <c r="K2407">
        <v>5</v>
      </c>
      <c r="L2407" t="s">
        <v>35</v>
      </c>
      <c r="M2407" t="s">
        <v>27</v>
      </c>
    </row>
    <row r="2408" spans="1:13">
      <c r="A2408" t="s">
        <v>2389</v>
      </c>
      <c r="B2408" t="s">
        <v>2267</v>
      </c>
      <c r="C2408" t="s">
        <v>94</v>
      </c>
      <c r="D2408" t="s">
        <v>5182</v>
      </c>
      <c r="E2408">
        <v>2</v>
      </c>
      <c r="F2408" t="s">
        <v>5183</v>
      </c>
      <c r="G2408" s="10">
        <v>45355</v>
      </c>
      <c r="H2408">
        <v>67488</v>
      </c>
      <c r="I2408">
        <v>11238</v>
      </c>
      <c r="J2408" t="s">
        <v>4037</v>
      </c>
      <c r="K2408">
        <v>5</v>
      </c>
      <c r="L2408" t="s">
        <v>41</v>
      </c>
      <c r="M2408" t="s">
        <v>33</v>
      </c>
    </row>
    <row r="2409" spans="1:13">
      <c r="A2409" t="s">
        <v>431</v>
      </c>
      <c r="B2409" t="s">
        <v>160</v>
      </c>
      <c r="C2409" t="s">
        <v>67</v>
      </c>
      <c r="D2409" t="s">
        <v>5184</v>
      </c>
      <c r="E2409">
        <v>2</v>
      </c>
      <c r="F2409" t="s">
        <v>5185</v>
      </c>
      <c r="G2409" s="10">
        <v>45357</v>
      </c>
      <c r="H2409">
        <v>22420</v>
      </c>
      <c r="I2409">
        <v>3420</v>
      </c>
      <c r="J2409" t="s">
        <v>193</v>
      </c>
      <c r="K2409">
        <v>5</v>
      </c>
      <c r="L2409" t="s">
        <v>35</v>
      </c>
      <c r="M2409" t="s">
        <v>27</v>
      </c>
    </row>
    <row r="2410" spans="1:13">
      <c r="A2410" t="s">
        <v>431</v>
      </c>
      <c r="B2410" t="s">
        <v>160</v>
      </c>
      <c r="C2410" t="s">
        <v>67</v>
      </c>
      <c r="D2410" t="s">
        <v>5186</v>
      </c>
      <c r="E2410">
        <v>2</v>
      </c>
      <c r="F2410" t="s">
        <v>5187</v>
      </c>
      <c r="G2410" s="10">
        <v>45357</v>
      </c>
      <c r="H2410">
        <v>22420</v>
      </c>
      <c r="I2410">
        <v>3420</v>
      </c>
      <c r="J2410" t="s">
        <v>193</v>
      </c>
      <c r="K2410">
        <v>5</v>
      </c>
      <c r="L2410" t="s">
        <v>35</v>
      </c>
      <c r="M2410" t="s">
        <v>27</v>
      </c>
    </row>
    <row r="2411" spans="1:13">
      <c r="A2411" t="s">
        <v>661</v>
      </c>
      <c r="B2411" t="s">
        <v>179</v>
      </c>
      <c r="C2411" t="s">
        <v>45</v>
      </c>
      <c r="D2411" t="s">
        <v>5188</v>
      </c>
      <c r="E2411">
        <v>2</v>
      </c>
      <c r="F2411" t="s">
        <v>5189</v>
      </c>
      <c r="G2411" s="10">
        <v>45356</v>
      </c>
      <c r="H2411">
        <v>45000</v>
      </c>
      <c r="I2411">
        <v>9166.67</v>
      </c>
      <c r="J2411" t="s">
        <v>182</v>
      </c>
      <c r="K2411">
        <v>5</v>
      </c>
      <c r="L2411" t="s">
        <v>44</v>
      </c>
      <c r="M2411" t="s">
        <v>45</v>
      </c>
    </row>
    <row r="2412" spans="1:13">
      <c r="A2412" t="s">
        <v>4064</v>
      </c>
      <c r="B2412" t="s">
        <v>146</v>
      </c>
      <c r="C2412" t="s">
        <v>98</v>
      </c>
      <c r="D2412" t="s">
        <v>5190</v>
      </c>
      <c r="E2412">
        <v>1</v>
      </c>
      <c r="F2412" t="s">
        <v>5191</v>
      </c>
      <c r="G2412" s="10">
        <v>45191</v>
      </c>
      <c r="H2412">
        <v>200000</v>
      </c>
      <c r="I2412">
        <v>108334</v>
      </c>
      <c r="J2412" t="s">
        <v>5192</v>
      </c>
      <c r="K2412">
        <v>5</v>
      </c>
      <c r="L2412" t="s">
        <v>24</v>
      </c>
      <c r="M2412" t="s">
        <v>24</v>
      </c>
    </row>
    <row r="2413" spans="1:13">
      <c r="A2413" t="s">
        <v>703</v>
      </c>
      <c r="B2413" t="s">
        <v>179</v>
      </c>
      <c r="C2413" t="s">
        <v>45</v>
      </c>
      <c r="D2413" t="s">
        <v>5025</v>
      </c>
      <c r="E2413">
        <v>4</v>
      </c>
      <c r="F2413" t="s">
        <v>5193</v>
      </c>
      <c r="G2413" s="10">
        <v>45355</v>
      </c>
      <c r="H2413">
        <v>336000</v>
      </c>
      <c r="I2413">
        <v>69333.33</v>
      </c>
      <c r="J2413" t="s">
        <v>189</v>
      </c>
      <c r="K2413">
        <v>6</v>
      </c>
      <c r="L2413" t="s">
        <v>44</v>
      </c>
      <c r="M2413" t="s">
        <v>45</v>
      </c>
    </row>
    <row r="2414" spans="1:13">
      <c r="A2414" t="s">
        <v>966</v>
      </c>
      <c r="B2414" t="s">
        <v>215</v>
      </c>
      <c r="C2414" t="s">
        <v>94</v>
      </c>
      <c r="D2414" t="s">
        <v>5194</v>
      </c>
      <c r="E2414">
        <v>2</v>
      </c>
      <c r="F2414" t="s">
        <v>5195</v>
      </c>
      <c r="G2414" s="10">
        <v>45357</v>
      </c>
      <c r="H2414">
        <v>99750</v>
      </c>
      <c r="I2414">
        <v>12250</v>
      </c>
      <c r="J2414" t="s">
        <v>227</v>
      </c>
      <c r="K2414">
        <v>5</v>
      </c>
      <c r="L2414" t="s">
        <v>41</v>
      </c>
      <c r="M2414" t="s">
        <v>42</v>
      </c>
    </row>
    <row r="2415" spans="1:13">
      <c r="A2415" t="s">
        <v>854</v>
      </c>
      <c r="B2415" t="s">
        <v>93</v>
      </c>
      <c r="C2415" t="s">
        <v>94</v>
      </c>
      <c r="D2415" t="s">
        <v>5196</v>
      </c>
      <c r="E2415">
        <v>2</v>
      </c>
      <c r="F2415" t="s">
        <v>5197</v>
      </c>
      <c r="G2415" s="10">
        <v>45370</v>
      </c>
      <c r="H2415">
        <v>231000</v>
      </c>
      <c r="I2415">
        <v>22666.67</v>
      </c>
      <c r="J2415" t="s">
        <v>97</v>
      </c>
      <c r="K2415">
        <v>5</v>
      </c>
      <c r="L2415" t="s">
        <v>41</v>
      </c>
      <c r="M2415" t="s">
        <v>42</v>
      </c>
    </row>
    <row r="2416" spans="1:13">
      <c r="A2416" t="s">
        <v>92</v>
      </c>
      <c r="B2416" t="s">
        <v>93</v>
      </c>
      <c r="C2416" t="s">
        <v>94</v>
      </c>
      <c r="D2416" t="s">
        <v>5198</v>
      </c>
      <c r="E2416">
        <v>4</v>
      </c>
      <c r="F2416" t="s">
        <v>5199</v>
      </c>
      <c r="G2416" s="10">
        <v>45370</v>
      </c>
      <c r="H2416">
        <v>252000</v>
      </c>
      <c r="I2416">
        <v>18666.669999999998</v>
      </c>
      <c r="J2416" t="s">
        <v>97</v>
      </c>
      <c r="K2416">
        <v>5</v>
      </c>
      <c r="L2416" t="s">
        <v>41</v>
      </c>
      <c r="M2416" t="s">
        <v>42</v>
      </c>
    </row>
    <row r="2417" spans="1:13">
      <c r="A2417" t="s">
        <v>190</v>
      </c>
      <c r="B2417" t="s">
        <v>160</v>
      </c>
      <c r="C2417" t="s">
        <v>67</v>
      </c>
      <c r="D2417" t="s">
        <v>5200</v>
      </c>
      <c r="E2417">
        <v>2</v>
      </c>
      <c r="F2417" t="s">
        <v>5201</v>
      </c>
      <c r="G2417" s="10">
        <v>45362</v>
      </c>
      <c r="H2417">
        <v>22420</v>
      </c>
      <c r="I2417">
        <v>3420</v>
      </c>
      <c r="J2417" t="s">
        <v>193</v>
      </c>
      <c r="K2417">
        <v>5</v>
      </c>
      <c r="L2417" t="s">
        <v>35</v>
      </c>
      <c r="M2417" t="s">
        <v>27</v>
      </c>
    </row>
    <row r="2418" spans="1:13">
      <c r="A2418" t="s">
        <v>3284</v>
      </c>
      <c r="B2418" t="s">
        <v>160</v>
      </c>
      <c r="C2418" t="s">
        <v>67</v>
      </c>
      <c r="D2418" t="s">
        <v>5202</v>
      </c>
      <c r="E2418">
        <v>2</v>
      </c>
      <c r="F2418" t="s">
        <v>5203</v>
      </c>
      <c r="G2418" s="10">
        <v>45359</v>
      </c>
      <c r="H2418">
        <v>23600</v>
      </c>
      <c r="I2418">
        <v>3600</v>
      </c>
      <c r="J2418" t="s">
        <v>193</v>
      </c>
      <c r="K2418">
        <v>6</v>
      </c>
      <c r="L2418" t="s">
        <v>35</v>
      </c>
      <c r="M2418" t="s">
        <v>27</v>
      </c>
    </row>
    <row r="2419" spans="1:13">
      <c r="A2419" t="s">
        <v>2488</v>
      </c>
      <c r="B2419" t="s">
        <v>916</v>
      </c>
      <c r="C2419" t="s">
        <v>52</v>
      </c>
      <c r="D2419" t="s">
        <v>5204</v>
      </c>
      <c r="E2419">
        <v>1</v>
      </c>
      <c r="F2419" t="s">
        <v>5205</v>
      </c>
      <c r="G2419" s="10">
        <v>45140</v>
      </c>
      <c r="H2419">
        <v>250000</v>
      </c>
      <c r="I2419">
        <v>16667</v>
      </c>
      <c r="J2419" t="s">
        <v>5206</v>
      </c>
      <c r="K2419">
        <v>5</v>
      </c>
      <c r="L2419" t="s">
        <v>52</v>
      </c>
      <c r="M2419" s="4" t="s">
        <v>46</v>
      </c>
    </row>
    <row r="2420" spans="1:13">
      <c r="A2420" t="s">
        <v>5207</v>
      </c>
      <c r="B2420" t="s">
        <v>683</v>
      </c>
      <c r="C2420" t="s">
        <v>238</v>
      </c>
      <c r="D2420" t="s">
        <v>5208</v>
      </c>
      <c r="E2420">
        <v>2</v>
      </c>
      <c r="F2420" t="s">
        <v>5209</v>
      </c>
      <c r="G2420" s="10">
        <v>45365</v>
      </c>
      <c r="H2420">
        <v>156492</v>
      </c>
      <c r="I2420">
        <v>104825.33</v>
      </c>
      <c r="J2420" t="s">
        <v>458</v>
      </c>
      <c r="K2420">
        <v>5</v>
      </c>
      <c r="L2420" t="s">
        <v>37</v>
      </c>
      <c r="M2420" t="s">
        <v>33</v>
      </c>
    </row>
    <row r="2421" spans="1:13">
      <c r="A2421" t="s">
        <v>197</v>
      </c>
      <c r="B2421" t="s">
        <v>160</v>
      </c>
      <c r="C2421" t="s">
        <v>67</v>
      </c>
      <c r="D2421" t="s">
        <v>5210</v>
      </c>
      <c r="E2421">
        <v>2</v>
      </c>
      <c r="F2421" t="s">
        <v>5211</v>
      </c>
      <c r="G2421" s="10">
        <v>45359</v>
      </c>
      <c r="H2421">
        <v>23600</v>
      </c>
      <c r="I2421">
        <v>3600</v>
      </c>
      <c r="J2421" t="s">
        <v>193</v>
      </c>
      <c r="K2421">
        <v>5</v>
      </c>
      <c r="L2421" t="s">
        <v>35</v>
      </c>
      <c r="M2421" t="s">
        <v>27</v>
      </c>
    </row>
    <row r="2422" spans="1:13">
      <c r="A2422" t="s">
        <v>261</v>
      </c>
      <c r="B2422" t="s">
        <v>160</v>
      </c>
      <c r="C2422" t="s">
        <v>67</v>
      </c>
      <c r="D2422" t="s">
        <v>5212</v>
      </c>
      <c r="E2422">
        <v>2</v>
      </c>
      <c r="F2422" t="s">
        <v>5213</v>
      </c>
      <c r="G2422" s="10">
        <v>45359</v>
      </c>
      <c r="H2422">
        <v>23600</v>
      </c>
      <c r="I2422">
        <v>3600</v>
      </c>
      <c r="J2422" t="s">
        <v>193</v>
      </c>
      <c r="K2422">
        <v>6</v>
      </c>
      <c r="L2422" t="s">
        <v>35</v>
      </c>
      <c r="M2422" t="s">
        <v>27</v>
      </c>
    </row>
    <row r="2423" spans="1:13">
      <c r="A2423" t="s">
        <v>602</v>
      </c>
      <c r="B2423" t="s">
        <v>224</v>
      </c>
      <c r="C2423" t="s">
        <v>94</v>
      </c>
      <c r="D2423" t="s">
        <v>5214</v>
      </c>
      <c r="E2423">
        <v>2</v>
      </c>
      <c r="F2423" t="s">
        <v>5215</v>
      </c>
      <c r="G2423" s="10">
        <v>45362</v>
      </c>
      <c r="H2423">
        <v>30000</v>
      </c>
      <c r="I2423">
        <v>5000</v>
      </c>
      <c r="J2423" t="s">
        <v>227</v>
      </c>
      <c r="K2423">
        <v>5</v>
      </c>
      <c r="L2423" t="s">
        <v>41</v>
      </c>
      <c r="M2423" t="s">
        <v>42</v>
      </c>
    </row>
    <row r="2424" spans="1:13">
      <c r="A2424" t="s">
        <v>875</v>
      </c>
      <c r="B2424" t="s">
        <v>146</v>
      </c>
      <c r="C2424" t="s">
        <v>98</v>
      </c>
      <c r="D2424" t="s">
        <v>5216</v>
      </c>
      <c r="E2424">
        <v>4</v>
      </c>
      <c r="F2424" t="s">
        <v>5217</v>
      </c>
      <c r="G2424" s="10">
        <v>45362</v>
      </c>
      <c r="H2424">
        <v>284172</v>
      </c>
      <c r="I2424">
        <v>109172</v>
      </c>
      <c r="J2424" t="s">
        <v>4081</v>
      </c>
      <c r="K2424">
        <v>5</v>
      </c>
      <c r="L2424" t="s">
        <v>24</v>
      </c>
      <c r="M2424" t="s">
        <v>31</v>
      </c>
    </row>
    <row r="2425" spans="1:13">
      <c r="A2425" t="s">
        <v>3726</v>
      </c>
      <c r="B2425" t="s">
        <v>1983</v>
      </c>
      <c r="C2425" t="s">
        <v>45</v>
      </c>
      <c r="D2425" t="s">
        <v>5218</v>
      </c>
      <c r="E2425">
        <v>2</v>
      </c>
      <c r="F2425" t="s">
        <v>5219</v>
      </c>
      <c r="G2425" s="10">
        <v>45365</v>
      </c>
      <c r="H2425">
        <v>45590</v>
      </c>
      <c r="I2425">
        <v>8090</v>
      </c>
      <c r="J2425" t="s">
        <v>300</v>
      </c>
      <c r="K2425">
        <v>5</v>
      </c>
      <c r="L2425" t="s">
        <v>44</v>
      </c>
      <c r="M2425" t="s">
        <v>48</v>
      </c>
    </row>
    <row r="2426" spans="1:13">
      <c r="A2426" t="s">
        <v>117</v>
      </c>
      <c r="B2426" t="s">
        <v>118</v>
      </c>
      <c r="C2426" t="s">
        <v>98</v>
      </c>
      <c r="D2426" t="s">
        <v>5220</v>
      </c>
      <c r="E2426">
        <v>1</v>
      </c>
      <c r="F2426" t="s">
        <v>5221</v>
      </c>
      <c r="G2426" s="10">
        <v>45364</v>
      </c>
      <c r="H2426">
        <v>137800</v>
      </c>
      <c r="I2426">
        <v>37800</v>
      </c>
      <c r="J2426" t="s">
        <v>121</v>
      </c>
      <c r="K2426">
        <v>5</v>
      </c>
      <c r="L2426" t="s">
        <v>24</v>
      </c>
      <c r="M2426" t="s">
        <v>30</v>
      </c>
    </row>
    <row r="2427" spans="1:13">
      <c r="A2427" t="s">
        <v>1447</v>
      </c>
      <c r="B2427" t="s">
        <v>179</v>
      </c>
      <c r="C2427" t="s">
        <v>45</v>
      </c>
      <c r="D2427" t="s">
        <v>5222</v>
      </c>
      <c r="E2427">
        <v>2</v>
      </c>
      <c r="F2427" t="s">
        <v>5223</v>
      </c>
      <c r="G2427" s="10">
        <v>45362</v>
      </c>
      <c r="H2427">
        <v>304833.33</v>
      </c>
      <c r="I2427">
        <v>46500</v>
      </c>
      <c r="J2427" t="s">
        <v>2077</v>
      </c>
      <c r="K2427">
        <v>5</v>
      </c>
      <c r="L2427" t="s">
        <v>44</v>
      </c>
      <c r="M2427" t="s">
        <v>45</v>
      </c>
    </row>
    <row r="2428" spans="1:13">
      <c r="A2428" t="s">
        <v>1817</v>
      </c>
      <c r="B2428" t="s">
        <v>224</v>
      </c>
      <c r="C2428" t="s">
        <v>94</v>
      </c>
      <c r="D2428" t="s">
        <v>5224</v>
      </c>
      <c r="E2428">
        <v>2</v>
      </c>
      <c r="F2428" t="s">
        <v>5225</v>
      </c>
      <c r="G2428" s="10">
        <v>45364</v>
      </c>
      <c r="H2428">
        <v>30000</v>
      </c>
      <c r="I2428">
        <v>5000</v>
      </c>
      <c r="J2428" t="s">
        <v>227</v>
      </c>
      <c r="K2428">
        <v>5</v>
      </c>
      <c r="L2428" t="s">
        <v>41</v>
      </c>
      <c r="M2428" t="s">
        <v>42</v>
      </c>
    </row>
    <row r="2429" spans="1:13">
      <c r="A2429" t="s">
        <v>480</v>
      </c>
      <c r="B2429" t="s">
        <v>215</v>
      </c>
      <c r="C2429" t="s">
        <v>94</v>
      </c>
      <c r="D2429" t="s">
        <v>5226</v>
      </c>
      <c r="E2429">
        <v>2</v>
      </c>
      <c r="F2429" t="s">
        <v>5227</v>
      </c>
      <c r="G2429" s="10">
        <v>45363</v>
      </c>
      <c r="H2429">
        <v>30000</v>
      </c>
      <c r="I2429">
        <v>5000</v>
      </c>
      <c r="J2429" t="s">
        <v>227</v>
      </c>
      <c r="K2429">
        <v>5</v>
      </c>
      <c r="L2429" t="s">
        <v>41</v>
      </c>
      <c r="M2429" t="s">
        <v>42</v>
      </c>
    </row>
    <row r="2430" spans="1:13">
      <c r="A2430" t="s">
        <v>376</v>
      </c>
      <c r="B2430" t="s">
        <v>66</v>
      </c>
      <c r="C2430" t="s">
        <v>67</v>
      </c>
      <c r="D2430" t="s">
        <v>5228</v>
      </c>
      <c r="E2430">
        <v>6</v>
      </c>
      <c r="F2430" t="s">
        <v>5229</v>
      </c>
      <c r="G2430" s="10">
        <v>45365</v>
      </c>
      <c r="H2430">
        <v>27500</v>
      </c>
      <c r="I2430">
        <v>4583.33</v>
      </c>
      <c r="J2430" t="s">
        <v>70</v>
      </c>
      <c r="K2430">
        <v>5</v>
      </c>
      <c r="L2430" t="s">
        <v>35</v>
      </c>
      <c r="M2430" t="s">
        <v>36</v>
      </c>
    </row>
    <row r="2431" spans="1:13">
      <c r="A2431" t="s">
        <v>2877</v>
      </c>
      <c r="B2431" t="s">
        <v>848</v>
      </c>
      <c r="C2431" t="s">
        <v>98</v>
      </c>
      <c r="D2431" t="s">
        <v>5230</v>
      </c>
      <c r="E2431">
        <v>2</v>
      </c>
      <c r="F2431" t="s">
        <v>5231</v>
      </c>
      <c r="G2431" s="10">
        <v>45376</v>
      </c>
      <c r="H2431">
        <v>150528</v>
      </c>
      <c r="I2431">
        <v>25528</v>
      </c>
      <c r="J2431" t="s">
        <v>126</v>
      </c>
      <c r="K2431">
        <v>5</v>
      </c>
      <c r="L2431" t="s">
        <v>24</v>
      </c>
      <c r="M2431" t="s">
        <v>26</v>
      </c>
    </row>
    <row r="2432" spans="1:13">
      <c r="A2432" t="s">
        <v>65</v>
      </c>
      <c r="B2432" t="s">
        <v>66</v>
      </c>
      <c r="C2432" t="s">
        <v>67</v>
      </c>
      <c r="D2432" t="s">
        <v>5232</v>
      </c>
      <c r="E2432">
        <v>6</v>
      </c>
      <c r="F2432" t="s">
        <v>5233</v>
      </c>
      <c r="G2432" s="10">
        <v>45365</v>
      </c>
      <c r="H2432">
        <v>25500</v>
      </c>
      <c r="I2432">
        <v>4250</v>
      </c>
      <c r="J2432" t="s">
        <v>70</v>
      </c>
      <c r="K2432">
        <v>5</v>
      </c>
      <c r="L2432" t="s">
        <v>35</v>
      </c>
      <c r="M2432" t="s">
        <v>36</v>
      </c>
    </row>
    <row r="2433" spans="1:13">
      <c r="A2433" t="s">
        <v>703</v>
      </c>
      <c r="B2433" t="s">
        <v>179</v>
      </c>
      <c r="C2433" t="s">
        <v>45</v>
      </c>
      <c r="D2433" t="s">
        <v>5234</v>
      </c>
      <c r="E2433">
        <v>4</v>
      </c>
      <c r="F2433" t="s">
        <v>5235</v>
      </c>
      <c r="G2433" s="10">
        <v>45364</v>
      </c>
      <c r="H2433">
        <v>315000</v>
      </c>
      <c r="I2433">
        <v>106666.67</v>
      </c>
      <c r="J2433" t="s">
        <v>714</v>
      </c>
      <c r="K2433">
        <v>5</v>
      </c>
      <c r="L2433" t="s">
        <v>44</v>
      </c>
      <c r="M2433" t="s">
        <v>45</v>
      </c>
    </row>
    <row r="2434" spans="1:13">
      <c r="A2434" t="s">
        <v>602</v>
      </c>
      <c r="B2434" t="s">
        <v>224</v>
      </c>
      <c r="C2434" t="s">
        <v>94</v>
      </c>
      <c r="D2434" t="s">
        <v>5236</v>
      </c>
      <c r="E2434">
        <v>2</v>
      </c>
      <c r="F2434" t="s">
        <v>5237</v>
      </c>
      <c r="G2434" s="10">
        <v>45365</v>
      </c>
      <c r="H2434">
        <v>30000</v>
      </c>
      <c r="I2434">
        <v>5000</v>
      </c>
      <c r="J2434" t="s">
        <v>227</v>
      </c>
      <c r="K2434">
        <v>5</v>
      </c>
      <c r="L2434" t="s">
        <v>41</v>
      </c>
      <c r="M2434" t="s">
        <v>42</v>
      </c>
    </row>
    <row r="2435" spans="1:13">
      <c r="A2435" t="s">
        <v>5238</v>
      </c>
      <c r="B2435" t="s">
        <v>28</v>
      </c>
      <c r="C2435" t="s">
        <v>238</v>
      </c>
      <c r="D2435" t="s">
        <v>5239</v>
      </c>
      <c r="E2435">
        <v>2</v>
      </c>
      <c r="F2435" t="s">
        <v>5240</v>
      </c>
      <c r="G2435" s="10">
        <v>45365</v>
      </c>
      <c r="H2435">
        <v>25200</v>
      </c>
      <c r="I2435">
        <v>5200</v>
      </c>
      <c r="J2435" t="s">
        <v>144</v>
      </c>
      <c r="K2435">
        <v>5</v>
      </c>
      <c r="L2435" t="s">
        <v>38</v>
      </c>
      <c r="M2435" t="s">
        <v>25</v>
      </c>
    </row>
    <row r="2436" spans="1:13">
      <c r="A2436" t="s">
        <v>3284</v>
      </c>
      <c r="B2436" t="s">
        <v>160</v>
      </c>
      <c r="C2436" t="s">
        <v>67</v>
      </c>
      <c r="D2436" t="s">
        <v>5241</v>
      </c>
      <c r="E2436">
        <v>2</v>
      </c>
      <c r="F2436" t="s">
        <v>5242</v>
      </c>
      <c r="G2436" s="10">
        <v>45366</v>
      </c>
      <c r="H2436">
        <v>22420</v>
      </c>
      <c r="I2436">
        <v>3420</v>
      </c>
      <c r="J2436" t="s">
        <v>193</v>
      </c>
      <c r="K2436">
        <v>5</v>
      </c>
      <c r="L2436" t="s">
        <v>35</v>
      </c>
      <c r="M2436" t="s">
        <v>27</v>
      </c>
    </row>
    <row r="2437" spans="1:13">
      <c r="A2437" t="s">
        <v>1447</v>
      </c>
      <c r="B2437" t="s">
        <v>179</v>
      </c>
      <c r="C2437" t="s">
        <v>45</v>
      </c>
      <c r="D2437" t="s">
        <v>4458</v>
      </c>
      <c r="E2437">
        <v>2</v>
      </c>
      <c r="F2437" t="s">
        <v>372</v>
      </c>
      <c r="G2437" s="10">
        <v>45323</v>
      </c>
      <c r="H2437">
        <v>225000</v>
      </c>
      <c r="I2437">
        <v>50000</v>
      </c>
      <c r="J2437" t="s">
        <v>714</v>
      </c>
      <c r="K2437">
        <v>5</v>
      </c>
      <c r="L2437" t="s">
        <v>44</v>
      </c>
      <c r="M2437" t="s">
        <v>45</v>
      </c>
    </row>
    <row r="2438" spans="1:13">
      <c r="A2438" t="s">
        <v>190</v>
      </c>
      <c r="B2438" t="s">
        <v>160</v>
      </c>
      <c r="C2438" t="s">
        <v>67</v>
      </c>
      <c r="D2438" t="s">
        <v>5243</v>
      </c>
      <c r="E2438">
        <v>2</v>
      </c>
      <c r="F2438" t="s">
        <v>5244</v>
      </c>
      <c r="G2438" s="10">
        <v>45366</v>
      </c>
      <c r="H2438">
        <v>22847.16</v>
      </c>
      <c r="I2438">
        <v>3485.16</v>
      </c>
      <c r="J2438" t="s">
        <v>193</v>
      </c>
      <c r="K2438">
        <v>5</v>
      </c>
      <c r="L2438" t="s">
        <v>35</v>
      </c>
      <c r="M2438" t="s">
        <v>27</v>
      </c>
    </row>
    <row r="2439" spans="1:13">
      <c r="A2439" t="s">
        <v>3874</v>
      </c>
      <c r="B2439" t="s">
        <v>179</v>
      </c>
      <c r="C2439" t="s">
        <v>45</v>
      </c>
      <c r="D2439" t="s">
        <v>5245</v>
      </c>
      <c r="E2439">
        <v>2</v>
      </c>
      <c r="F2439" t="s">
        <v>5246</v>
      </c>
      <c r="G2439" s="10">
        <v>45365</v>
      </c>
      <c r="H2439">
        <v>256660.04</v>
      </c>
      <c r="I2439">
        <v>60826.71</v>
      </c>
      <c r="J2439" t="s">
        <v>322</v>
      </c>
      <c r="K2439">
        <v>5</v>
      </c>
      <c r="L2439" t="s">
        <v>44</v>
      </c>
      <c r="M2439" t="s">
        <v>45</v>
      </c>
    </row>
    <row r="2440" spans="1:13">
      <c r="A2440" t="s">
        <v>1983</v>
      </c>
      <c r="B2440" t="s">
        <v>179</v>
      </c>
      <c r="C2440" t="s">
        <v>45</v>
      </c>
      <c r="D2440" t="s">
        <v>5247</v>
      </c>
      <c r="E2440">
        <v>2</v>
      </c>
      <c r="F2440" t="s">
        <v>5248</v>
      </c>
      <c r="G2440" s="10">
        <v>45366</v>
      </c>
      <c r="H2440">
        <v>39042</v>
      </c>
      <c r="I2440">
        <v>4042</v>
      </c>
      <c r="J2440" t="s">
        <v>300</v>
      </c>
      <c r="K2440">
        <v>5</v>
      </c>
      <c r="L2440" t="s">
        <v>44</v>
      </c>
      <c r="M2440" t="s">
        <v>48</v>
      </c>
    </row>
    <row r="2441" spans="1:13">
      <c r="A2441" t="s">
        <v>159</v>
      </c>
      <c r="B2441" t="s">
        <v>160</v>
      </c>
      <c r="C2441" t="s">
        <v>67</v>
      </c>
      <c r="D2441" t="s">
        <v>5249</v>
      </c>
      <c r="E2441">
        <v>2</v>
      </c>
      <c r="F2441" t="s">
        <v>5250</v>
      </c>
      <c r="G2441" s="10">
        <v>45366</v>
      </c>
      <c r="H2441">
        <v>22847.16</v>
      </c>
      <c r="I2441">
        <v>3485.16</v>
      </c>
      <c r="J2441" t="s">
        <v>193</v>
      </c>
      <c r="K2441">
        <v>5</v>
      </c>
      <c r="L2441" t="s">
        <v>35</v>
      </c>
      <c r="M2441" t="s">
        <v>27</v>
      </c>
    </row>
    <row r="2442" spans="1:13">
      <c r="A2442" t="s">
        <v>4017</v>
      </c>
      <c r="B2442" t="s">
        <v>1983</v>
      </c>
      <c r="C2442" t="s">
        <v>45</v>
      </c>
      <c r="D2442" t="s">
        <v>5251</v>
      </c>
      <c r="E2442">
        <v>2</v>
      </c>
      <c r="F2442" t="s">
        <v>5252</v>
      </c>
      <c r="G2442" s="10">
        <v>45369</v>
      </c>
      <c r="H2442">
        <v>406666</v>
      </c>
      <c r="I2442">
        <v>73332.67</v>
      </c>
      <c r="J2442" t="s">
        <v>517</v>
      </c>
      <c r="K2442">
        <v>5</v>
      </c>
      <c r="L2442" t="s">
        <v>44</v>
      </c>
      <c r="M2442" t="s">
        <v>48</v>
      </c>
    </row>
    <row r="2443" spans="1:13">
      <c r="A2443" t="s">
        <v>186</v>
      </c>
      <c r="B2443" t="s">
        <v>179</v>
      </c>
      <c r="C2443" t="s">
        <v>45</v>
      </c>
      <c r="D2443" t="s">
        <v>5253</v>
      </c>
      <c r="E2443">
        <v>2</v>
      </c>
      <c r="F2443" t="s">
        <v>5254</v>
      </c>
      <c r="G2443" s="10">
        <v>45366</v>
      </c>
      <c r="H2443">
        <v>125000</v>
      </c>
      <c r="I2443">
        <v>50000</v>
      </c>
      <c r="J2443" t="s">
        <v>5255</v>
      </c>
      <c r="K2443">
        <v>5</v>
      </c>
      <c r="L2443" t="s">
        <v>44</v>
      </c>
      <c r="M2443" t="s">
        <v>45</v>
      </c>
    </row>
    <row r="2444" spans="1:13">
      <c r="A2444" t="s">
        <v>65</v>
      </c>
      <c r="B2444" t="s">
        <v>66</v>
      </c>
      <c r="C2444" t="s">
        <v>67</v>
      </c>
      <c r="D2444" t="s">
        <v>5256</v>
      </c>
      <c r="E2444">
        <v>2</v>
      </c>
      <c r="F2444" t="s">
        <v>5257</v>
      </c>
      <c r="G2444" s="10">
        <v>45366</v>
      </c>
      <c r="H2444">
        <v>32500</v>
      </c>
      <c r="I2444">
        <v>7500</v>
      </c>
      <c r="J2444" t="s">
        <v>163</v>
      </c>
      <c r="K2444">
        <v>5</v>
      </c>
      <c r="L2444" t="s">
        <v>35</v>
      </c>
      <c r="M2444" t="s">
        <v>27</v>
      </c>
    </row>
    <row r="2445" spans="1:13">
      <c r="A2445" t="s">
        <v>2286</v>
      </c>
      <c r="B2445" t="s">
        <v>141</v>
      </c>
      <c r="C2445" t="s">
        <v>67</v>
      </c>
      <c r="D2445" t="s">
        <v>5258</v>
      </c>
      <c r="E2445">
        <v>2</v>
      </c>
      <c r="F2445" t="s">
        <v>5259</v>
      </c>
      <c r="G2445" s="10">
        <v>45366</v>
      </c>
      <c r="H2445">
        <v>85550</v>
      </c>
      <c r="I2445">
        <v>13050</v>
      </c>
      <c r="J2445" t="s">
        <v>193</v>
      </c>
      <c r="K2445">
        <v>5</v>
      </c>
      <c r="L2445" t="s">
        <v>35</v>
      </c>
      <c r="M2445" t="s">
        <v>27</v>
      </c>
    </row>
    <row r="2446" spans="1:13">
      <c r="A2446" t="s">
        <v>159</v>
      </c>
      <c r="B2446" t="s">
        <v>160</v>
      </c>
      <c r="C2446" t="s">
        <v>67</v>
      </c>
      <c r="D2446" t="s">
        <v>5260</v>
      </c>
      <c r="E2446">
        <v>2</v>
      </c>
      <c r="F2446" t="s">
        <v>5261</v>
      </c>
      <c r="G2446" s="10">
        <v>45369</v>
      </c>
      <c r="H2446">
        <v>22847.16</v>
      </c>
      <c r="I2446">
        <v>3485.16</v>
      </c>
      <c r="J2446" t="s">
        <v>193</v>
      </c>
      <c r="K2446">
        <v>5</v>
      </c>
      <c r="L2446" t="s">
        <v>35</v>
      </c>
      <c r="M2446" t="s">
        <v>27</v>
      </c>
    </row>
    <row r="2447" spans="1:13">
      <c r="A2447" t="s">
        <v>5070</v>
      </c>
      <c r="B2447" t="s">
        <v>66</v>
      </c>
      <c r="C2447" t="s">
        <v>67</v>
      </c>
      <c r="D2447" t="s">
        <v>5262</v>
      </c>
      <c r="E2447">
        <v>2</v>
      </c>
      <c r="F2447" t="s">
        <v>5263</v>
      </c>
      <c r="G2447" s="10">
        <v>45369</v>
      </c>
      <c r="H2447">
        <v>65000</v>
      </c>
      <c r="I2447">
        <v>15000</v>
      </c>
      <c r="J2447" t="s">
        <v>163</v>
      </c>
      <c r="K2447">
        <v>5</v>
      </c>
      <c r="L2447" t="s">
        <v>35</v>
      </c>
      <c r="M2447" t="s">
        <v>27</v>
      </c>
    </row>
    <row r="2448" spans="1:13">
      <c r="A2448" t="s">
        <v>4989</v>
      </c>
      <c r="B2448" t="s">
        <v>160</v>
      </c>
      <c r="C2448" t="s">
        <v>67</v>
      </c>
      <c r="D2448" t="s">
        <v>5264</v>
      </c>
      <c r="E2448">
        <v>2</v>
      </c>
      <c r="F2448" t="s">
        <v>5265</v>
      </c>
      <c r="G2448" s="10">
        <v>45373</v>
      </c>
      <c r="H2448">
        <v>65000</v>
      </c>
      <c r="I2448">
        <v>15000</v>
      </c>
      <c r="J2448" t="s">
        <v>163</v>
      </c>
      <c r="K2448">
        <v>5</v>
      </c>
      <c r="L2448" t="s">
        <v>35</v>
      </c>
      <c r="M2448" t="s">
        <v>27</v>
      </c>
    </row>
    <row r="2449" spans="1:13">
      <c r="A2449" t="s">
        <v>1868</v>
      </c>
      <c r="B2449" t="s">
        <v>66</v>
      </c>
      <c r="C2449" t="s">
        <v>67</v>
      </c>
      <c r="D2449" t="s">
        <v>5266</v>
      </c>
      <c r="E2449">
        <v>2</v>
      </c>
      <c r="F2449" t="s">
        <v>5267</v>
      </c>
      <c r="G2449" s="10">
        <v>45369</v>
      </c>
      <c r="H2449">
        <v>32500</v>
      </c>
      <c r="I2449">
        <v>7500</v>
      </c>
      <c r="J2449" t="s">
        <v>163</v>
      </c>
      <c r="K2449">
        <v>5</v>
      </c>
      <c r="L2449" t="s">
        <v>35</v>
      </c>
      <c r="M2449" t="s">
        <v>27</v>
      </c>
    </row>
    <row r="2450" spans="1:13">
      <c r="A2450" t="s">
        <v>251</v>
      </c>
      <c r="B2450" t="s">
        <v>160</v>
      </c>
      <c r="C2450" t="s">
        <v>67</v>
      </c>
      <c r="D2450" t="s">
        <v>5268</v>
      </c>
      <c r="E2450">
        <v>2</v>
      </c>
      <c r="F2450" t="s">
        <v>5269</v>
      </c>
      <c r="G2450" s="10">
        <v>45371</v>
      </c>
      <c r="H2450">
        <v>22847.16</v>
      </c>
      <c r="I2450">
        <v>3485.16</v>
      </c>
      <c r="J2450" t="s">
        <v>193</v>
      </c>
      <c r="K2450">
        <v>5</v>
      </c>
      <c r="L2450" t="s">
        <v>35</v>
      </c>
      <c r="M2450" t="s">
        <v>27</v>
      </c>
    </row>
    <row r="2451" spans="1:13">
      <c r="A2451" t="s">
        <v>1983</v>
      </c>
      <c r="B2451" t="s">
        <v>179</v>
      </c>
      <c r="C2451" t="s">
        <v>45</v>
      </c>
      <c r="D2451" t="s">
        <v>5270</v>
      </c>
      <c r="E2451">
        <v>2</v>
      </c>
      <c r="F2451" t="s">
        <v>5271</v>
      </c>
      <c r="G2451" s="10">
        <v>45377</v>
      </c>
      <c r="H2451">
        <v>349000</v>
      </c>
      <c r="I2451">
        <v>57333.33</v>
      </c>
      <c r="J2451" t="s">
        <v>5078</v>
      </c>
      <c r="K2451">
        <v>5</v>
      </c>
      <c r="L2451" t="s">
        <v>44</v>
      </c>
      <c r="M2451" t="s">
        <v>45</v>
      </c>
    </row>
    <row r="2452" spans="1:13">
      <c r="A2452" t="s">
        <v>3726</v>
      </c>
      <c r="B2452" t="s">
        <v>1983</v>
      </c>
      <c r="C2452" t="s">
        <v>45</v>
      </c>
      <c r="D2452" t="s">
        <v>5272</v>
      </c>
      <c r="E2452">
        <v>2</v>
      </c>
      <c r="F2452" t="s">
        <v>5273</v>
      </c>
      <c r="G2452" s="10">
        <v>45377</v>
      </c>
      <c r="H2452">
        <v>310000</v>
      </c>
      <c r="I2452">
        <v>60000</v>
      </c>
      <c r="J2452" t="s">
        <v>5078</v>
      </c>
      <c r="K2452">
        <v>5</v>
      </c>
      <c r="L2452" t="s">
        <v>44</v>
      </c>
      <c r="M2452" t="s">
        <v>45</v>
      </c>
    </row>
    <row r="2453" spans="1:13">
      <c r="A2453" t="s">
        <v>1631</v>
      </c>
      <c r="B2453" t="s">
        <v>179</v>
      </c>
      <c r="C2453" t="s">
        <v>45</v>
      </c>
      <c r="D2453" t="s">
        <v>5274</v>
      </c>
      <c r="E2453">
        <v>2</v>
      </c>
      <c r="F2453" t="s">
        <v>5275</v>
      </c>
      <c r="G2453" s="10">
        <v>45370</v>
      </c>
      <c r="H2453">
        <v>336000</v>
      </c>
      <c r="I2453">
        <v>152666.67000000001</v>
      </c>
      <c r="J2453" t="s">
        <v>189</v>
      </c>
      <c r="K2453">
        <v>6</v>
      </c>
      <c r="L2453" t="s">
        <v>44</v>
      </c>
      <c r="M2453" t="s">
        <v>45</v>
      </c>
    </row>
    <row r="2454" spans="1:13">
      <c r="A2454" t="s">
        <v>661</v>
      </c>
      <c r="B2454" t="s">
        <v>179</v>
      </c>
      <c r="C2454" t="s">
        <v>45</v>
      </c>
      <c r="D2454" t="s">
        <v>5276</v>
      </c>
      <c r="E2454">
        <v>2</v>
      </c>
      <c r="F2454" t="s">
        <v>5277</v>
      </c>
      <c r="G2454" s="10">
        <v>45380</v>
      </c>
      <c r="H2454">
        <v>135000</v>
      </c>
      <c r="I2454">
        <v>26666.67</v>
      </c>
      <c r="J2454" t="s">
        <v>5278</v>
      </c>
      <c r="K2454">
        <v>5</v>
      </c>
      <c r="L2454" t="s">
        <v>44</v>
      </c>
      <c r="M2454" t="s">
        <v>45</v>
      </c>
    </row>
    <row r="2455" spans="1:13">
      <c r="A2455" t="s">
        <v>341</v>
      </c>
      <c r="B2455" t="s">
        <v>179</v>
      </c>
      <c r="C2455" t="s">
        <v>45</v>
      </c>
      <c r="D2455" t="s">
        <v>5279</v>
      </c>
      <c r="E2455">
        <v>2</v>
      </c>
      <c r="F2455" t="s">
        <v>5280</v>
      </c>
      <c r="G2455" s="10">
        <v>45373</v>
      </c>
      <c r="H2455">
        <v>285600</v>
      </c>
      <c r="I2455">
        <v>143933.32999999999</v>
      </c>
      <c r="J2455" t="s">
        <v>189</v>
      </c>
      <c r="K2455">
        <v>5</v>
      </c>
      <c r="L2455" t="s">
        <v>44</v>
      </c>
      <c r="M2455" t="s">
        <v>45</v>
      </c>
    </row>
    <row r="2456" spans="1:13">
      <c r="A2456" t="s">
        <v>617</v>
      </c>
      <c r="B2456" t="s">
        <v>179</v>
      </c>
      <c r="C2456" t="s">
        <v>45</v>
      </c>
      <c r="D2456" t="s">
        <v>5281</v>
      </c>
      <c r="E2456">
        <v>2</v>
      </c>
      <c r="F2456" t="s">
        <v>5282</v>
      </c>
      <c r="G2456" s="10">
        <v>45371</v>
      </c>
      <c r="H2456">
        <v>110000</v>
      </c>
      <c r="I2456">
        <v>60000</v>
      </c>
      <c r="J2456" t="s">
        <v>714</v>
      </c>
      <c r="K2456">
        <v>5</v>
      </c>
      <c r="L2456" t="s">
        <v>44</v>
      </c>
      <c r="M2456" t="s">
        <v>45</v>
      </c>
    </row>
    <row r="2457" spans="1:13">
      <c r="A2457" t="s">
        <v>2617</v>
      </c>
      <c r="B2457" t="s">
        <v>2267</v>
      </c>
      <c r="C2457" t="s">
        <v>94</v>
      </c>
      <c r="D2457" t="s">
        <v>5283</v>
      </c>
      <c r="E2457">
        <v>2</v>
      </c>
      <c r="F2457" t="s">
        <v>5284</v>
      </c>
      <c r="G2457" s="10">
        <v>45369</v>
      </c>
      <c r="H2457">
        <v>100000</v>
      </c>
      <c r="I2457">
        <v>16666.669999999998</v>
      </c>
      <c r="J2457" t="s">
        <v>4037</v>
      </c>
      <c r="K2457">
        <v>5</v>
      </c>
      <c r="L2457" t="s">
        <v>41</v>
      </c>
      <c r="M2457" t="s">
        <v>33</v>
      </c>
    </row>
    <row r="2458" spans="1:13">
      <c r="A2458" t="s">
        <v>194</v>
      </c>
      <c r="B2458" t="s">
        <v>160</v>
      </c>
      <c r="C2458" t="s">
        <v>67</v>
      </c>
      <c r="D2458" t="s">
        <v>5285</v>
      </c>
      <c r="E2458">
        <v>2</v>
      </c>
      <c r="F2458" t="s">
        <v>5286</v>
      </c>
      <c r="G2458" s="10">
        <v>45372</v>
      </c>
      <c r="H2458">
        <v>22847.16</v>
      </c>
      <c r="I2458">
        <v>3485.16</v>
      </c>
      <c r="J2458" t="s">
        <v>193</v>
      </c>
      <c r="K2458">
        <v>5</v>
      </c>
      <c r="L2458" t="s">
        <v>35</v>
      </c>
      <c r="M2458" t="s">
        <v>27</v>
      </c>
    </row>
    <row r="2459" spans="1:13">
      <c r="A2459" t="s">
        <v>602</v>
      </c>
      <c r="B2459" t="s">
        <v>224</v>
      </c>
      <c r="C2459" t="s">
        <v>94</v>
      </c>
      <c r="D2459" t="s">
        <v>5287</v>
      </c>
      <c r="E2459">
        <v>2</v>
      </c>
      <c r="F2459" t="s">
        <v>5288</v>
      </c>
      <c r="G2459" s="10">
        <v>45371</v>
      </c>
      <c r="H2459">
        <v>35000</v>
      </c>
      <c r="I2459">
        <v>5000</v>
      </c>
      <c r="J2459" t="s">
        <v>227</v>
      </c>
      <c r="K2459">
        <v>5</v>
      </c>
      <c r="L2459" t="s">
        <v>41</v>
      </c>
      <c r="M2459" t="s">
        <v>42</v>
      </c>
    </row>
    <row r="2460" spans="1:13">
      <c r="A2460" t="s">
        <v>190</v>
      </c>
      <c r="B2460" t="s">
        <v>160</v>
      </c>
      <c r="C2460" t="s">
        <v>67</v>
      </c>
      <c r="D2460" t="s">
        <v>5289</v>
      </c>
      <c r="E2460">
        <v>2</v>
      </c>
      <c r="F2460" t="s">
        <v>5290</v>
      </c>
      <c r="G2460" s="10">
        <v>45373</v>
      </c>
      <c r="H2460">
        <v>17700</v>
      </c>
      <c r="I2460">
        <v>2700</v>
      </c>
      <c r="J2460" t="s">
        <v>193</v>
      </c>
      <c r="K2460">
        <v>5</v>
      </c>
      <c r="L2460" t="s">
        <v>35</v>
      </c>
      <c r="M2460" t="s">
        <v>27</v>
      </c>
    </row>
    <row r="2461" spans="1:13">
      <c r="A2461" t="s">
        <v>4718</v>
      </c>
      <c r="B2461" t="s">
        <v>683</v>
      </c>
      <c r="C2461" t="s">
        <v>238</v>
      </c>
      <c r="D2461" t="s">
        <v>5291</v>
      </c>
      <c r="E2461">
        <v>2</v>
      </c>
      <c r="F2461" t="s">
        <v>372</v>
      </c>
      <c r="G2461" s="10">
        <v>45372</v>
      </c>
      <c r="H2461">
        <v>346500</v>
      </c>
      <c r="I2461">
        <v>54833.33</v>
      </c>
      <c r="J2461" t="s">
        <v>5292</v>
      </c>
      <c r="K2461">
        <v>5</v>
      </c>
      <c r="L2461" t="s">
        <v>41</v>
      </c>
      <c r="M2461" t="s">
        <v>33</v>
      </c>
    </row>
    <row r="2462" spans="1:13">
      <c r="A2462" t="s">
        <v>261</v>
      </c>
      <c r="B2462" t="s">
        <v>160</v>
      </c>
      <c r="C2462" t="s">
        <v>67</v>
      </c>
      <c r="D2462" t="s">
        <v>5293</v>
      </c>
      <c r="E2462">
        <v>2</v>
      </c>
      <c r="F2462" t="s">
        <v>5294</v>
      </c>
      <c r="G2462" s="10">
        <v>45371</v>
      </c>
      <c r="H2462">
        <v>65000</v>
      </c>
      <c r="I2462">
        <v>15000</v>
      </c>
      <c r="J2462" t="s">
        <v>163</v>
      </c>
      <c r="K2462">
        <v>5</v>
      </c>
      <c r="L2462" t="s">
        <v>35</v>
      </c>
      <c r="M2462" t="s">
        <v>27</v>
      </c>
    </row>
    <row r="2463" spans="1:13">
      <c r="A2463" t="s">
        <v>65</v>
      </c>
      <c r="B2463" t="s">
        <v>66</v>
      </c>
      <c r="C2463" t="s">
        <v>67</v>
      </c>
      <c r="D2463" t="s">
        <v>5295</v>
      </c>
      <c r="E2463">
        <v>2</v>
      </c>
      <c r="F2463" t="s">
        <v>5296</v>
      </c>
      <c r="G2463" s="10">
        <v>45379</v>
      </c>
      <c r="H2463">
        <v>65000</v>
      </c>
      <c r="I2463">
        <v>15000</v>
      </c>
      <c r="J2463" t="s">
        <v>163</v>
      </c>
      <c r="K2463">
        <v>5</v>
      </c>
      <c r="L2463" t="s">
        <v>35</v>
      </c>
      <c r="M2463" t="s">
        <v>27</v>
      </c>
    </row>
    <row r="2464" spans="1:13">
      <c r="A2464" t="s">
        <v>628</v>
      </c>
      <c r="B2464" t="s">
        <v>66</v>
      </c>
      <c r="C2464" t="s">
        <v>67</v>
      </c>
      <c r="D2464" t="s">
        <v>5297</v>
      </c>
      <c r="E2464">
        <v>2</v>
      </c>
      <c r="F2464" t="s">
        <v>5298</v>
      </c>
      <c r="G2464" s="10">
        <v>45372</v>
      </c>
      <c r="H2464">
        <v>65000</v>
      </c>
      <c r="I2464">
        <v>15000</v>
      </c>
      <c r="J2464" t="s">
        <v>163</v>
      </c>
      <c r="K2464">
        <v>5</v>
      </c>
      <c r="L2464" t="s">
        <v>35</v>
      </c>
      <c r="M2464" t="s">
        <v>27</v>
      </c>
    </row>
    <row r="2465" spans="1:13">
      <c r="A2465" t="s">
        <v>5070</v>
      </c>
      <c r="B2465" t="s">
        <v>66</v>
      </c>
      <c r="C2465" t="s">
        <v>67</v>
      </c>
      <c r="D2465" t="s">
        <v>5299</v>
      </c>
      <c r="E2465">
        <v>2</v>
      </c>
      <c r="F2465" t="s">
        <v>5300</v>
      </c>
      <c r="G2465" s="10">
        <v>45378</v>
      </c>
      <c r="H2465">
        <v>65000</v>
      </c>
      <c r="I2465">
        <v>15000</v>
      </c>
      <c r="J2465" t="s">
        <v>163</v>
      </c>
      <c r="K2465">
        <v>5</v>
      </c>
      <c r="L2465" t="s">
        <v>35</v>
      </c>
      <c r="M2465" t="s">
        <v>27</v>
      </c>
    </row>
    <row r="2466" spans="1:13">
      <c r="A2466" t="s">
        <v>431</v>
      </c>
      <c r="B2466" t="s">
        <v>160</v>
      </c>
      <c r="C2466" t="s">
        <v>67</v>
      </c>
      <c r="D2466" t="s">
        <v>5301</v>
      </c>
      <c r="E2466">
        <v>2</v>
      </c>
      <c r="F2466" t="s">
        <v>5302</v>
      </c>
      <c r="G2466" s="10">
        <v>45371</v>
      </c>
      <c r="H2466">
        <v>22847.16</v>
      </c>
      <c r="I2466">
        <v>3485.16</v>
      </c>
      <c r="J2466" t="s">
        <v>193</v>
      </c>
      <c r="K2466">
        <v>5</v>
      </c>
      <c r="L2466" t="s">
        <v>35</v>
      </c>
      <c r="M2466" t="s">
        <v>27</v>
      </c>
    </row>
    <row r="2467" spans="1:13">
      <c r="A2467" t="s">
        <v>379</v>
      </c>
      <c r="B2467" t="s">
        <v>179</v>
      </c>
      <c r="C2467" t="s">
        <v>45</v>
      </c>
      <c r="D2467" t="s">
        <v>5303</v>
      </c>
      <c r="E2467">
        <v>2</v>
      </c>
      <c r="F2467" t="s">
        <v>5304</v>
      </c>
      <c r="G2467" s="10">
        <v>45373</v>
      </c>
      <c r="H2467">
        <v>336000</v>
      </c>
      <c r="I2467">
        <v>144333.32999999999</v>
      </c>
      <c r="J2467" t="s">
        <v>189</v>
      </c>
      <c r="K2467">
        <v>5</v>
      </c>
      <c r="L2467" t="s">
        <v>44</v>
      </c>
      <c r="M2467" t="s">
        <v>45</v>
      </c>
    </row>
    <row r="2468" spans="1:13">
      <c r="A2468" t="s">
        <v>261</v>
      </c>
      <c r="B2468" t="s">
        <v>160</v>
      </c>
      <c r="C2468" t="s">
        <v>67</v>
      </c>
      <c r="D2468" t="s">
        <v>5305</v>
      </c>
      <c r="E2468">
        <v>2</v>
      </c>
      <c r="F2468" t="s">
        <v>5306</v>
      </c>
      <c r="G2468" s="10">
        <v>45372</v>
      </c>
      <c r="H2468">
        <v>65000</v>
      </c>
      <c r="I2468">
        <v>15000</v>
      </c>
      <c r="J2468" t="s">
        <v>163</v>
      </c>
      <c r="K2468">
        <v>5</v>
      </c>
      <c r="L2468" t="s">
        <v>35</v>
      </c>
      <c r="M2468" t="s">
        <v>27</v>
      </c>
    </row>
    <row r="2469" spans="1:13">
      <c r="A2469" t="s">
        <v>4989</v>
      </c>
      <c r="B2469" t="s">
        <v>160</v>
      </c>
      <c r="C2469" t="s">
        <v>67</v>
      </c>
      <c r="D2469" t="s">
        <v>5307</v>
      </c>
      <c r="E2469">
        <v>2</v>
      </c>
      <c r="F2469" t="s">
        <v>5308</v>
      </c>
      <c r="G2469" s="10">
        <v>45371</v>
      </c>
      <c r="H2469">
        <v>65000</v>
      </c>
      <c r="I2469">
        <v>15000</v>
      </c>
      <c r="J2469" t="s">
        <v>163</v>
      </c>
      <c r="K2469">
        <v>5</v>
      </c>
      <c r="L2469" t="s">
        <v>35</v>
      </c>
      <c r="M2469" t="s">
        <v>27</v>
      </c>
    </row>
    <row r="2470" spans="1:13">
      <c r="A2470" t="s">
        <v>117</v>
      </c>
      <c r="B2470" t="s">
        <v>118</v>
      </c>
      <c r="C2470" t="s">
        <v>98</v>
      </c>
      <c r="D2470" t="s">
        <v>5309</v>
      </c>
      <c r="E2470">
        <v>4</v>
      </c>
      <c r="F2470" t="s">
        <v>5310</v>
      </c>
      <c r="G2470" s="10">
        <v>45372</v>
      </c>
      <c r="H2470">
        <v>206896.55</v>
      </c>
      <c r="I2470">
        <v>26896.55</v>
      </c>
      <c r="J2470" t="s">
        <v>121</v>
      </c>
      <c r="K2470">
        <v>5</v>
      </c>
      <c r="L2470" t="s">
        <v>24</v>
      </c>
      <c r="M2470" t="s">
        <v>30</v>
      </c>
    </row>
    <row r="2471" spans="1:13">
      <c r="A2471" t="s">
        <v>261</v>
      </c>
      <c r="B2471" t="s">
        <v>160</v>
      </c>
      <c r="C2471" t="s">
        <v>67</v>
      </c>
      <c r="D2471" t="s">
        <v>5311</v>
      </c>
      <c r="E2471">
        <v>2</v>
      </c>
      <c r="F2471" t="s">
        <v>5312</v>
      </c>
      <c r="G2471" s="10">
        <v>45378</v>
      </c>
      <c r="H2471">
        <v>22847.16</v>
      </c>
      <c r="I2471">
        <v>3485.16</v>
      </c>
      <c r="J2471" t="s">
        <v>193</v>
      </c>
      <c r="K2471">
        <v>6</v>
      </c>
      <c r="L2471" t="s">
        <v>35</v>
      </c>
      <c r="M2471" t="s">
        <v>27</v>
      </c>
    </row>
    <row r="2472" spans="1:13">
      <c r="A2472" t="s">
        <v>617</v>
      </c>
      <c r="B2472" t="s">
        <v>179</v>
      </c>
      <c r="C2472" t="s">
        <v>45</v>
      </c>
      <c r="D2472" t="s">
        <v>5313</v>
      </c>
      <c r="E2472">
        <v>2</v>
      </c>
      <c r="F2472" t="s">
        <v>5314</v>
      </c>
      <c r="G2472" s="10">
        <v>45372</v>
      </c>
      <c r="H2472">
        <v>369600</v>
      </c>
      <c r="I2472">
        <v>136266.67000000001</v>
      </c>
      <c r="J2472" t="s">
        <v>189</v>
      </c>
      <c r="K2472">
        <v>5</v>
      </c>
      <c r="L2472" t="s">
        <v>44</v>
      </c>
      <c r="M2472" t="s">
        <v>45</v>
      </c>
    </row>
    <row r="2473" spans="1:13">
      <c r="A2473" t="s">
        <v>190</v>
      </c>
      <c r="B2473" t="s">
        <v>160</v>
      </c>
      <c r="C2473" t="s">
        <v>67</v>
      </c>
      <c r="D2473" t="s">
        <v>5315</v>
      </c>
      <c r="E2473">
        <v>2</v>
      </c>
      <c r="F2473" t="s">
        <v>5316</v>
      </c>
      <c r="G2473" s="10">
        <v>45379</v>
      </c>
      <c r="H2473">
        <v>22847.16</v>
      </c>
      <c r="I2473">
        <v>3485.16</v>
      </c>
      <c r="J2473" t="s">
        <v>193</v>
      </c>
      <c r="K2473">
        <v>5</v>
      </c>
      <c r="L2473" t="s">
        <v>35</v>
      </c>
      <c r="M2473" t="s">
        <v>27</v>
      </c>
    </row>
    <row r="2474" spans="1:13">
      <c r="A2474" t="s">
        <v>251</v>
      </c>
      <c r="B2474" t="s">
        <v>160</v>
      </c>
      <c r="C2474" t="s">
        <v>67</v>
      </c>
      <c r="D2474" t="s">
        <v>5317</v>
      </c>
      <c r="E2474">
        <v>2</v>
      </c>
      <c r="F2474" t="s">
        <v>5318</v>
      </c>
      <c r="G2474" s="10">
        <v>45372</v>
      </c>
      <c r="H2474">
        <v>32500</v>
      </c>
      <c r="I2474">
        <v>7500</v>
      </c>
      <c r="J2474" t="s">
        <v>193</v>
      </c>
      <c r="K2474">
        <v>5</v>
      </c>
      <c r="L2474" t="s">
        <v>35</v>
      </c>
      <c r="M2474" t="s">
        <v>27</v>
      </c>
    </row>
    <row r="2475" spans="1:13">
      <c r="A2475" t="s">
        <v>251</v>
      </c>
      <c r="B2475" t="s">
        <v>160</v>
      </c>
      <c r="C2475" t="s">
        <v>67</v>
      </c>
      <c r="D2475" t="s">
        <v>5319</v>
      </c>
      <c r="E2475">
        <v>2</v>
      </c>
      <c r="F2475" t="s">
        <v>5320</v>
      </c>
      <c r="G2475" s="10">
        <v>45372</v>
      </c>
      <c r="H2475">
        <v>17700</v>
      </c>
      <c r="I2475">
        <v>2700</v>
      </c>
      <c r="J2475" t="s">
        <v>193</v>
      </c>
      <c r="K2475">
        <v>5</v>
      </c>
      <c r="L2475" t="s">
        <v>35</v>
      </c>
      <c r="M2475" t="s">
        <v>27</v>
      </c>
    </row>
    <row r="2476" spans="1:13">
      <c r="A2476" t="s">
        <v>140</v>
      </c>
      <c r="B2476" t="s">
        <v>141</v>
      </c>
      <c r="C2476" t="s">
        <v>67</v>
      </c>
      <c r="D2476" t="s">
        <v>5321</v>
      </c>
      <c r="E2476">
        <v>2</v>
      </c>
      <c r="F2476" t="s">
        <v>5322</v>
      </c>
      <c r="G2476" s="10">
        <v>45379</v>
      </c>
      <c r="H2476">
        <v>48000</v>
      </c>
      <c r="I2476">
        <v>8000</v>
      </c>
      <c r="J2476" t="s">
        <v>163</v>
      </c>
      <c r="K2476">
        <v>5</v>
      </c>
      <c r="L2476" t="s">
        <v>35</v>
      </c>
      <c r="M2476" t="s">
        <v>27</v>
      </c>
    </row>
    <row r="2477" spans="1:13">
      <c r="A2477" t="s">
        <v>431</v>
      </c>
      <c r="B2477" t="s">
        <v>160</v>
      </c>
      <c r="C2477" t="s">
        <v>67</v>
      </c>
      <c r="D2477" t="s">
        <v>5323</v>
      </c>
      <c r="E2477">
        <v>2</v>
      </c>
      <c r="F2477" t="s">
        <v>5324</v>
      </c>
      <c r="G2477" s="10">
        <v>45372</v>
      </c>
      <c r="H2477">
        <v>22847.16</v>
      </c>
      <c r="I2477">
        <v>3485.16</v>
      </c>
      <c r="J2477" t="s">
        <v>193</v>
      </c>
      <c r="K2477">
        <v>5</v>
      </c>
      <c r="L2477" t="s">
        <v>35</v>
      </c>
      <c r="M2477" t="s">
        <v>27</v>
      </c>
    </row>
    <row r="2478" spans="1:13">
      <c r="A2478" t="s">
        <v>65</v>
      </c>
      <c r="B2478" t="s">
        <v>66</v>
      </c>
      <c r="C2478" t="s">
        <v>67</v>
      </c>
      <c r="D2478" t="s">
        <v>5325</v>
      </c>
      <c r="E2478">
        <v>2</v>
      </c>
      <c r="F2478" t="s">
        <v>5326</v>
      </c>
      <c r="G2478" s="10">
        <v>45372</v>
      </c>
      <c r="H2478">
        <v>32500</v>
      </c>
      <c r="I2478">
        <v>7500</v>
      </c>
      <c r="J2478" t="s">
        <v>163</v>
      </c>
      <c r="K2478">
        <v>5</v>
      </c>
      <c r="L2478" t="s">
        <v>35</v>
      </c>
      <c r="M2478" t="s">
        <v>27</v>
      </c>
    </row>
    <row r="2479" spans="1:13">
      <c r="A2479" t="s">
        <v>1868</v>
      </c>
      <c r="B2479" t="s">
        <v>66</v>
      </c>
      <c r="C2479" t="s">
        <v>67</v>
      </c>
      <c r="D2479" t="s">
        <v>5327</v>
      </c>
      <c r="E2479">
        <v>2</v>
      </c>
      <c r="F2479" t="s">
        <v>5328</v>
      </c>
      <c r="G2479" s="10">
        <v>45372</v>
      </c>
      <c r="H2479">
        <v>65000</v>
      </c>
      <c r="I2479">
        <v>15000</v>
      </c>
      <c r="J2479" t="s">
        <v>163</v>
      </c>
      <c r="K2479">
        <v>5</v>
      </c>
      <c r="L2479" t="s">
        <v>35</v>
      </c>
      <c r="M2479" t="s">
        <v>27</v>
      </c>
    </row>
    <row r="2480" spans="1:13">
      <c r="A2480" t="s">
        <v>431</v>
      </c>
      <c r="B2480" t="s">
        <v>160</v>
      </c>
      <c r="C2480" t="s">
        <v>67</v>
      </c>
      <c r="D2480" t="s">
        <v>5329</v>
      </c>
      <c r="E2480">
        <v>2</v>
      </c>
      <c r="F2480" t="s">
        <v>5330</v>
      </c>
      <c r="G2480" s="10">
        <v>45378</v>
      </c>
      <c r="H2480">
        <v>22847.16</v>
      </c>
      <c r="I2480">
        <v>3485.16</v>
      </c>
      <c r="J2480" t="s">
        <v>193</v>
      </c>
      <c r="K2480">
        <v>5</v>
      </c>
      <c r="L2480" t="s">
        <v>35</v>
      </c>
      <c r="M2480" t="s">
        <v>27</v>
      </c>
    </row>
    <row r="2481" spans="1:13">
      <c r="A2481" t="s">
        <v>4920</v>
      </c>
      <c r="B2481" t="s">
        <v>66</v>
      </c>
      <c r="C2481" t="s">
        <v>67</v>
      </c>
      <c r="D2481" t="s">
        <v>5331</v>
      </c>
      <c r="E2481">
        <v>2</v>
      </c>
      <c r="F2481" t="s">
        <v>5332</v>
      </c>
      <c r="G2481" s="10">
        <v>45372</v>
      </c>
      <c r="H2481">
        <v>32500</v>
      </c>
      <c r="I2481">
        <v>7500</v>
      </c>
      <c r="J2481" t="s">
        <v>163</v>
      </c>
      <c r="K2481">
        <v>5</v>
      </c>
      <c r="L2481" t="s">
        <v>35</v>
      </c>
      <c r="M2481" t="s">
        <v>27</v>
      </c>
    </row>
    <row r="2482" spans="1:13">
      <c r="A2482" t="s">
        <v>4989</v>
      </c>
      <c r="B2482" t="s">
        <v>160</v>
      </c>
      <c r="C2482" t="s">
        <v>67</v>
      </c>
      <c r="D2482" t="s">
        <v>5333</v>
      </c>
      <c r="E2482">
        <v>2</v>
      </c>
      <c r="F2482" t="s">
        <v>5334</v>
      </c>
      <c r="G2482" s="10">
        <v>45373</v>
      </c>
      <c r="H2482">
        <v>65000</v>
      </c>
      <c r="I2482">
        <v>15000</v>
      </c>
      <c r="J2482" t="s">
        <v>163</v>
      </c>
      <c r="K2482">
        <v>5</v>
      </c>
      <c r="L2482" t="s">
        <v>35</v>
      </c>
      <c r="M2482" t="s">
        <v>27</v>
      </c>
    </row>
    <row r="2483" spans="1:13">
      <c r="A2483" t="s">
        <v>5207</v>
      </c>
      <c r="B2483" t="s">
        <v>683</v>
      </c>
      <c r="C2483" t="s">
        <v>238</v>
      </c>
      <c r="D2483" t="s">
        <v>5335</v>
      </c>
      <c r="E2483">
        <v>2</v>
      </c>
      <c r="F2483" t="s">
        <v>5336</v>
      </c>
      <c r="G2483" s="10">
        <v>45379</v>
      </c>
      <c r="H2483">
        <v>169167</v>
      </c>
      <c r="I2483">
        <v>60833.67</v>
      </c>
      <c r="J2483" t="s">
        <v>1096</v>
      </c>
      <c r="K2483">
        <v>5</v>
      </c>
      <c r="L2483" t="s">
        <v>24</v>
      </c>
      <c r="M2483" t="s">
        <v>25</v>
      </c>
    </row>
    <row r="2484" spans="1:13">
      <c r="A2484" t="s">
        <v>3284</v>
      </c>
      <c r="B2484" t="s">
        <v>160</v>
      </c>
      <c r="C2484" t="s">
        <v>67</v>
      </c>
      <c r="D2484" t="s">
        <v>5337</v>
      </c>
      <c r="E2484">
        <v>2</v>
      </c>
      <c r="F2484" t="s">
        <v>5338</v>
      </c>
      <c r="G2484" s="10">
        <v>45378</v>
      </c>
      <c r="H2484">
        <v>65000</v>
      </c>
      <c r="I2484">
        <v>15000</v>
      </c>
      <c r="J2484" t="s">
        <v>163</v>
      </c>
      <c r="K2484">
        <v>5</v>
      </c>
      <c r="L2484" t="s">
        <v>35</v>
      </c>
      <c r="M2484" t="s">
        <v>27</v>
      </c>
    </row>
    <row r="2485" spans="1:13">
      <c r="A2485" t="s">
        <v>194</v>
      </c>
      <c r="B2485" t="s">
        <v>160</v>
      </c>
      <c r="C2485" t="s">
        <v>67</v>
      </c>
      <c r="D2485" t="s">
        <v>5339</v>
      </c>
      <c r="E2485">
        <v>2</v>
      </c>
      <c r="F2485" t="s">
        <v>5340</v>
      </c>
      <c r="G2485" s="10">
        <v>45378</v>
      </c>
      <c r="H2485">
        <v>65000</v>
      </c>
      <c r="I2485">
        <v>15000</v>
      </c>
      <c r="J2485" t="s">
        <v>163</v>
      </c>
      <c r="K2485">
        <v>5</v>
      </c>
      <c r="L2485" t="s">
        <v>35</v>
      </c>
      <c r="M2485" t="s">
        <v>27</v>
      </c>
    </row>
    <row r="2486" spans="1:13">
      <c r="A2486" t="s">
        <v>628</v>
      </c>
      <c r="B2486" t="s">
        <v>66</v>
      </c>
      <c r="C2486" t="s">
        <v>67</v>
      </c>
      <c r="D2486" t="s">
        <v>1898</v>
      </c>
      <c r="E2486">
        <v>6</v>
      </c>
      <c r="F2486" t="s">
        <v>5341</v>
      </c>
      <c r="G2486" s="10">
        <v>45376</v>
      </c>
      <c r="H2486">
        <v>27500</v>
      </c>
      <c r="I2486">
        <v>4583.33</v>
      </c>
      <c r="J2486" t="s">
        <v>70</v>
      </c>
      <c r="K2486">
        <v>5</v>
      </c>
      <c r="L2486" t="s">
        <v>35</v>
      </c>
      <c r="M2486" t="s">
        <v>36</v>
      </c>
    </row>
    <row r="2487" spans="1:13">
      <c r="A2487" t="s">
        <v>3284</v>
      </c>
      <c r="B2487" t="s">
        <v>160</v>
      </c>
      <c r="C2487" t="s">
        <v>67</v>
      </c>
      <c r="D2487" t="s">
        <v>5342</v>
      </c>
      <c r="E2487">
        <v>2</v>
      </c>
      <c r="F2487" t="s">
        <v>5343</v>
      </c>
      <c r="G2487" s="10">
        <v>45380</v>
      </c>
      <c r="H2487">
        <v>58500</v>
      </c>
      <c r="I2487">
        <v>13500</v>
      </c>
      <c r="J2487" t="s">
        <v>163</v>
      </c>
      <c r="K2487">
        <v>5</v>
      </c>
      <c r="L2487" t="s">
        <v>35</v>
      </c>
      <c r="M2487" t="s">
        <v>27</v>
      </c>
    </row>
    <row r="2488" spans="1:13">
      <c r="A2488" t="s">
        <v>4920</v>
      </c>
      <c r="B2488" t="s">
        <v>66</v>
      </c>
      <c r="C2488" t="s">
        <v>67</v>
      </c>
      <c r="D2488" t="s">
        <v>5344</v>
      </c>
      <c r="E2488">
        <v>2</v>
      </c>
      <c r="F2488" t="s">
        <v>5345</v>
      </c>
      <c r="G2488" s="10">
        <v>45378</v>
      </c>
      <c r="H2488">
        <v>65000</v>
      </c>
      <c r="I2488">
        <v>15000</v>
      </c>
      <c r="J2488" t="s">
        <v>163</v>
      </c>
      <c r="K2488">
        <v>5</v>
      </c>
      <c r="L2488" t="s">
        <v>35</v>
      </c>
      <c r="M2488" t="s">
        <v>27</v>
      </c>
    </row>
    <row r="2489" spans="1:13">
      <c r="A2489" t="s">
        <v>3284</v>
      </c>
      <c r="B2489" t="s">
        <v>160</v>
      </c>
      <c r="C2489" t="s">
        <v>67</v>
      </c>
      <c r="D2489" t="s">
        <v>5346</v>
      </c>
      <c r="E2489">
        <v>2</v>
      </c>
      <c r="F2489" t="s">
        <v>5347</v>
      </c>
      <c r="G2489" s="10">
        <v>45376</v>
      </c>
      <c r="H2489">
        <v>150000.42000000001</v>
      </c>
      <c r="I2489">
        <v>22881.42</v>
      </c>
      <c r="J2489" t="s">
        <v>193</v>
      </c>
      <c r="K2489">
        <v>5</v>
      </c>
      <c r="L2489" t="s">
        <v>35</v>
      </c>
      <c r="M2489" t="s">
        <v>27</v>
      </c>
    </row>
    <row r="2490" spans="1:13">
      <c r="A2490" t="s">
        <v>65</v>
      </c>
      <c r="B2490" t="s">
        <v>66</v>
      </c>
      <c r="C2490" t="s">
        <v>67</v>
      </c>
      <c r="D2490" t="s">
        <v>5348</v>
      </c>
      <c r="E2490">
        <v>6</v>
      </c>
      <c r="F2490" t="s">
        <v>5349</v>
      </c>
      <c r="G2490" s="10">
        <v>45376</v>
      </c>
      <c r="H2490">
        <v>27500</v>
      </c>
      <c r="I2490">
        <v>4583.33</v>
      </c>
      <c r="J2490" t="s">
        <v>70</v>
      </c>
      <c r="K2490">
        <v>5</v>
      </c>
      <c r="L2490" t="s">
        <v>35</v>
      </c>
      <c r="M2490" t="s">
        <v>36</v>
      </c>
    </row>
    <row r="2491" spans="1:13">
      <c r="A2491" t="s">
        <v>431</v>
      </c>
      <c r="B2491" t="s">
        <v>160</v>
      </c>
      <c r="C2491" t="s">
        <v>67</v>
      </c>
      <c r="D2491" t="s">
        <v>5350</v>
      </c>
      <c r="E2491">
        <v>2</v>
      </c>
      <c r="F2491" t="s">
        <v>5351</v>
      </c>
      <c r="G2491" s="10">
        <v>45378</v>
      </c>
      <c r="H2491">
        <v>65000</v>
      </c>
      <c r="I2491">
        <v>15000</v>
      </c>
      <c r="J2491" t="s">
        <v>163</v>
      </c>
      <c r="K2491">
        <v>5</v>
      </c>
      <c r="L2491" t="s">
        <v>35</v>
      </c>
      <c r="M2491" t="s">
        <v>27</v>
      </c>
    </row>
    <row r="2492" spans="1:13">
      <c r="A2492" t="s">
        <v>4017</v>
      </c>
      <c r="B2492" t="s">
        <v>1983</v>
      </c>
      <c r="C2492" t="s">
        <v>45</v>
      </c>
      <c r="D2492" t="s">
        <v>5352</v>
      </c>
      <c r="E2492">
        <v>2</v>
      </c>
      <c r="F2492" t="s">
        <v>5353</v>
      </c>
      <c r="G2492" s="10">
        <v>45377</v>
      </c>
      <c r="H2492">
        <v>54166</v>
      </c>
      <c r="I2492">
        <v>10832.67</v>
      </c>
      <c r="J2492" t="s">
        <v>2167</v>
      </c>
      <c r="K2492">
        <v>5</v>
      </c>
      <c r="L2492" t="s">
        <v>44</v>
      </c>
      <c r="M2492" t="s">
        <v>45</v>
      </c>
    </row>
    <row r="2493" spans="1:13">
      <c r="A2493" t="s">
        <v>4935</v>
      </c>
      <c r="B2493" t="s">
        <v>1983</v>
      </c>
      <c r="C2493" t="s">
        <v>45</v>
      </c>
      <c r="D2493" t="s">
        <v>5354</v>
      </c>
      <c r="E2493">
        <v>2</v>
      </c>
      <c r="F2493" t="s">
        <v>5355</v>
      </c>
      <c r="G2493" s="10">
        <v>45379</v>
      </c>
      <c r="H2493">
        <v>295000</v>
      </c>
      <c r="I2493">
        <v>61666.67</v>
      </c>
      <c r="J2493" t="s">
        <v>5356</v>
      </c>
      <c r="K2493">
        <v>5</v>
      </c>
      <c r="L2493" t="s">
        <v>44</v>
      </c>
      <c r="M2493" t="s">
        <v>45</v>
      </c>
    </row>
    <row r="2494" spans="1:13">
      <c r="A2494" t="s">
        <v>251</v>
      </c>
      <c r="B2494" t="s">
        <v>160</v>
      </c>
      <c r="C2494" t="s">
        <v>67</v>
      </c>
      <c r="D2494" t="s">
        <v>5357</v>
      </c>
      <c r="E2494">
        <v>2</v>
      </c>
      <c r="F2494" t="s">
        <v>5358</v>
      </c>
      <c r="G2494" s="10">
        <v>45379</v>
      </c>
      <c r="H2494">
        <v>22847.16</v>
      </c>
      <c r="I2494">
        <v>3485.16</v>
      </c>
      <c r="J2494" t="s">
        <v>193</v>
      </c>
      <c r="K2494">
        <v>5</v>
      </c>
      <c r="L2494" t="s">
        <v>35</v>
      </c>
      <c r="M2494" t="s">
        <v>27</v>
      </c>
    </row>
    <row r="2495" spans="1:13">
      <c r="A2495" t="s">
        <v>251</v>
      </c>
      <c r="B2495" t="s">
        <v>160</v>
      </c>
      <c r="C2495" t="s">
        <v>67</v>
      </c>
      <c r="D2495" t="s">
        <v>5359</v>
      </c>
      <c r="E2495">
        <v>2</v>
      </c>
      <c r="F2495" t="s">
        <v>5360</v>
      </c>
      <c r="G2495" s="10">
        <v>45380</v>
      </c>
      <c r="H2495">
        <v>22847.16</v>
      </c>
      <c r="I2495">
        <v>3485.16</v>
      </c>
      <c r="J2495" t="s">
        <v>193</v>
      </c>
      <c r="K2495">
        <v>6</v>
      </c>
      <c r="L2495" t="s">
        <v>35</v>
      </c>
      <c r="M2495" t="s">
        <v>27</v>
      </c>
    </row>
    <row r="2496" spans="1:13">
      <c r="A2496" t="s">
        <v>197</v>
      </c>
      <c r="B2496" t="s">
        <v>160</v>
      </c>
      <c r="C2496" t="s">
        <v>67</v>
      </c>
      <c r="D2496" t="s">
        <v>5361</v>
      </c>
      <c r="E2496">
        <v>2</v>
      </c>
      <c r="F2496" t="s">
        <v>5362</v>
      </c>
      <c r="G2496" s="10">
        <v>45380</v>
      </c>
      <c r="H2496">
        <v>22847.16</v>
      </c>
      <c r="I2496">
        <v>3485.16</v>
      </c>
      <c r="J2496" t="s">
        <v>193</v>
      </c>
      <c r="K2496">
        <v>6</v>
      </c>
      <c r="L2496" t="s">
        <v>35</v>
      </c>
      <c r="M2496" t="s">
        <v>27</v>
      </c>
    </row>
    <row r="2497" spans="1:13">
      <c r="A2497" t="s">
        <v>3726</v>
      </c>
      <c r="B2497" t="s">
        <v>1983</v>
      </c>
      <c r="C2497" t="s">
        <v>45</v>
      </c>
      <c r="D2497" t="s">
        <v>5363</v>
      </c>
      <c r="E2497">
        <v>2</v>
      </c>
      <c r="F2497" t="s">
        <v>5364</v>
      </c>
      <c r="G2497" s="10">
        <v>45380</v>
      </c>
      <c r="H2497">
        <v>330000</v>
      </c>
      <c r="I2497">
        <v>63333.33</v>
      </c>
      <c r="J2497" t="s">
        <v>5078</v>
      </c>
      <c r="K2497">
        <v>5</v>
      </c>
      <c r="L2497" t="s">
        <v>44</v>
      </c>
      <c r="M2497" t="s">
        <v>45</v>
      </c>
    </row>
    <row r="2498" spans="1:13">
      <c r="A2498" t="s">
        <v>628</v>
      </c>
      <c r="B2498" t="s">
        <v>66</v>
      </c>
      <c r="C2498" t="s">
        <v>67</v>
      </c>
      <c r="D2498" t="s">
        <v>5365</v>
      </c>
      <c r="E2498">
        <v>2</v>
      </c>
      <c r="F2498" t="s">
        <v>5366</v>
      </c>
      <c r="G2498" s="10">
        <v>45380</v>
      </c>
      <c r="H2498">
        <v>32500</v>
      </c>
      <c r="I2498">
        <v>7500</v>
      </c>
      <c r="J2498" t="s">
        <v>163</v>
      </c>
      <c r="K2498">
        <v>5</v>
      </c>
      <c r="L2498" t="s">
        <v>35</v>
      </c>
      <c r="M2498" t="s">
        <v>27</v>
      </c>
    </row>
    <row r="2499" spans="1:13">
      <c r="A2499" t="s">
        <v>571</v>
      </c>
      <c r="B2499" t="s">
        <v>179</v>
      </c>
      <c r="C2499" t="s">
        <v>45</v>
      </c>
      <c r="D2499" t="s">
        <v>5367</v>
      </c>
      <c r="E2499">
        <v>2</v>
      </c>
      <c r="F2499" t="s">
        <v>5368</v>
      </c>
      <c r="G2499" s="10">
        <v>45379</v>
      </c>
      <c r="H2499">
        <v>302400</v>
      </c>
      <c r="I2499">
        <v>135733.32999999999</v>
      </c>
      <c r="J2499" t="s">
        <v>189</v>
      </c>
      <c r="K2499">
        <v>5</v>
      </c>
      <c r="L2499" t="s">
        <v>44</v>
      </c>
      <c r="M2499" t="s">
        <v>45</v>
      </c>
    </row>
    <row r="2500" spans="1:13">
      <c r="A2500" t="s">
        <v>571</v>
      </c>
      <c r="B2500" t="s">
        <v>179</v>
      </c>
      <c r="C2500" t="s">
        <v>45</v>
      </c>
      <c r="D2500" t="s">
        <v>5369</v>
      </c>
      <c r="E2500">
        <v>2</v>
      </c>
      <c r="F2500" t="s">
        <v>5370</v>
      </c>
      <c r="G2500" s="10">
        <v>45379</v>
      </c>
      <c r="H2500">
        <v>30000</v>
      </c>
      <c r="I2500">
        <v>10000</v>
      </c>
      <c r="J2500" t="s">
        <v>182</v>
      </c>
      <c r="K2500">
        <v>5</v>
      </c>
      <c r="L2500" t="s">
        <v>44</v>
      </c>
      <c r="M2500" t="s">
        <v>45</v>
      </c>
    </row>
    <row r="2501" spans="1:13">
      <c r="A2501" t="s">
        <v>376</v>
      </c>
      <c r="B2501" t="s">
        <v>66</v>
      </c>
      <c r="C2501" t="s">
        <v>67</v>
      </c>
      <c r="D2501" t="s">
        <v>5371</v>
      </c>
      <c r="E2501">
        <v>6</v>
      </c>
      <c r="F2501" t="s">
        <v>5372</v>
      </c>
      <c r="G2501" s="10">
        <v>45378</v>
      </c>
      <c r="H2501">
        <v>27500</v>
      </c>
      <c r="I2501">
        <v>4583.33</v>
      </c>
      <c r="J2501" t="s">
        <v>70</v>
      </c>
      <c r="K2501">
        <v>5</v>
      </c>
      <c r="L2501" t="s">
        <v>35</v>
      </c>
      <c r="M2501" t="s">
        <v>36</v>
      </c>
    </row>
    <row r="2502" spans="1:13">
      <c r="A2502" t="s">
        <v>65</v>
      </c>
      <c r="B2502" t="s">
        <v>66</v>
      </c>
      <c r="C2502" t="s">
        <v>67</v>
      </c>
      <c r="D2502" t="s">
        <v>5373</v>
      </c>
      <c r="E2502">
        <v>6</v>
      </c>
      <c r="F2502" t="s">
        <v>5374</v>
      </c>
      <c r="G2502" s="10">
        <v>45378</v>
      </c>
      <c r="H2502">
        <v>27500</v>
      </c>
      <c r="I2502">
        <v>4583.33</v>
      </c>
      <c r="J2502" t="s">
        <v>70</v>
      </c>
      <c r="K2502">
        <v>5</v>
      </c>
      <c r="L2502" t="s">
        <v>35</v>
      </c>
      <c r="M2502" t="s">
        <v>36</v>
      </c>
    </row>
    <row r="2503" spans="1:13">
      <c r="A2503" t="s">
        <v>186</v>
      </c>
      <c r="B2503" t="s">
        <v>179</v>
      </c>
      <c r="C2503" t="s">
        <v>45</v>
      </c>
      <c r="D2503" t="s">
        <v>5375</v>
      </c>
      <c r="E2503">
        <v>2</v>
      </c>
      <c r="F2503" t="s">
        <v>5376</v>
      </c>
      <c r="G2503" s="10">
        <v>45378</v>
      </c>
      <c r="H2503">
        <v>153995.5</v>
      </c>
      <c r="I2503">
        <v>36495.5</v>
      </c>
      <c r="J2503" t="s">
        <v>322</v>
      </c>
      <c r="K2503">
        <v>5</v>
      </c>
      <c r="L2503" t="s">
        <v>44</v>
      </c>
      <c r="M2503" t="s">
        <v>45</v>
      </c>
    </row>
    <row r="2504" spans="1:13">
      <c r="A2504" t="s">
        <v>571</v>
      </c>
      <c r="B2504" t="s">
        <v>179</v>
      </c>
      <c r="C2504" t="s">
        <v>45</v>
      </c>
      <c r="D2504" t="s">
        <v>5377</v>
      </c>
      <c r="E2504">
        <v>4</v>
      </c>
      <c r="F2504" t="s">
        <v>5378</v>
      </c>
      <c r="G2504" s="10">
        <v>45379</v>
      </c>
      <c r="H2504">
        <v>386800</v>
      </c>
      <c r="I2504">
        <v>136800</v>
      </c>
      <c r="J2504" t="s">
        <v>189</v>
      </c>
      <c r="K2504">
        <v>5</v>
      </c>
      <c r="L2504" t="s">
        <v>44</v>
      </c>
      <c r="M2504" t="s">
        <v>45</v>
      </c>
    </row>
    <row r="2505" spans="1:13">
      <c r="A2505" t="s">
        <v>190</v>
      </c>
      <c r="B2505" t="s">
        <v>160</v>
      </c>
      <c r="C2505" t="s">
        <v>67</v>
      </c>
      <c r="D2505" t="s">
        <v>5379</v>
      </c>
      <c r="E2505">
        <v>2</v>
      </c>
      <c r="F2505" t="s">
        <v>5380</v>
      </c>
      <c r="G2505" s="10">
        <v>45380</v>
      </c>
      <c r="H2505">
        <v>22847.16</v>
      </c>
      <c r="I2505">
        <v>3485.16</v>
      </c>
      <c r="J2505" t="s">
        <v>193</v>
      </c>
      <c r="K2505">
        <v>5</v>
      </c>
      <c r="L2505" t="s">
        <v>35</v>
      </c>
      <c r="M2505" t="s">
        <v>27</v>
      </c>
    </row>
    <row r="2506" spans="1:13">
      <c r="A2506" t="s">
        <v>4017</v>
      </c>
      <c r="B2506" t="s">
        <v>1983</v>
      </c>
      <c r="C2506" t="s">
        <v>45</v>
      </c>
      <c r="D2506" t="s">
        <v>5381</v>
      </c>
      <c r="E2506">
        <v>2</v>
      </c>
      <c r="F2506" t="s">
        <v>5382</v>
      </c>
      <c r="G2506" s="10">
        <v>45378</v>
      </c>
      <c r="H2506">
        <v>108333.33</v>
      </c>
      <c r="I2506">
        <v>25000</v>
      </c>
      <c r="J2506" t="s">
        <v>2167</v>
      </c>
      <c r="K2506">
        <v>5</v>
      </c>
      <c r="L2506" t="s">
        <v>44</v>
      </c>
      <c r="M2506" t="s">
        <v>45</v>
      </c>
    </row>
    <row r="2507" spans="1:13">
      <c r="A2507" t="s">
        <v>3726</v>
      </c>
      <c r="B2507" t="s">
        <v>1983</v>
      </c>
      <c r="C2507" t="s">
        <v>45</v>
      </c>
      <c r="D2507" t="s">
        <v>5383</v>
      </c>
      <c r="E2507">
        <v>2</v>
      </c>
      <c r="F2507" t="s">
        <v>5384</v>
      </c>
      <c r="G2507" s="10">
        <v>45379</v>
      </c>
      <c r="H2507">
        <v>130000</v>
      </c>
      <c r="I2507">
        <v>30000</v>
      </c>
      <c r="J2507" t="s">
        <v>2167</v>
      </c>
      <c r="K2507">
        <v>5</v>
      </c>
      <c r="L2507" t="s">
        <v>44</v>
      </c>
      <c r="M2507" t="s">
        <v>45</v>
      </c>
    </row>
    <row r="2508" spans="1:13">
      <c r="A2508" t="s">
        <v>3289</v>
      </c>
      <c r="B2508" t="s">
        <v>224</v>
      </c>
      <c r="C2508" t="s">
        <v>94</v>
      </c>
      <c r="D2508" t="s">
        <v>5385</v>
      </c>
      <c r="E2508">
        <v>2</v>
      </c>
      <c r="F2508" t="s">
        <v>5386</v>
      </c>
      <c r="G2508" s="10">
        <v>45380</v>
      </c>
      <c r="H2508">
        <v>30000</v>
      </c>
      <c r="I2508">
        <v>5000</v>
      </c>
      <c r="J2508" t="s">
        <v>227</v>
      </c>
      <c r="K2508">
        <v>5</v>
      </c>
      <c r="L2508" t="s">
        <v>41</v>
      </c>
      <c r="M2508" t="s">
        <v>42</v>
      </c>
    </row>
    <row r="2509" spans="1:13">
      <c r="A2509" t="s">
        <v>1447</v>
      </c>
      <c r="B2509" t="s">
        <v>179</v>
      </c>
      <c r="C2509" t="s">
        <v>45</v>
      </c>
      <c r="D2509" t="s">
        <v>5387</v>
      </c>
      <c r="E2509">
        <v>4</v>
      </c>
      <c r="F2509" t="s">
        <v>5388</v>
      </c>
      <c r="G2509" s="10">
        <v>45379</v>
      </c>
      <c r="H2509">
        <v>550000</v>
      </c>
      <c r="I2509">
        <v>341666.67</v>
      </c>
      <c r="J2509" t="s">
        <v>189</v>
      </c>
      <c r="K2509">
        <v>5</v>
      </c>
      <c r="L2509" t="s">
        <v>44</v>
      </c>
      <c r="M2509" t="s">
        <v>45</v>
      </c>
    </row>
    <row r="2510" spans="1:13">
      <c r="A2510" t="s">
        <v>4303</v>
      </c>
      <c r="B2510" t="s">
        <v>1983</v>
      </c>
      <c r="C2510" t="s">
        <v>45</v>
      </c>
      <c r="D2510" t="s">
        <v>5389</v>
      </c>
      <c r="E2510">
        <v>2</v>
      </c>
      <c r="F2510" t="s">
        <v>5390</v>
      </c>
      <c r="G2510" s="10">
        <v>45380</v>
      </c>
      <c r="H2510">
        <v>200000</v>
      </c>
      <c r="I2510">
        <v>25000</v>
      </c>
      <c r="J2510" t="s">
        <v>884</v>
      </c>
      <c r="K2510">
        <v>5</v>
      </c>
      <c r="L2510" t="s">
        <v>44</v>
      </c>
      <c r="M2510" t="s">
        <v>45</v>
      </c>
    </row>
    <row r="2511" spans="1:13">
      <c r="A2511" t="s">
        <v>341</v>
      </c>
      <c r="B2511" t="s">
        <v>179</v>
      </c>
      <c r="C2511" t="s">
        <v>45</v>
      </c>
      <c r="D2511" t="s">
        <v>2389</v>
      </c>
      <c r="E2511">
        <v>2</v>
      </c>
      <c r="F2511" t="s">
        <v>5391</v>
      </c>
      <c r="G2511" s="10">
        <v>45379</v>
      </c>
      <c r="H2511">
        <v>84500</v>
      </c>
      <c r="I2511">
        <v>22000</v>
      </c>
      <c r="J2511" t="s">
        <v>2167</v>
      </c>
      <c r="K2511">
        <v>5</v>
      </c>
      <c r="L2511" t="s">
        <v>44</v>
      </c>
      <c r="M2511" t="s">
        <v>45</v>
      </c>
    </row>
    <row r="2512" spans="1:13">
      <c r="A2512" t="s">
        <v>1868</v>
      </c>
      <c r="B2512" t="s">
        <v>66</v>
      </c>
      <c r="C2512" t="s">
        <v>67</v>
      </c>
      <c r="D2512" t="s">
        <v>5392</v>
      </c>
      <c r="E2512">
        <v>6</v>
      </c>
      <c r="F2512" t="s">
        <v>5393</v>
      </c>
      <c r="G2512" s="10">
        <v>45380</v>
      </c>
      <c r="H2512">
        <v>37000</v>
      </c>
      <c r="I2512">
        <v>6166.67</v>
      </c>
      <c r="J2512" t="s">
        <v>70</v>
      </c>
      <c r="K2512">
        <v>5</v>
      </c>
      <c r="L2512" t="s">
        <v>35</v>
      </c>
      <c r="M2512" t="s">
        <v>36</v>
      </c>
    </row>
    <row r="2513" spans="1:13">
      <c r="A2513" t="s">
        <v>65</v>
      </c>
      <c r="B2513" t="s">
        <v>66</v>
      </c>
      <c r="C2513" t="s">
        <v>67</v>
      </c>
      <c r="D2513" t="s">
        <v>5394</v>
      </c>
      <c r="E2513">
        <v>2</v>
      </c>
      <c r="F2513" t="s">
        <v>5395</v>
      </c>
      <c r="G2513" s="10">
        <v>45380</v>
      </c>
      <c r="H2513">
        <v>65000</v>
      </c>
      <c r="I2513">
        <v>15000</v>
      </c>
      <c r="J2513" t="s">
        <v>163</v>
      </c>
      <c r="K2513">
        <v>5</v>
      </c>
      <c r="L2513" t="s">
        <v>35</v>
      </c>
      <c r="M2513" t="s">
        <v>27</v>
      </c>
    </row>
    <row r="2514" spans="1:13">
      <c r="A2514" t="s">
        <v>1749</v>
      </c>
      <c r="B2514" t="s">
        <v>179</v>
      </c>
      <c r="C2514" t="s">
        <v>45</v>
      </c>
      <c r="D2514" t="s">
        <v>4799</v>
      </c>
      <c r="E2514">
        <v>2</v>
      </c>
      <c r="F2514" t="s">
        <v>5396</v>
      </c>
      <c r="G2514" s="10">
        <v>45379</v>
      </c>
      <c r="H2514">
        <v>386400</v>
      </c>
      <c r="I2514">
        <v>53066.67</v>
      </c>
      <c r="J2514" t="s">
        <v>189</v>
      </c>
      <c r="K2514">
        <v>5</v>
      </c>
      <c r="L2514" t="s">
        <v>44</v>
      </c>
      <c r="M2514" t="s">
        <v>45</v>
      </c>
    </row>
    <row r="2515" spans="1:13">
      <c r="A2515" t="s">
        <v>661</v>
      </c>
      <c r="B2515" t="s">
        <v>179</v>
      </c>
      <c r="C2515" t="s">
        <v>45</v>
      </c>
      <c r="D2515" t="s">
        <v>5145</v>
      </c>
      <c r="E2515">
        <v>2</v>
      </c>
      <c r="F2515" t="s">
        <v>5397</v>
      </c>
      <c r="G2515" s="10">
        <v>45379</v>
      </c>
      <c r="H2515">
        <v>344064</v>
      </c>
      <c r="I2515">
        <v>52397.33</v>
      </c>
      <c r="J2515" t="s">
        <v>2077</v>
      </c>
      <c r="K2515">
        <v>5</v>
      </c>
      <c r="L2515" t="s">
        <v>44</v>
      </c>
      <c r="M2515" t="s">
        <v>45</v>
      </c>
    </row>
    <row r="2516" spans="1:13">
      <c r="A2516" t="s">
        <v>1447</v>
      </c>
      <c r="B2516" t="s">
        <v>179</v>
      </c>
      <c r="C2516" t="s">
        <v>45</v>
      </c>
      <c r="D2516" t="s">
        <v>5398</v>
      </c>
      <c r="E2516">
        <v>2</v>
      </c>
      <c r="F2516" t="s">
        <v>5399</v>
      </c>
      <c r="G2516" s="10">
        <v>45379</v>
      </c>
      <c r="H2516">
        <v>500000</v>
      </c>
      <c r="I2516">
        <v>275000</v>
      </c>
      <c r="J2516" t="s">
        <v>5255</v>
      </c>
      <c r="K2516">
        <v>5</v>
      </c>
      <c r="L2516" t="s">
        <v>44</v>
      </c>
      <c r="M2516" t="s">
        <v>45</v>
      </c>
    </row>
    <row r="2517" spans="1:13">
      <c r="A2517" t="s">
        <v>5400</v>
      </c>
      <c r="B2517" t="s">
        <v>683</v>
      </c>
      <c r="C2517" t="s">
        <v>238</v>
      </c>
      <c r="D2517" t="s">
        <v>5401</v>
      </c>
      <c r="E2517">
        <v>2</v>
      </c>
      <c r="F2517" t="s">
        <v>5402</v>
      </c>
      <c r="G2517" s="10">
        <v>45380</v>
      </c>
      <c r="H2517">
        <v>394800</v>
      </c>
      <c r="I2517">
        <v>86466.67</v>
      </c>
      <c r="J2517" t="s">
        <v>1357</v>
      </c>
      <c r="K2517">
        <v>5</v>
      </c>
      <c r="L2517" t="s">
        <v>41</v>
      </c>
      <c r="M2517" t="s">
        <v>25</v>
      </c>
    </row>
    <row r="2518" spans="1:13">
      <c r="A2518" t="s">
        <v>683</v>
      </c>
      <c r="B2518" t="s">
        <v>37</v>
      </c>
      <c r="C2518" t="s">
        <v>33</v>
      </c>
      <c r="D2518" t="s">
        <v>5403</v>
      </c>
      <c r="E2518">
        <v>1</v>
      </c>
      <c r="F2518" t="s">
        <v>5404</v>
      </c>
      <c r="G2518" s="10">
        <v>45379</v>
      </c>
      <c r="H2518">
        <v>50400</v>
      </c>
      <c r="I2518">
        <v>7066.67</v>
      </c>
      <c r="J2518" t="s">
        <v>1357</v>
      </c>
      <c r="K2518">
        <v>5</v>
      </c>
      <c r="L2518" t="s">
        <v>41</v>
      </c>
      <c r="M2518" t="s">
        <v>25</v>
      </c>
    </row>
    <row r="2519" spans="1:13">
      <c r="A2519" t="s">
        <v>3874</v>
      </c>
      <c r="B2519" t="s">
        <v>179</v>
      </c>
      <c r="C2519" t="s">
        <v>45</v>
      </c>
      <c r="D2519" t="s">
        <v>5405</v>
      </c>
      <c r="E2519">
        <v>4</v>
      </c>
      <c r="F2519" t="s">
        <v>5406</v>
      </c>
      <c r="G2519" s="10">
        <v>45380</v>
      </c>
      <c r="H2519">
        <v>378000</v>
      </c>
      <c r="I2519">
        <v>186333.33</v>
      </c>
      <c r="J2519" t="s">
        <v>189</v>
      </c>
      <c r="K2519">
        <v>5</v>
      </c>
      <c r="L2519" t="s">
        <v>44</v>
      </c>
      <c r="M2519" t="s">
        <v>45</v>
      </c>
    </row>
    <row r="2520" spans="1:13">
      <c r="A2520" t="s">
        <v>3874</v>
      </c>
      <c r="B2520" t="s">
        <v>179</v>
      </c>
      <c r="C2520" t="s">
        <v>45</v>
      </c>
      <c r="D2520" t="s">
        <v>5407</v>
      </c>
      <c r="E2520">
        <v>2</v>
      </c>
      <c r="F2520" t="s">
        <v>5408</v>
      </c>
      <c r="G2520" s="10">
        <v>45380</v>
      </c>
      <c r="H2520">
        <v>352800</v>
      </c>
      <c r="I2520">
        <v>144466.67000000001</v>
      </c>
      <c r="J2520" t="s">
        <v>189</v>
      </c>
      <c r="K2520">
        <v>5</v>
      </c>
      <c r="L2520" t="s">
        <v>44</v>
      </c>
      <c r="M2520" t="s">
        <v>45</v>
      </c>
    </row>
    <row r="2521" spans="1:13">
      <c r="A2521" t="s">
        <v>3874</v>
      </c>
      <c r="B2521" t="s">
        <v>179</v>
      </c>
      <c r="C2521" t="s">
        <v>45</v>
      </c>
      <c r="D2521" t="s">
        <v>5409</v>
      </c>
      <c r="E2521">
        <v>2</v>
      </c>
      <c r="F2521" t="s">
        <v>5410</v>
      </c>
      <c r="G2521" s="10">
        <v>45380</v>
      </c>
      <c r="H2521">
        <v>302400</v>
      </c>
      <c r="I2521">
        <v>152400</v>
      </c>
      <c r="J2521" t="s">
        <v>189</v>
      </c>
      <c r="K2521">
        <v>5</v>
      </c>
      <c r="L2521" t="s">
        <v>44</v>
      </c>
      <c r="M2521" t="s">
        <v>45</v>
      </c>
    </row>
    <row r="2522" spans="1:13">
      <c r="A2522" t="s">
        <v>571</v>
      </c>
      <c r="B2522" t="s">
        <v>179</v>
      </c>
      <c r="C2522" t="s">
        <v>45</v>
      </c>
      <c r="D2522" t="s">
        <v>5411</v>
      </c>
      <c r="E2522">
        <v>2</v>
      </c>
      <c r="F2522" t="s">
        <v>372</v>
      </c>
      <c r="G2522" s="10">
        <v>45380</v>
      </c>
      <c r="H2522">
        <v>336000</v>
      </c>
      <c r="I2522">
        <v>27666.67</v>
      </c>
      <c r="J2522" t="s">
        <v>189</v>
      </c>
      <c r="K2522">
        <v>5</v>
      </c>
      <c r="L2522" t="s">
        <v>44</v>
      </c>
      <c r="M2522" t="s">
        <v>45</v>
      </c>
    </row>
    <row r="2523" spans="1:13">
      <c r="A2523" t="s">
        <v>571</v>
      </c>
      <c r="B2523" t="s">
        <v>179</v>
      </c>
      <c r="C2523" t="s">
        <v>45</v>
      </c>
      <c r="D2523" t="s">
        <v>5412</v>
      </c>
      <c r="E2523">
        <v>2</v>
      </c>
      <c r="F2523" t="s">
        <v>372</v>
      </c>
      <c r="G2523" s="10">
        <v>45380</v>
      </c>
      <c r="H2523">
        <v>420000</v>
      </c>
      <c r="I2523">
        <v>186666.67</v>
      </c>
      <c r="J2523" t="s">
        <v>189</v>
      </c>
      <c r="K2523">
        <v>5</v>
      </c>
      <c r="L2523" t="s">
        <v>44</v>
      </c>
      <c r="M2523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701D-3489-4942-A0E9-431510068CBD}">
  <sheetPr codeName="Sheet7"/>
  <dimension ref="A3:A50"/>
  <sheetViews>
    <sheetView workbookViewId="0"/>
  </sheetViews>
  <sheetFormatPr defaultRowHeight="15"/>
  <cols>
    <col min="1" max="1" width="24.5703125" bestFit="1" customWidth="1"/>
  </cols>
  <sheetData>
    <row r="3" spans="1:1">
      <c r="A3" s="60" t="s">
        <v>5413</v>
      </c>
    </row>
    <row r="4" spans="1:1">
      <c r="A4" s="61" t="s">
        <v>5414</v>
      </c>
    </row>
    <row r="5" spans="1:1">
      <c r="A5" s="62" t="s">
        <v>5415</v>
      </c>
    </row>
    <row r="6" spans="1:1">
      <c r="A6" s="62" t="s">
        <v>118</v>
      </c>
    </row>
    <row r="7" spans="1:1">
      <c r="A7" s="61" t="s">
        <v>5416</v>
      </c>
    </row>
    <row r="8" spans="1:1">
      <c r="A8" s="62" t="s">
        <v>27</v>
      </c>
    </row>
    <row r="9" spans="1:1">
      <c r="A9" s="62" t="s">
        <v>36</v>
      </c>
    </row>
    <row r="10" spans="1:1">
      <c r="A10" s="62" t="s">
        <v>118</v>
      </c>
    </row>
    <row r="11" spans="1:1">
      <c r="A11" s="61" t="s">
        <v>5417</v>
      </c>
    </row>
    <row r="12" spans="1:1">
      <c r="A12" s="62" t="s">
        <v>4881</v>
      </c>
    </row>
    <row r="13" spans="1:1">
      <c r="A13" s="62" t="s">
        <v>1030</v>
      </c>
    </row>
    <row r="14" spans="1:1">
      <c r="A14" s="62" t="s">
        <v>5418</v>
      </c>
    </row>
    <row r="15" spans="1:1">
      <c r="A15" s="62" t="s">
        <v>232</v>
      </c>
    </row>
    <row r="16" spans="1:1">
      <c r="A16" s="62" t="s">
        <v>5419</v>
      </c>
    </row>
    <row r="17" spans="1:1">
      <c r="A17" s="61" t="s">
        <v>5420</v>
      </c>
    </row>
    <row r="18" spans="1:1">
      <c r="A18" s="62" t="s">
        <v>25</v>
      </c>
    </row>
    <row r="19" spans="1:1">
      <c r="A19" s="62" t="s">
        <v>5421</v>
      </c>
    </row>
    <row r="20" spans="1:1">
      <c r="A20" s="62" t="s">
        <v>5422</v>
      </c>
    </row>
    <row r="21" spans="1:1">
      <c r="A21" s="62" t="s">
        <v>33</v>
      </c>
    </row>
    <row r="22" spans="1:1">
      <c r="A22" s="62" t="s">
        <v>5418</v>
      </c>
    </row>
    <row r="23" spans="1:1">
      <c r="A23" s="61" t="s">
        <v>5423</v>
      </c>
    </row>
    <row r="24" spans="1:1">
      <c r="A24" s="62" t="s">
        <v>5424</v>
      </c>
    </row>
    <row r="25" spans="1:1">
      <c r="A25" s="61" t="s">
        <v>5425</v>
      </c>
    </row>
    <row r="26" spans="1:1">
      <c r="A26" s="62" t="s">
        <v>45</v>
      </c>
    </row>
    <row r="27" spans="1:1">
      <c r="A27" s="62" t="s">
        <v>48</v>
      </c>
    </row>
    <row r="28" spans="1:1">
      <c r="A28" s="62" t="s">
        <v>5415</v>
      </c>
    </row>
    <row r="29" spans="1:1">
      <c r="A29" s="62" t="s">
        <v>5426</v>
      </c>
    </row>
    <row r="30" spans="1:1">
      <c r="A30" s="62" t="s">
        <v>5427</v>
      </c>
    </row>
    <row r="31" spans="1:1">
      <c r="A31" s="62" t="s">
        <v>5428</v>
      </c>
    </row>
    <row r="32" spans="1:1">
      <c r="A32" s="61" t="s">
        <v>5415</v>
      </c>
    </row>
    <row r="33" spans="1:1">
      <c r="A33" s="62" t="s">
        <v>1030</v>
      </c>
    </row>
    <row r="34" spans="1:1">
      <c r="A34" s="62" t="s">
        <v>5415</v>
      </c>
    </row>
    <row r="35" spans="1:1">
      <c r="A35" s="62" t="s">
        <v>5427</v>
      </c>
    </row>
    <row r="36" spans="1:1">
      <c r="A36" s="62" t="s">
        <v>5429</v>
      </c>
    </row>
    <row r="37" spans="1:1">
      <c r="A37" s="61" t="s">
        <v>5430</v>
      </c>
    </row>
    <row r="38" spans="1:1">
      <c r="A38" s="62" t="s">
        <v>5422</v>
      </c>
    </row>
    <row r="39" spans="1:1">
      <c r="A39" s="62" t="s">
        <v>5415</v>
      </c>
    </row>
    <row r="40" spans="1:1">
      <c r="A40" s="62" t="s">
        <v>5431</v>
      </c>
    </row>
    <row r="41" spans="1:1">
      <c r="A41" s="62" t="s">
        <v>5432</v>
      </c>
    </row>
    <row r="42" spans="1:1">
      <c r="A42" s="62" t="s">
        <v>5433</v>
      </c>
    </row>
    <row r="43" spans="1:1">
      <c r="A43" s="62" t="s">
        <v>5434</v>
      </c>
    </row>
    <row r="44" spans="1:1">
      <c r="A44" s="61" t="s">
        <v>5435</v>
      </c>
    </row>
    <row r="45" spans="1:1">
      <c r="A45" s="62" t="s">
        <v>4881</v>
      </c>
    </row>
    <row r="46" spans="1:1">
      <c r="A46" s="61" t="s">
        <v>5436</v>
      </c>
    </row>
    <row r="47" spans="1:1">
      <c r="A47" s="62" t="s">
        <v>350</v>
      </c>
    </row>
    <row r="48" spans="1:1">
      <c r="A48" s="61" t="s">
        <v>5437</v>
      </c>
    </row>
    <row r="49" spans="1:1">
      <c r="A49" s="62" t="s">
        <v>5437</v>
      </c>
    </row>
    <row r="50" spans="1:1">
      <c r="A50" s="61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6913-59AD-43CB-87C2-2EF349E6243F}">
  <sheetPr codeName="Sheet8"/>
  <dimension ref="A1:P213"/>
  <sheetViews>
    <sheetView workbookViewId="0"/>
  </sheetViews>
  <sheetFormatPr defaultRowHeight="15"/>
  <cols>
    <col min="1" max="1" width="20.7109375" bestFit="1" customWidth="1"/>
    <col min="7" max="7" width="20.5703125" bestFit="1" customWidth="1"/>
    <col min="9" max="9" width="23.7109375" customWidth="1"/>
    <col min="10" max="10" width="38" customWidth="1"/>
    <col min="11" max="11" width="31" customWidth="1"/>
    <col min="12" max="12" width="36.7109375" customWidth="1"/>
    <col min="14" max="14" width="18.85546875" bestFit="1" customWidth="1"/>
  </cols>
  <sheetData>
    <row r="1" spans="1:16">
      <c r="G1" s="6" t="s">
        <v>5438</v>
      </c>
      <c r="I1" s="2" t="s">
        <v>20</v>
      </c>
      <c r="J1" s="2" t="s">
        <v>5439</v>
      </c>
      <c r="K1" s="2" t="s">
        <v>5440</v>
      </c>
      <c r="L1" s="2" t="s">
        <v>5441</v>
      </c>
      <c r="N1" s="6" t="s">
        <v>5442</v>
      </c>
      <c r="P1" t="s">
        <v>5442</v>
      </c>
    </row>
    <row r="2" spans="1:16">
      <c r="G2" s="2" t="s">
        <v>719</v>
      </c>
      <c r="I2" s="2" t="s">
        <v>5443</v>
      </c>
      <c r="J2" s="185" t="s">
        <v>5444</v>
      </c>
      <c r="K2" s="2" t="s">
        <v>25</v>
      </c>
      <c r="L2" s="76" t="s">
        <v>5445</v>
      </c>
      <c r="N2" s="2" t="s">
        <v>719</v>
      </c>
      <c r="P2" t="s">
        <v>719</v>
      </c>
    </row>
    <row r="3" spans="1:16">
      <c r="A3" s="60" t="s">
        <v>5413</v>
      </c>
      <c r="G3" s="2" t="s">
        <v>48</v>
      </c>
      <c r="I3" s="2" t="s">
        <v>5443</v>
      </c>
      <c r="J3" s="185"/>
      <c r="K3" s="2" t="s">
        <v>5421</v>
      </c>
      <c r="L3" s="2" t="s">
        <v>5446</v>
      </c>
      <c r="N3" s="42" t="s">
        <v>1983</v>
      </c>
      <c r="P3" t="s">
        <v>1983</v>
      </c>
    </row>
    <row r="4" spans="1:16">
      <c r="A4" s="61" t="s">
        <v>25</v>
      </c>
      <c r="G4" s="2" t="s">
        <v>45</v>
      </c>
      <c r="I4" s="2" t="s">
        <v>5443</v>
      </c>
      <c r="J4" s="185"/>
      <c r="K4" s="2" t="s">
        <v>33</v>
      </c>
      <c r="L4" s="76" t="s">
        <v>5447</v>
      </c>
      <c r="N4" s="72" t="s">
        <v>5448</v>
      </c>
      <c r="P4" t="s">
        <v>5448</v>
      </c>
    </row>
    <row r="5" spans="1:16">
      <c r="A5" s="61" t="s">
        <v>5424</v>
      </c>
      <c r="G5" s="2" t="s">
        <v>48</v>
      </c>
      <c r="I5" s="2" t="s">
        <v>5443</v>
      </c>
      <c r="J5" s="185"/>
      <c r="K5" s="2" t="s">
        <v>5449</v>
      </c>
      <c r="L5" s="2" t="s">
        <v>5450</v>
      </c>
      <c r="N5" s="42" t="s">
        <v>1983</v>
      </c>
      <c r="P5" t="s">
        <v>683</v>
      </c>
    </row>
    <row r="6" spans="1:16">
      <c r="A6" s="61" t="s">
        <v>27</v>
      </c>
      <c r="G6" s="2" t="s">
        <v>45</v>
      </c>
      <c r="I6" s="2" t="s">
        <v>5430</v>
      </c>
      <c r="J6" s="185" t="s">
        <v>5451</v>
      </c>
      <c r="K6" s="2" t="s">
        <v>5452</v>
      </c>
      <c r="L6" s="76" t="s">
        <v>5453</v>
      </c>
      <c r="N6" s="72" t="s">
        <v>5448</v>
      </c>
      <c r="P6" t="s">
        <v>5454</v>
      </c>
    </row>
    <row r="7" spans="1:16">
      <c r="A7" s="61" t="s">
        <v>5421</v>
      </c>
      <c r="G7" s="2" t="s">
        <v>45</v>
      </c>
      <c r="I7" s="2" t="s">
        <v>5430</v>
      </c>
      <c r="J7" s="185"/>
      <c r="K7" s="2" t="s">
        <v>5455</v>
      </c>
      <c r="L7" s="2" t="s">
        <v>5456</v>
      </c>
      <c r="N7" s="72" t="s">
        <v>5448</v>
      </c>
      <c r="P7" t="s">
        <v>28</v>
      </c>
    </row>
    <row r="8" spans="1:16">
      <c r="A8" s="61" t="s">
        <v>45</v>
      </c>
      <c r="G8" s="2" t="s">
        <v>48</v>
      </c>
      <c r="I8" s="2" t="s">
        <v>5430</v>
      </c>
      <c r="J8" s="185"/>
      <c r="K8" s="2" t="s">
        <v>5431</v>
      </c>
      <c r="L8" s="2" t="s">
        <v>5457</v>
      </c>
      <c r="N8" s="42" t="s">
        <v>1983</v>
      </c>
      <c r="P8" t="s">
        <v>5458</v>
      </c>
    </row>
    <row r="9" spans="1:16">
      <c r="A9" s="61" t="s">
        <v>36</v>
      </c>
      <c r="G9" s="2" t="s">
        <v>25</v>
      </c>
      <c r="I9" s="2" t="s">
        <v>5459</v>
      </c>
      <c r="J9" s="185" t="s">
        <v>5460</v>
      </c>
      <c r="K9" s="2" t="s">
        <v>48</v>
      </c>
      <c r="L9" s="76" t="s">
        <v>5461</v>
      </c>
      <c r="N9" s="2" t="s">
        <v>683</v>
      </c>
      <c r="P9" t="s">
        <v>5462</v>
      </c>
    </row>
    <row r="10" spans="1:16">
      <c r="A10" s="61" t="s">
        <v>5422</v>
      </c>
      <c r="G10" s="2" t="s">
        <v>5421</v>
      </c>
      <c r="I10" s="2" t="s">
        <v>5459</v>
      </c>
      <c r="J10" s="185"/>
      <c r="K10" s="2" t="s">
        <v>45</v>
      </c>
      <c r="L10" s="76" t="s">
        <v>5463</v>
      </c>
      <c r="N10" s="42" t="s">
        <v>5454</v>
      </c>
      <c r="P10" t="s">
        <v>141</v>
      </c>
    </row>
    <row r="11" spans="1:16">
      <c r="A11" s="61" t="s">
        <v>33</v>
      </c>
      <c r="G11" s="2" t="s">
        <v>48</v>
      </c>
      <c r="I11" s="2" t="s">
        <v>5459</v>
      </c>
      <c r="J11" s="185"/>
      <c r="K11" s="2" t="s">
        <v>5426</v>
      </c>
      <c r="L11" s="76" t="s">
        <v>5464</v>
      </c>
      <c r="N11" s="42" t="s">
        <v>1983</v>
      </c>
      <c r="P11" t="s">
        <v>5465</v>
      </c>
    </row>
    <row r="12" spans="1:16">
      <c r="A12" s="61" t="s">
        <v>48</v>
      </c>
      <c r="G12" s="2" t="s">
        <v>33</v>
      </c>
      <c r="I12" s="2" t="s">
        <v>5459</v>
      </c>
      <c r="J12" s="185"/>
      <c r="K12" s="2" t="s">
        <v>5466</v>
      </c>
      <c r="L12" s="76" t="s">
        <v>5467</v>
      </c>
      <c r="N12" s="2" t="s">
        <v>683</v>
      </c>
      <c r="P12" t="s">
        <v>112</v>
      </c>
    </row>
    <row r="13" spans="1:16">
      <c r="A13" s="61" t="s">
        <v>4881</v>
      </c>
      <c r="G13" s="2" t="s">
        <v>45</v>
      </c>
      <c r="I13" s="2" t="s">
        <v>5468</v>
      </c>
      <c r="J13" s="185" t="s">
        <v>5469</v>
      </c>
      <c r="K13" s="2" t="s">
        <v>719</v>
      </c>
      <c r="L13" s="2" t="s">
        <v>5470</v>
      </c>
      <c r="N13" s="72" t="s">
        <v>5448</v>
      </c>
      <c r="P13">
        <v>0</v>
      </c>
    </row>
    <row r="14" spans="1:16">
      <c r="A14" s="61" t="s">
        <v>1030</v>
      </c>
      <c r="G14" s="2" t="s">
        <v>45</v>
      </c>
      <c r="I14" s="2" t="s">
        <v>5468</v>
      </c>
      <c r="J14" s="185"/>
      <c r="K14" s="2" t="s">
        <v>4881</v>
      </c>
      <c r="L14" s="76" t="s">
        <v>5471</v>
      </c>
      <c r="N14" s="72" t="s">
        <v>5448</v>
      </c>
      <c r="P14" t="s">
        <v>5472</v>
      </c>
    </row>
    <row r="15" spans="1:16">
      <c r="A15" s="61" t="s">
        <v>5415</v>
      </c>
      <c r="G15" s="2" t="s">
        <v>45</v>
      </c>
      <c r="I15" s="2" t="s">
        <v>5468</v>
      </c>
      <c r="J15" s="185"/>
      <c r="K15" s="2" t="s">
        <v>5473</v>
      </c>
      <c r="L15" s="2" t="s">
        <v>5474</v>
      </c>
      <c r="N15" s="72" t="s">
        <v>5448</v>
      </c>
      <c r="P15" t="s">
        <v>118</v>
      </c>
    </row>
    <row r="16" spans="1:16">
      <c r="A16" s="61" t="s">
        <v>118</v>
      </c>
      <c r="G16" s="2" t="s">
        <v>45</v>
      </c>
      <c r="I16" s="2" t="s">
        <v>5468</v>
      </c>
      <c r="J16" s="185"/>
      <c r="K16" s="2" t="s">
        <v>1030</v>
      </c>
      <c r="L16" s="2" t="s">
        <v>5475</v>
      </c>
      <c r="N16" s="72" t="s">
        <v>5448</v>
      </c>
      <c r="P16" t="s">
        <v>2380</v>
      </c>
    </row>
    <row r="17" spans="1:16">
      <c r="A17" s="61" t="s">
        <v>5431</v>
      </c>
      <c r="G17" s="2" t="s">
        <v>5476</v>
      </c>
      <c r="I17" s="2" t="s">
        <v>5468</v>
      </c>
      <c r="J17" s="185"/>
      <c r="K17" s="2" t="s">
        <v>5477</v>
      </c>
      <c r="L17" s="76" t="s">
        <v>5478</v>
      </c>
      <c r="N17" s="42" t="s">
        <v>5454</v>
      </c>
      <c r="P17" t="s">
        <v>5479</v>
      </c>
    </row>
    <row r="18" spans="1:16">
      <c r="A18" s="61" t="s">
        <v>5418</v>
      </c>
      <c r="G18" s="2" t="s">
        <v>25</v>
      </c>
      <c r="I18" s="2" t="s">
        <v>5480</v>
      </c>
      <c r="J18" s="185" t="s">
        <v>5481</v>
      </c>
      <c r="K18" s="2" t="s">
        <v>118</v>
      </c>
      <c r="L18" s="2" t="s">
        <v>5482</v>
      </c>
      <c r="N18" s="42" t="s">
        <v>28</v>
      </c>
      <c r="P18" t="s">
        <v>5449</v>
      </c>
    </row>
    <row r="19" spans="1:16">
      <c r="A19" s="61" t="s">
        <v>232</v>
      </c>
      <c r="G19" s="2" t="s">
        <v>45</v>
      </c>
      <c r="I19" s="2" t="s">
        <v>5483</v>
      </c>
      <c r="J19" s="185"/>
      <c r="K19" s="2" t="s">
        <v>27</v>
      </c>
      <c r="L19" s="76" t="s">
        <v>5484</v>
      </c>
      <c r="N19" s="72" t="s">
        <v>5448</v>
      </c>
      <c r="P19" t="s">
        <v>5485</v>
      </c>
    </row>
    <row r="20" spans="1:16">
      <c r="A20" s="61" t="s">
        <v>5426</v>
      </c>
      <c r="G20" s="2" t="s">
        <v>5434</v>
      </c>
      <c r="I20" s="2" t="s">
        <v>5483</v>
      </c>
      <c r="J20" s="185"/>
      <c r="K20" s="2" t="s">
        <v>36</v>
      </c>
      <c r="L20" s="76" t="s">
        <v>5486</v>
      </c>
      <c r="N20" s="42" t="s">
        <v>5458</v>
      </c>
      <c r="P20" t="s">
        <v>1030</v>
      </c>
    </row>
    <row r="21" spans="1:16">
      <c r="A21" s="61" t="s">
        <v>5432</v>
      </c>
      <c r="G21" s="2" t="s">
        <v>45</v>
      </c>
      <c r="N21" s="72" t="s">
        <v>5448</v>
      </c>
      <c r="P21" t="s">
        <v>5487</v>
      </c>
    </row>
    <row r="22" spans="1:16">
      <c r="A22" s="61" t="s">
        <v>5433</v>
      </c>
      <c r="G22" s="2" t="s">
        <v>5434</v>
      </c>
      <c r="N22" s="42" t="s">
        <v>5458</v>
      </c>
      <c r="P22" t="s">
        <v>5488</v>
      </c>
    </row>
    <row r="23" spans="1:16">
      <c r="A23" s="61" t="s">
        <v>5434</v>
      </c>
      <c r="G23" s="2" t="s">
        <v>48</v>
      </c>
      <c r="N23" s="42" t="s">
        <v>1983</v>
      </c>
      <c r="P23" t="s">
        <v>160</v>
      </c>
    </row>
    <row r="24" spans="1:16">
      <c r="A24" s="61" t="s">
        <v>5427</v>
      </c>
      <c r="G24" s="2" t="s">
        <v>45</v>
      </c>
      <c r="N24" s="72" t="s">
        <v>5448</v>
      </c>
      <c r="P24" t="s">
        <v>5489</v>
      </c>
    </row>
    <row r="25" spans="1:16">
      <c r="A25" s="61" t="s">
        <v>5419</v>
      </c>
      <c r="G25" s="2" t="s">
        <v>4881</v>
      </c>
      <c r="N25" s="42" t="s">
        <v>5462</v>
      </c>
      <c r="P25" t="s">
        <v>36</v>
      </c>
    </row>
    <row r="26" spans="1:16">
      <c r="A26" s="61" t="s">
        <v>350</v>
      </c>
      <c r="G26" s="2" t="s">
        <v>45</v>
      </c>
      <c r="N26" s="72" t="s">
        <v>5448</v>
      </c>
      <c r="P26" t="s">
        <v>5424</v>
      </c>
    </row>
    <row r="27" spans="1:16">
      <c r="A27" s="61" t="s">
        <v>5428</v>
      </c>
      <c r="G27" s="2" t="s">
        <v>5455</v>
      </c>
      <c r="N27" s="42" t="s">
        <v>5458</v>
      </c>
      <c r="P27" t="s">
        <v>5433</v>
      </c>
    </row>
    <row r="28" spans="1:16">
      <c r="A28" s="61" t="s">
        <v>5437</v>
      </c>
      <c r="G28" s="2" t="s">
        <v>48</v>
      </c>
      <c r="N28" s="42" t="s">
        <v>1983</v>
      </c>
      <c r="P28" t="s">
        <v>5422</v>
      </c>
    </row>
    <row r="29" spans="1:16">
      <c r="A29" s="61" t="s">
        <v>5429</v>
      </c>
      <c r="G29" s="2" t="s">
        <v>5426</v>
      </c>
      <c r="N29" s="42" t="s">
        <v>1983</v>
      </c>
      <c r="P29" t="s">
        <v>5490</v>
      </c>
    </row>
    <row r="30" spans="1:16">
      <c r="A30" s="61" t="s">
        <v>53</v>
      </c>
      <c r="G30" s="2" t="s">
        <v>27</v>
      </c>
      <c r="N30" s="2" t="s">
        <v>141</v>
      </c>
      <c r="P30" t="s">
        <v>350</v>
      </c>
    </row>
    <row r="31" spans="1:16" ht="15.75">
      <c r="G31" s="47" t="s">
        <v>25</v>
      </c>
      <c r="N31" s="2" t="s">
        <v>683</v>
      </c>
      <c r="P31" t="s">
        <v>4881</v>
      </c>
    </row>
    <row r="32" spans="1:16">
      <c r="G32" s="2" t="s">
        <v>5421</v>
      </c>
      <c r="N32" s="42" t="s">
        <v>5465</v>
      </c>
      <c r="P32" t="s">
        <v>5432</v>
      </c>
    </row>
    <row r="33" spans="7:16">
      <c r="G33" s="2" t="s">
        <v>5455</v>
      </c>
      <c r="N33" s="42" t="s">
        <v>5458</v>
      </c>
      <c r="P33" t="s">
        <v>5491</v>
      </c>
    </row>
    <row r="34" spans="7:16">
      <c r="G34" s="2" t="s">
        <v>113</v>
      </c>
      <c r="N34" s="42" t="s">
        <v>112</v>
      </c>
      <c r="P34" t="s">
        <v>5492</v>
      </c>
    </row>
    <row r="35" spans="7:16">
      <c r="G35" s="2" t="s">
        <v>113</v>
      </c>
      <c r="N35" s="42" t="s">
        <v>112</v>
      </c>
      <c r="P35" t="s">
        <v>5426</v>
      </c>
    </row>
    <row r="36" spans="7:16">
      <c r="G36" s="2" t="s">
        <v>25</v>
      </c>
      <c r="N36" s="2" t="s">
        <v>683</v>
      </c>
    </row>
    <row r="37" spans="7:16">
      <c r="G37" s="2" t="s">
        <v>25</v>
      </c>
      <c r="N37" s="2" t="s">
        <v>683</v>
      </c>
    </row>
    <row r="38" spans="7:16">
      <c r="G38" s="2" t="s">
        <v>45</v>
      </c>
      <c r="N38" s="72" t="s">
        <v>5448</v>
      </c>
    </row>
    <row r="39" spans="7:16">
      <c r="G39" s="2" t="s">
        <v>33</v>
      </c>
      <c r="N39" s="2"/>
    </row>
    <row r="40" spans="7:16">
      <c r="G40" s="19" t="s">
        <v>5473</v>
      </c>
      <c r="N40" s="42" t="s">
        <v>5472</v>
      </c>
    </row>
    <row r="41" spans="7:16">
      <c r="G41" s="19" t="s">
        <v>5473</v>
      </c>
      <c r="N41" s="42" t="s">
        <v>5472</v>
      </c>
    </row>
    <row r="42" spans="7:16">
      <c r="G42" s="19" t="s">
        <v>5473</v>
      </c>
      <c r="N42" s="42" t="s">
        <v>5472</v>
      </c>
    </row>
    <row r="43" spans="7:16">
      <c r="G43" s="19" t="s">
        <v>5473</v>
      </c>
      <c r="N43" s="42" t="s">
        <v>5472</v>
      </c>
    </row>
    <row r="44" spans="7:16">
      <c r="G44" s="19" t="s">
        <v>5473</v>
      </c>
      <c r="N44" s="42" t="s">
        <v>5472</v>
      </c>
    </row>
    <row r="45" spans="7:16">
      <c r="G45" s="19" t="s">
        <v>5473</v>
      </c>
      <c r="N45" s="42" t="s">
        <v>5472</v>
      </c>
    </row>
    <row r="46" spans="7:16">
      <c r="G46" s="19" t="s">
        <v>5473</v>
      </c>
      <c r="N46" s="42" t="s">
        <v>5472</v>
      </c>
    </row>
    <row r="47" spans="7:16">
      <c r="G47" s="19" t="s">
        <v>5473</v>
      </c>
      <c r="N47" s="42" t="s">
        <v>5472</v>
      </c>
    </row>
    <row r="48" spans="7:16">
      <c r="G48" s="2" t="s">
        <v>118</v>
      </c>
      <c r="N48" s="42" t="s">
        <v>118</v>
      </c>
    </row>
    <row r="49" spans="7:14">
      <c r="G49" s="2" t="s">
        <v>118</v>
      </c>
      <c r="N49" s="42" t="s">
        <v>118</v>
      </c>
    </row>
    <row r="50" spans="7:14">
      <c r="G50" s="2" t="s">
        <v>4881</v>
      </c>
      <c r="N50" s="75" t="s">
        <v>2380</v>
      </c>
    </row>
    <row r="51" spans="7:14">
      <c r="G51" s="2" t="s">
        <v>719</v>
      </c>
      <c r="N51" s="2" t="s">
        <v>719</v>
      </c>
    </row>
    <row r="52" spans="7:14">
      <c r="G52" s="2" t="s">
        <v>32</v>
      </c>
      <c r="N52" s="42" t="s">
        <v>118</v>
      </c>
    </row>
    <row r="53" spans="7:14">
      <c r="G53" s="2" t="s">
        <v>33</v>
      </c>
      <c r="N53" s="2"/>
    </row>
    <row r="54" spans="7:14">
      <c r="G54" s="2" t="s">
        <v>118</v>
      </c>
      <c r="N54" s="42" t="s">
        <v>118</v>
      </c>
    </row>
    <row r="55" spans="7:14">
      <c r="G55" s="2" t="s">
        <v>5431</v>
      </c>
      <c r="N55" s="42" t="s">
        <v>5479</v>
      </c>
    </row>
    <row r="56" spans="7:14">
      <c r="G56" s="2" t="s">
        <v>113</v>
      </c>
      <c r="N56" s="42" t="s">
        <v>112</v>
      </c>
    </row>
    <row r="57" spans="7:14">
      <c r="G57" s="2" t="s">
        <v>5493</v>
      </c>
      <c r="N57" s="42" t="s">
        <v>28</v>
      </c>
    </row>
    <row r="58" spans="7:14">
      <c r="G58" s="48" t="s">
        <v>32</v>
      </c>
      <c r="N58" s="42" t="s">
        <v>118</v>
      </c>
    </row>
    <row r="59" spans="7:14">
      <c r="G59" s="2" t="s">
        <v>33</v>
      </c>
      <c r="N59" s="2" t="s">
        <v>5449</v>
      </c>
    </row>
    <row r="60" spans="7:14">
      <c r="G60" s="2" t="s">
        <v>5421</v>
      </c>
      <c r="N60" s="2"/>
    </row>
    <row r="61" spans="7:14">
      <c r="G61" s="2" t="s">
        <v>5421</v>
      </c>
      <c r="N61" s="2"/>
    </row>
    <row r="62" spans="7:14">
      <c r="G62" s="2" t="s">
        <v>5421</v>
      </c>
      <c r="N62" s="42" t="s">
        <v>5454</v>
      </c>
    </row>
    <row r="63" spans="7:14">
      <c r="G63" s="2" t="s">
        <v>5493</v>
      </c>
      <c r="N63" s="42" t="s">
        <v>28</v>
      </c>
    </row>
    <row r="64" spans="7:14">
      <c r="G64" s="2" t="s">
        <v>5493</v>
      </c>
      <c r="N64" s="42" t="s">
        <v>5485</v>
      </c>
    </row>
    <row r="65" spans="7:14">
      <c r="G65" s="2" t="s">
        <v>25</v>
      </c>
      <c r="N65" s="2" t="s">
        <v>683</v>
      </c>
    </row>
    <row r="66" spans="7:14">
      <c r="G66" s="2" t="s">
        <v>5431</v>
      </c>
      <c r="N66" s="42" t="s">
        <v>5479</v>
      </c>
    </row>
    <row r="67" spans="7:14">
      <c r="G67" s="2" t="s">
        <v>33</v>
      </c>
      <c r="N67" s="2"/>
    </row>
    <row r="68" spans="7:14">
      <c r="G68" s="2" t="s">
        <v>1511</v>
      </c>
      <c r="N68" s="75" t="s">
        <v>2380</v>
      </c>
    </row>
    <row r="69" spans="7:14">
      <c r="G69" s="2" t="s">
        <v>113</v>
      </c>
      <c r="N69" s="2" t="s">
        <v>112</v>
      </c>
    </row>
    <row r="70" spans="7:14">
      <c r="G70" s="2" t="s">
        <v>5494</v>
      </c>
      <c r="N70" s="42" t="s">
        <v>118</v>
      </c>
    </row>
    <row r="71" spans="7:14">
      <c r="G71" s="2" t="s">
        <v>5431</v>
      </c>
      <c r="N71" s="42" t="s">
        <v>5479</v>
      </c>
    </row>
    <row r="72" spans="7:14">
      <c r="G72" s="2" t="s">
        <v>5421</v>
      </c>
      <c r="N72" s="2" t="s">
        <v>5449</v>
      </c>
    </row>
    <row r="73" spans="7:14">
      <c r="G73" s="2" t="s">
        <v>1030</v>
      </c>
      <c r="N73" s="2" t="s">
        <v>1030</v>
      </c>
    </row>
    <row r="74" spans="7:14">
      <c r="G74" s="2" t="s">
        <v>49</v>
      </c>
      <c r="N74" s="42" t="s">
        <v>1983</v>
      </c>
    </row>
    <row r="75" spans="7:14">
      <c r="G75" s="2" t="s">
        <v>5431</v>
      </c>
      <c r="N75" s="42" t="s">
        <v>5479</v>
      </c>
    </row>
    <row r="76" spans="7:14">
      <c r="G76" s="2" t="s">
        <v>28</v>
      </c>
      <c r="N76" s="2" t="s">
        <v>5487</v>
      </c>
    </row>
    <row r="77" spans="7:14">
      <c r="G77" s="70" t="s">
        <v>4881</v>
      </c>
      <c r="N77" s="42" t="s">
        <v>5488</v>
      </c>
    </row>
    <row r="78" spans="7:14">
      <c r="G78" s="2" t="s">
        <v>41</v>
      </c>
      <c r="N78" s="2"/>
    </row>
    <row r="79" spans="7:14">
      <c r="G79" s="2" t="s">
        <v>25</v>
      </c>
      <c r="N79" s="2" t="s">
        <v>683</v>
      </c>
    </row>
    <row r="80" spans="7:14">
      <c r="G80" s="2" t="s">
        <v>5431</v>
      </c>
      <c r="N80" s="42" t="s">
        <v>5479</v>
      </c>
    </row>
    <row r="81" spans="7:14">
      <c r="G81" s="2" t="s">
        <v>41</v>
      </c>
      <c r="N81" s="2"/>
    </row>
    <row r="82" spans="7:14">
      <c r="G82" s="2"/>
      <c r="N82" s="2"/>
    </row>
    <row r="83" spans="7:14">
      <c r="G83" s="2" t="s">
        <v>5449</v>
      </c>
      <c r="N83" s="2" t="s">
        <v>5449</v>
      </c>
    </row>
    <row r="84" spans="7:14">
      <c r="G84" s="2" t="s">
        <v>5449</v>
      </c>
      <c r="N84" s="2" t="s">
        <v>5449</v>
      </c>
    </row>
    <row r="85" spans="7:14">
      <c r="G85" s="2" t="s">
        <v>45</v>
      </c>
      <c r="N85" s="72" t="s">
        <v>5448</v>
      </c>
    </row>
    <row r="86" spans="7:14">
      <c r="G86" s="2"/>
      <c r="N86" s="42"/>
    </row>
    <row r="87" spans="7:14">
      <c r="G87" s="2" t="s">
        <v>27</v>
      </c>
      <c r="N87" s="42" t="s">
        <v>141</v>
      </c>
    </row>
    <row r="88" spans="7:14">
      <c r="G88" s="2" t="s">
        <v>27</v>
      </c>
      <c r="N88" s="42" t="s">
        <v>160</v>
      </c>
    </row>
    <row r="89" spans="7:14">
      <c r="G89" s="69" t="s">
        <v>118</v>
      </c>
      <c r="N89" s="69" t="s">
        <v>141</v>
      </c>
    </row>
    <row r="90" spans="7:14">
      <c r="G90" s="2" t="s">
        <v>5466</v>
      </c>
      <c r="N90" s="73" t="s">
        <v>5489</v>
      </c>
    </row>
    <row r="91" spans="7:14">
      <c r="G91" s="2" t="s">
        <v>28</v>
      </c>
      <c r="N91" s="42" t="s">
        <v>28</v>
      </c>
    </row>
    <row r="92" spans="7:14">
      <c r="G92" s="2" t="s">
        <v>5455</v>
      </c>
      <c r="N92" s="2"/>
    </row>
    <row r="93" spans="7:14">
      <c r="G93" s="2" t="s">
        <v>25</v>
      </c>
      <c r="N93" s="42" t="s">
        <v>28</v>
      </c>
    </row>
    <row r="94" spans="7:14">
      <c r="G94" s="2" t="s">
        <v>5476</v>
      </c>
      <c r="N94" s="2"/>
    </row>
    <row r="95" spans="7:14">
      <c r="G95" s="2" t="s">
        <v>36</v>
      </c>
      <c r="N95" s="2" t="s">
        <v>36</v>
      </c>
    </row>
    <row r="96" spans="7:14">
      <c r="G96" s="2" t="s">
        <v>36</v>
      </c>
      <c r="N96" s="2" t="s">
        <v>36</v>
      </c>
    </row>
    <row r="97" spans="7:14">
      <c r="G97" s="2" t="s">
        <v>36</v>
      </c>
      <c r="N97" s="2" t="s">
        <v>36</v>
      </c>
    </row>
    <row r="98" spans="7:14">
      <c r="G98" s="2" t="s">
        <v>36</v>
      </c>
      <c r="N98" s="2" t="s">
        <v>36</v>
      </c>
    </row>
    <row r="99" spans="7:14">
      <c r="G99" s="2" t="s">
        <v>25</v>
      </c>
      <c r="N99" s="2" t="s">
        <v>683</v>
      </c>
    </row>
    <row r="100" spans="7:14">
      <c r="G100" s="70" t="s">
        <v>4881</v>
      </c>
      <c r="N100" s="42" t="s">
        <v>5488</v>
      </c>
    </row>
    <row r="101" spans="7:14">
      <c r="G101" s="2" t="s">
        <v>37</v>
      </c>
      <c r="N101" s="42" t="s">
        <v>683</v>
      </c>
    </row>
    <row r="102" spans="7:14">
      <c r="G102" s="2" t="s">
        <v>27</v>
      </c>
      <c r="N102" s="42" t="s">
        <v>5485</v>
      </c>
    </row>
    <row r="103" spans="7:14">
      <c r="G103" s="2" t="s">
        <v>5495</v>
      </c>
      <c r="N103" s="2"/>
    </row>
    <row r="104" spans="7:14">
      <c r="G104" s="69" t="s">
        <v>29</v>
      </c>
      <c r="N104" s="42" t="s">
        <v>160</v>
      </c>
    </row>
    <row r="105" spans="7:14">
      <c r="G105" s="2" t="s">
        <v>5431</v>
      </c>
      <c r="N105" s="42" t="s">
        <v>5479</v>
      </c>
    </row>
    <row r="106" spans="7:14">
      <c r="G106" s="2" t="s">
        <v>27</v>
      </c>
      <c r="N106" s="2" t="s">
        <v>141</v>
      </c>
    </row>
    <row r="107" spans="7:14">
      <c r="G107" s="2" t="s">
        <v>719</v>
      </c>
      <c r="N107" s="2" t="s">
        <v>719</v>
      </c>
    </row>
    <row r="108" spans="7:14">
      <c r="G108" s="2" t="s">
        <v>5493</v>
      </c>
      <c r="N108" s="42" t="s">
        <v>28</v>
      </c>
    </row>
    <row r="109" spans="7:14">
      <c r="G109" s="2" t="s">
        <v>113</v>
      </c>
      <c r="N109" s="42" t="s">
        <v>112</v>
      </c>
    </row>
    <row r="110" spans="7:14">
      <c r="G110" s="19" t="s">
        <v>5473</v>
      </c>
      <c r="N110" s="42" t="s">
        <v>5472</v>
      </c>
    </row>
    <row r="111" spans="7:14">
      <c r="G111" s="2" t="s">
        <v>45</v>
      </c>
      <c r="N111" s="72" t="s">
        <v>5448</v>
      </c>
    </row>
    <row r="112" spans="7:14">
      <c r="G112" s="2" t="s">
        <v>25</v>
      </c>
      <c r="N112" s="2" t="s">
        <v>683</v>
      </c>
    </row>
    <row r="113" spans="7:14">
      <c r="G113" s="2" t="s">
        <v>5424</v>
      </c>
      <c r="N113" s="2" t="s">
        <v>5424</v>
      </c>
    </row>
    <row r="114" spans="7:14">
      <c r="G114" s="2" t="s">
        <v>5477</v>
      </c>
      <c r="N114" s="2" t="s">
        <v>5462</v>
      </c>
    </row>
    <row r="115" spans="7:14">
      <c r="G115" s="2" t="s">
        <v>1030</v>
      </c>
      <c r="N115" s="2" t="s">
        <v>1030</v>
      </c>
    </row>
    <row r="116" spans="7:14">
      <c r="G116" s="2" t="s">
        <v>1030</v>
      </c>
      <c r="N116" s="2" t="s">
        <v>1030</v>
      </c>
    </row>
    <row r="117" spans="7:14">
      <c r="G117" s="2" t="s">
        <v>4881</v>
      </c>
      <c r="N117" s="42" t="s">
        <v>5462</v>
      </c>
    </row>
    <row r="118" spans="7:14">
      <c r="G118" s="42" t="s">
        <v>28</v>
      </c>
      <c r="N118" s="42" t="s">
        <v>28</v>
      </c>
    </row>
    <row r="119" spans="7:14">
      <c r="G119" s="54" t="s">
        <v>5421</v>
      </c>
      <c r="N119" s="42" t="s">
        <v>28</v>
      </c>
    </row>
    <row r="120" spans="7:14">
      <c r="G120" s="2" t="s">
        <v>4881</v>
      </c>
      <c r="N120" s="75" t="s">
        <v>2380</v>
      </c>
    </row>
    <row r="121" spans="7:14">
      <c r="G121" s="2" t="s">
        <v>113</v>
      </c>
      <c r="N121" s="42" t="s">
        <v>112</v>
      </c>
    </row>
    <row r="122" spans="7:14">
      <c r="G122" s="2" t="s">
        <v>5431</v>
      </c>
      <c r="N122" s="42" t="s">
        <v>5479</v>
      </c>
    </row>
    <row r="123" spans="7:14">
      <c r="G123" s="69" t="s">
        <v>5496</v>
      </c>
      <c r="N123" s="2"/>
    </row>
    <row r="124" spans="7:14">
      <c r="G124" s="2" t="s">
        <v>5466</v>
      </c>
      <c r="N124" s="42" t="s">
        <v>1983</v>
      </c>
    </row>
    <row r="125" spans="7:14">
      <c r="G125" s="2" t="s">
        <v>5455</v>
      </c>
      <c r="N125" s="42" t="s">
        <v>5433</v>
      </c>
    </row>
    <row r="126" spans="7:14">
      <c r="G126" s="2" t="s">
        <v>45</v>
      </c>
      <c r="N126" s="72" t="s">
        <v>5448</v>
      </c>
    </row>
    <row r="127" spans="7:14">
      <c r="G127" s="2" t="s">
        <v>5421</v>
      </c>
      <c r="N127" s="42" t="s">
        <v>5454</v>
      </c>
    </row>
    <row r="128" spans="7:14">
      <c r="G128" s="2" t="s">
        <v>5421</v>
      </c>
      <c r="N128" s="42" t="s">
        <v>5465</v>
      </c>
    </row>
    <row r="129" spans="7:14">
      <c r="G129" s="2" t="s">
        <v>5424</v>
      </c>
      <c r="N129" s="2" t="s">
        <v>5424</v>
      </c>
    </row>
    <row r="130" spans="7:14">
      <c r="G130" s="2" t="s">
        <v>5424</v>
      </c>
      <c r="N130" s="2" t="s">
        <v>5424</v>
      </c>
    </row>
    <row r="131" spans="7:14">
      <c r="G131" s="2" t="s">
        <v>5424</v>
      </c>
      <c r="N131" s="2" t="s">
        <v>5424</v>
      </c>
    </row>
    <row r="132" spans="7:14">
      <c r="G132" s="2" t="s">
        <v>5424</v>
      </c>
      <c r="N132" s="2" t="s">
        <v>5424</v>
      </c>
    </row>
    <row r="133" spans="7:14">
      <c r="G133" s="2" t="s">
        <v>5424</v>
      </c>
      <c r="N133" s="2" t="s">
        <v>5424</v>
      </c>
    </row>
    <row r="134" spans="7:14">
      <c r="G134" s="2" t="s">
        <v>5424</v>
      </c>
      <c r="N134" s="2" t="s">
        <v>5424</v>
      </c>
    </row>
    <row r="135" spans="7:14">
      <c r="G135" s="2" t="s">
        <v>5424</v>
      </c>
      <c r="N135" s="2" t="s">
        <v>5424</v>
      </c>
    </row>
    <row r="136" spans="7:14">
      <c r="G136" s="2" t="s">
        <v>5424</v>
      </c>
      <c r="N136" s="2" t="s">
        <v>5424</v>
      </c>
    </row>
    <row r="137" spans="7:14">
      <c r="G137" s="2" t="s">
        <v>5424</v>
      </c>
      <c r="N137" s="2" t="s">
        <v>5424</v>
      </c>
    </row>
    <row r="138" spans="7:14">
      <c r="G138" s="2" t="s">
        <v>5424</v>
      </c>
      <c r="N138" s="2" t="s">
        <v>5424</v>
      </c>
    </row>
    <row r="139" spans="7:14">
      <c r="G139" s="2" t="s">
        <v>5424</v>
      </c>
      <c r="N139" s="2" t="s">
        <v>5424</v>
      </c>
    </row>
    <row r="140" spans="7:14">
      <c r="G140" s="2" t="s">
        <v>5424</v>
      </c>
      <c r="N140" s="2" t="s">
        <v>5424</v>
      </c>
    </row>
    <row r="141" spans="7:14">
      <c r="G141" s="69" t="s">
        <v>72</v>
      </c>
      <c r="N141" s="42" t="s">
        <v>5485</v>
      </c>
    </row>
    <row r="142" spans="7:14">
      <c r="G142" s="2" t="s">
        <v>5424</v>
      </c>
      <c r="N142" s="2" t="s">
        <v>5424</v>
      </c>
    </row>
    <row r="143" spans="7:14">
      <c r="G143" s="19" t="s">
        <v>5473</v>
      </c>
      <c r="N143" s="42" t="s">
        <v>5472</v>
      </c>
    </row>
    <row r="144" spans="7:14">
      <c r="G144" s="2" t="s">
        <v>5421</v>
      </c>
      <c r="N144" s="2" t="s">
        <v>5449</v>
      </c>
    </row>
    <row r="145" spans="7:14">
      <c r="G145" s="2" t="s">
        <v>5421</v>
      </c>
      <c r="N145" s="2"/>
    </row>
    <row r="146" spans="7:14">
      <c r="G146" s="54" t="s">
        <v>5421</v>
      </c>
      <c r="N146" s="42" t="s">
        <v>28</v>
      </c>
    </row>
    <row r="147" spans="7:14">
      <c r="G147" s="2" t="s">
        <v>5421</v>
      </c>
      <c r="N147" s="2" t="s">
        <v>683</v>
      </c>
    </row>
    <row r="148" spans="7:14">
      <c r="G148" s="2" t="s">
        <v>48</v>
      </c>
      <c r="N148" s="42" t="s">
        <v>1983</v>
      </c>
    </row>
    <row r="149" spans="7:14">
      <c r="G149" s="2" t="s">
        <v>48</v>
      </c>
      <c r="N149" s="42" t="s">
        <v>1983</v>
      </c>
    </row>
    <row r="150" spans="7:14">
      <c r="G150" s="2" t="s">
        <v>48</v>
      </c>
      <c r="N150" s="42" t="s">
        <v>1983</v>
      </c>
    </row>
    <row r="151" spans="7:14">
      <c r="G151" s="2" t="s">
        <v>4881</v>
      </c>
      <c r="N151" s="75" t="s">
        <v>2380</v>
      </c>
    </row>
    <row r="152" spans="7:14">
      <c r="G152" s="2"/>
      <c r="N152" s="2"/>
    </row>
    <row r="153" spans="7:14">
      <c r="G153" s="2" t="s">
        <v>48</v>
      </c>
      <c r="N153" s="42" t="s">
        <v>1983</v>
      </c>
    </row>
    <row r="154" spans="7:14">
      <c r="G154" s="2" t="s">
        <v>48</v>
      </c>
      <c r="N154" s="42" t="s">
        <v>1983</v>
      </c>
    </row>
    <row r="155" spans="7:14">
      <c r="G155" s="2" t="s">
        <v>48</v>
      </c>
      <c r="N155" s="42" t="s">
        <v>1983</v>
      </c>
    </row>
    <row r="156" spans="7:14">
      <c r="G156" s="2" t="s">
        <v>5421</v>
      </c>
      <c r="N156" s="2"/>
    </row>
    <row r="157" spans="7:14">
      <c r="G157" s="2" t="s">
        <v>48</v>
      </c>
      <c r="N157" s="42" t="s">
        <v>1983</v>
      </c>
    </row>
    <row r="158" spans="7:14">
      <c r="G158" s="19" t="s">
        <v>5473</v>
      </c>
      <c r="N158" s="42" t="s">
        <v>5472</v>
      </c>
    </row>
    <row r="159" spans="7:14">
      <c r="G159" s="2" t="s">
        <v>5431</v>
      </c>
      <c r="N159" s="42" t="s">
        <v>5479</v>
      </c>
    </row>
    <row r="160" spans="7:14">
      <c r="G160" s="2" t="s">
        <v>118</v>
      </c>
      <c r="N160" s="42" t="s">
        <v>118</v>
      </c>
    </row>
    <row r="161" spans="7:14">
      <c r="G161" s="54" t="s">
        <v>5421</v>
      </c>
      <c r="N161" s="42" t="s">
        <v>28</v>
      </c>
    </row>
    <row r="162" spans="7:14">
      <c r="G162" s="69" t="s">
        <v>5497</v>
      </c>
      <c r="N162" s="2"/>
    </row>
    <row r="163" spans="7:14">
      <c r="G163" s="69" t="s">
        <v>5497</v>
      </c>
      <c r="N163" s="2"/>
    </row>
    <row r="164" spans="7:14">
      <c r="G164" s="2" t="s">
        <v>5476</v>
      </c>
      <c r="N164" s="42" t="s">
        <v>5454</v>
      </c>
    </row>
    <row r="165" spans="7:14">
      <c r="G165" s="2" t="s">
        <v>5434</v>
      </c>
      <c r="N165" s="42" t="s">
        <v>5458</v>
      </c>
    </row>
    <row r="166" spans="7:14">
      <c r="G166" s="42" t="s">
        <v>4881</v>
      </c>
      <c r="N166" s="42"/>
    </row>
    <row r="167" spans="7:14">
      <c r="G167" s="2" t="s">
        <v>45</v>
      </c>
      <c r="N167" s="72" t="s">
        <v>5448</v>
      </c>
    </row>
    <row r="168" spans="7:14">
      <c r="G168" s="2" t="s">
        <v>5421</v>
      </c>
      <c r="N168" s="2"/>
    </row>
    <row r="169" spans="7:14">
      <c r="G169" s="2" t="s">
        <v>5422</v>
      </c>
      <c r="N169" s="2" t="s">
        <v>5422</v>
      </c>
    </row>
    <row r="170" spans="7:14">
      <c r="G170" s="2" t="s">
        <v>5424</v>
      </c>
      <c r="N170" s="2" t="s">
        <v>5424</v>
      </c>
    </row>
    <row r="171" spans="7:14">
      <c r="G171" s="2" t="s">
        <v>5431</v>
      </c>
      <c r="N171" s="42" t="s">
        <v>5479</v>
      </c>
    </row>
    <row r="172" spans="7:14">
      <c r="G172" s="2" t="s">
        <v>118</v>
      </c>
      <c r="N172" s="2" t="s">
        <v>118</v>
      </c>
    </row>
    <row r="173" spans="7:14">
      <c r="G173" s="2" t="s">
        <v>4881</v>
      </c>
      <c r="N173" s="42" t="s">
        <v>5462</v>
      </c>
    </row>
    <row r="174" spans="7:14">
      <c r="G174" s="2" t="s">
        <v>4881</v>
      </c>
      <c r="N174" s="42" t="s">
        <v>5462</v>
      </c>
    </row>
    <row r="175" spans="7:14">
      <c r="G175" s="2" t="s">
        <v>5422</v>
      </c>
      <c r="N175" s="2" t="s">
        <v>5422</v>
      </c>
    </row>
    <row r="176" spans="7:14">
      <c r="G176" s="2" t="s">
        <v>4881</v>
      </c>
      <c r="N176" s="75" t="s">
        <v>2380</v>
      </c>
    </row>
    <row r="177" spans="7:14">
      <c r="G177" s="70" t="s">
        <v>4881</v>
      </c>
      <c r="N177" s="42" t="s">
        <v>5490</v>
      </c>
    </row>
    <row r="178" spans="7:14">
      <c r="G178" s="70" t="s">
        <v>4881</v>
      </c>
      <c r="N178" s="42" t="s">
        <v>5490</v>
      </c>
    </row>
    <row r="179" spans="7:14">
      <c r="G179" s="2" t="s">
        <v>4881</v>
      </c>
      <c r="N179" s="42" t="s">
        <v>5490</v>
      </c>
    </row>
    <row r="180" spans="7:14">
      <c r="G180" s="2" t="s">
        <v>4881</v>
      </c>
      <c r="N180" s="42" t="s">
        <v>5490</v>
      </c>
    </row>
    <row r="181" spans="7:14">
      <c r="G181" s="2" t="s">
        <v>45</v>
      </c>
      <c r="N181" s="72" t="s">
        <v>5448</v>
      </c>
    </row>
    <row r="182" spans="7:14">
      <c r="G182" s="2" t="s">
        <v>25</v>
      </c>
      <c r="N182" s="2" t="s">
        <v>683</v>
      </c>
    </row>
    <row r="183" spans="7:14">
      <c r="G183" s="2" t="s">
        <v>33</v>
      </c>
      <c r="N183" s="2" t="s">
        <v>5449</v>
      </c>
    </row>
    <row r="184" spans="7:14">
      <c r="G184" s="2" t="s">
        <v>5434</v>
      </c>
      <c r="N184" s="42" t="s">
        <v>5458</v>
      </c>
    </row>
    <row r="185" spans="7:14">
      <c r="G185" s="2" t="s">
        <v>1030</v>
      </c>
      <c r="N185" s="2" t="s">
        <v>1030</v>
      </c>
    </row>
    <row r="186" spans="7:14">
      <c r="G186" s="2" t="s">
        <v>4881</v>
      </c>
      <c r="N186" s="42" t="s">
        <v>5490</v>
      </c>
    </row>
    <row r="187" spans="7:14">
      <c r="G187" s="2"/>
      <c r="N187" s="2"/>
    </row>
    <row r="188" spans="7:14">
      <c r="G188" s="2" t="s">
        <v>48</v>
      </c>
      <c r="N188" s="2" t="s">
        <v>1983</v>
      </c>
    </row>
    <row r="189" spans="7:14">
      <c r="G189" s="2" t="s">
        <v>4881</v>
      </c>
      <c r="N189" s="42" t="s">
        <v>5490</v>
      </c>
    </row>
    <row r="190" spans="7:14">
      <c r="G190" s="2" t="s">
        <v>350</v>
      </c>
      <c r="N190" s="2" t="s">
        <v>350</v>
      </c>
    </row>
    <row r="191" spans="7:14">
      <c r="G191" t="s">
        <v>4881</v>
      </c>
      <c r="N191" t="s">
        <v>4881</v>
      </c>
    </row>
    <row r="192" spans="7:14">
      <c r="G192" t="s">
        <v>4881</v>
      </c>
      <c r="N192" s="42" t="s">
        <v>5488</v>
      </c>
    </row>
    <row r="193" spans="7:14">
      <c r="G193" t="s">
        <v>5431</v>
      </c>
      <c r="N193" t="s">
        <v>5479</v>
      </c>
    </row>
    <row r="194" spans="7:14">
      <c r="G194" s="2" t="s">
        <v>5434</v>
      </c>
      <c r="N194" s="42" t="s">
        <v>5458</v>
      </c>
    </row>
    <row r="195" spans="7:14">
      <c r="G195" s="74" t="s">
        <v>5473</v>
      </c>
      <c r="N195" t="s">
        <v>5433</v>
      </c>
    </row>
    <row r="196" spans="7:14">
      <c r="G196" t="s">
        <v>5431</v>
      </c>
      <c r="N196" t="s">
        <v>5479</v>
      </c>
    </row>
    <row r="197" spans="7:14">
      <c r="G197" t="s">
        <v>5432</v>
      </c>
      <c r="N197" t="s">
        <v>5432</v>
      </c>
    </row>
    <row r="198" spans="7:14">
      <c r="G198" t="s">
        <v>5498</v>
      </c>
      <c r="N198" t="s">
        <v>5491</v>
      </c>
    </row>
    <row r="200" spans="7:14">
      <c r="G200" t="s">
        <v>118</v>
      </c>
      <c r="N200" t="s">
        <v>118</v>
      </c>
    </row>
    <row r="201" spans="7:14">
      <c r="G201" t="s">
        <v>4881</v>
      </c>
      <c r="N201" s="42" t="s">
        <v>5488</v>
      </c>
    </row>
    <row r="202" spans="7:14">
      <c r="G202" t="s">
        <v>27</v>
      </c>
      <c r="N202" t="s">
        <v>160</v>
      </c>
    </row>
    <row r="203" spans="7:14">
      <c r="G203" s="2" t="s">
        <v>25</v>
      </c>
      <c r="N203" t="s">
        <v>683</v>
      </c>
    </row>
    <row r="204" spans="7:14">
      <c r="G204" t="s">
        <v>5421</v>
      </c>
      <c r="N204" t="s">
        <v>683</v>
      </c>
    </row>
    <row r="205" spans="7:14">
      <c r="G205" t="s">
        <v>27</v>
      </c>
      <c r="N205" t="s">
        <v>160</v>
      </c>
    </row>
    <row r="206" spans="7:14">
      <c r="G206" t="s">
        <v>27</v>
      </c>
      <c r="N206" t="s">
        <v>160</v>
      </c>
    </row>
    <row r="207" spans="7:14">
      <c r="G207" t="s">
        <v>4881</v>
      </c>
      <c r="N207" s="42" t="s">
        <v>5422</v>
      </c>
    </row>
    <row r="208" spans="7:14">
      <c r="G208" t="s">
        <v>5466</v>
      </c>
      <c r="N208" t="s">
        <v>5489</v>
      </c>
    </row>
    <row r="209" spans="7:14">
      <c r="N209" t="s">
        <v>5492</v>
      </c>
    </row>
    <row r="210" spans="7:14">
      <c r="G210" t="s">
        <v>5426</v>
      </c>
      <c r="N210" t="s">
        <v>5426</v>
      </c>
    </row>
    <row r="211" spans="7:14">
      <c r="G211" t="s">
        <v>5426</v>
      </c>
      <c r="N211" t="s">
        <v>5426</v>
      </c>
    </row>
    <row r="212" spans="7:14">
      <c r="G212" t="s">
        <v>5418</v>
      </c>
    </row>
    <row r="213" spans="7:14">
      <c r="G213" s="2" t="s">
        <v>25</v>
      </c>
      <c r="N213" s="42" t="s">
        <v>28</v>
      </c>
    </row>
  </sheetData>
  <mergeCells count="5">
    <mergeCell ref="J2:J5"/>
    <mergeCell ref="J6:J8"/>
    <mergeCell ref="J9:J12"/>
    <mergeCell ref="J13:J17"/>
    <mergeCell ref="J18:J20"/>
  </mergeCells>
  <hyperlinks>
    <hyperlink ref="L9" r:id="rId2" xr:uid="{683BB59D-53F8-4C0F-BEF8-06C1B51DFF0A}"/>
    <hyperlink ref="L10" r:id="rId3" xr:uid="{889DAB01-BFD1-47C2-9A4D-AC04A44A1883}"/>
    <hyperlink ref="L2" r:id="rId4" xr:uid="{D5063CA1-D4C4-486A-9837-8C112F248606}"/>
    <hyperlink ref="L4" r:id="rId5" xr:uid="{00952BBF-ADCF-412A-80D9-F79A7741E076}"/>
    <hyperlink ref="L6" r:id="rId6" xr:uid="{4BF36EC4-090E-459B-91BE-B3F2209034B5}"/>
    <hyperlink ref="L14" r:id="rId7" xr:uid="{85C59CC6-16DD-430C-9065-06D0E4C86D15}"/>
    <hyperlink ref="L11" r:id="rId8" xr:uid="{A1C45A8C-DB24-4991-B8C9-81E39D5CFDD6}"/>
    <hyperlink ref="L19" r:id="rId9" xr:uid="{3B1AD924-68E8-48BB-BC2E-36597456E93B}"/>
    <hyperlink ref="L12" r:id="rId10" xr:uid="{ECF0385D-D7A9-4DF5-9693-F3A78245DE96}"/>
    <hyperlink ref="L20" r:id="rId11" xr:uid="{CADB005F-7264-4845-AE3B-CD85D6849468}"/>
    <hyperlink ref="L17" r:id="rId12" xr:uid="{FE3BFCFD-2CBB-44FA-B84A-234AF7F37C9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01821-46E8-471C-BF61-E7BB6142293F}">
  <sheetPr codeName="Sheet6"/>
  <dimension ref="A1:G196"/>
  <sheetViews>
    <sheetView workbookViewId="0"/>
  </sheetViews>
  <sheetFormatPr defaultRowHeight="15"/>
  <cols>
    <col min="1" max="1" width="31.7109375" bestFit="1" customWidth="1"/>
    <col min="2" max="2" width="20.42578125" bestFit="1" customWidth="1"/>
    <col min="6" max="6" width="37.28515625" bestFit="1" customWidth="1"/>
    <col min="7" max="7" width="23.85546875" bestFit="1" customWidth="1"/>
  </cols>
  <sheetData>
    <row r="1" spans="1:7" ht="15.75" thickBot="1">
      <c r="A1" s="26" t="s">
        <v>5499</v>
      </c>
      <c r="B1" s="27" t="s">
        <v>5500</v>
      </c>
      <c r="F1" s="31" t="s">
        <v>5501</v>
      </c>
      <c r="G1" s="31" t="s">
        <v>20</v>
      </c>
    </row>
    <row r="2" spans="1:7" ht="15.75" thickBot="1">
      <c r="A2" s="28" t="s">
        <v>5502</v>
      </c>
      <c r="B2" s="29" t="s">
        <v>5503</v>
      </c>
      <c r="F2" s="32" t="s">
        <v>308</v>
      </c>
      <c r="G2" s="32" t="s">
        <v>5480</v>
      </c>
    </row>
    <row r="3" spans="1:7" ht="15.75" thickBot="1">
      <c r="A3" s="28" t="s">
        <v>5504</v>
      </c>
      <c r="B3" s="29" t="s">
        <v>5503</v>
      </c>
      <c r="F3" s="32" t="s">
        <v>5505</v>
      </c>
      <c r="G3" s="32" t="s">
        <v>5483</v>
      </c>
    </row>
    <row r="4" spans="1:7" ht="15.75" thickBot="1">
      <c r="A4" s="28" t="s">
        <v>3610</v>
      </c>
      <c r="B4" s="29" t="s">
        <v>5503</v>
      </c>
      <c r="F4" s="32" t="s">
        <v>3680</v>
      </c>
      <c r="G4" s="32" t="s">
        <v>5421</v>
      </c>
    </row>
    <row r="5" spans="1:7" ht="15.75" thickBot="1">
      <c r="A5" s="28" t="s">
        <v>3680</v>
      </c>
      <c r="B5" s="29" t="s">
        <v>5443</v>
      </c>
      <c r="F5" s="32" t="s">
        <v>851</v>
      </c>
      <c r="G5" s="32" t="s">
        <v>37</v>
      </c>
    </row>
    <row r="6" spans="1:7" ht="15.75" thickBot="1">
      <c r="A6" s="28" t="s">
        <v>5121</v>
      </c>
      <c r="B6" s="29" t="s">
        <v>5443</v>
      </c>
      <c r="F6" s="32" t="s">
        <v>5506</v>
      </c>
      <c r="G6" s="32" t="s">
        <v>5480</v>
      </c>
    </row>
    <row r="7" spans="1:7" ht="15.75" thickBot="1">
      <c r="A7" s="28" t="s">
        <v>5507</v>
      </c>
      <c r="B7" s="29" t="s">
        <v>5443</v>
      </c>
      <c r="F7" s="32" t="s">
        <v>2565</v>
      </c>
      <c r="G7" s="32" t="s">
        <v>5508</v>
      </c>
    </row>
    <row r="8" spans="1:7" ht="15.75" thickBot="1">
      <c r="A8" s="28" t="s">
        <v>1831</v>
      </c>
      <c r="B8" s="29" t="s">
        <v>5443</v>
      </c>
      <c r="F8" s="32" t="s">
        <v>2727</v>
      </c>
      <c r="G8" s="32" t="s">
        <v>5508</v>
      </c>
    </row>
    <row r="9" spans="1:7" ht="15.75" thickBot="1">
      <c r="A9" s="28" t="s">
        <v>121</v>
      </c>
      <c r="B9" s="29" t="s">
        <v>39</v>
      </c>
      <c r="F9" s="32" t="s">
        <v>2760</v>
      </c>
      <c r="G9" s="32" t="s">
        <v>5508</v>
      </c>
    </row>
    <row r="10" spans="1:7" ht="15.75" thickBot="1">
      <c r="A10" s="28" t="s">
        <v>4320</v>
      </c>
      <c r="B10" s="29" t="s">
        <v>39</v>
      </c>
      <c r="F10" s="32" t="s">
        <v>1364</v>
      </c>
      <c r="G10" s="32" t="s">
        <v>5480</v>
      </c>
    </row>
    <row r="11" spans="1:7" ht="15.75" thickBot="1">
      <c r="A11" s="28" t="s">
        <v>5509</v>
      </c>
      <c r="B11" s="29" t="s">
        <v>39</v>
      </c>
      <c r="F11" s="32" t="s">
        <v>126</v>
      </c>
      <c r="G11" s="32" t="s">
        <v>5480</v>
      </c>
    </row>
    <row r="12" spans="1:7" ht="15.75" thickBot="1">
      <c r="A12" s="28" t="s">
        <v>2565</v>
      </c>
      <c r="B12" s="29" t="s">
        <v>5508</v>
      </c>
      <c r="F12" s="32" t="s">
        <v>5510</v>
      </c>
      <c r="G12" s="32" t="s">
        <v>5421</v>
      </c>
    </row>
    <row r="13" spans="1:7" ht="15.75" thickBot="1">
      <c r="A13" s="28" t="s">
        <v>5511</v>
      </c>
      <c r="B13" s="29" t="s">
        <v>5508</v>
      </c>
      <c r="F13" s="33" t="s">
        <v>121</v>
      </c>
      <c r="G13" s="32" t="s">
        <v>5480</v>
      </c>
    </row>
    <row r="14" spans="1:7" ht="15.75" thickBot="1">
      <c r="A14" s="28" t="s">
        <v>308</v>
      </c>
      <c r="B14" s="29" t="s">
        <v>5512</v>
      </c>
      <c r="F14" s="32" t="s">
        <v>5513</v>
      </c>
      <c r="G14" s="32" t="s">
        <v>5508</v>
      </c>
    </row>
    <row r="15" spans="1:7" ht="15.75" thickBot="1">
      <c r="A15" s="28" t="s">
        <v>126</v>
      </c>
      <c r="B15" s="29" t="s">
        <v>5512</v>
      </c>
      <c r="F15" s="32" t="s">
        <v>3381</v>
      </c>
      <c r="G15" s="32" t="s">
        <v>5480</v>
      </c>
    </row>
    <row r="16" spans="1:7" ht="15.75" thickBot="1">
      <c r="A16" s="28" t="s">
        <v>4638</v>
      </c>
      <c r="B16" s="29" t="s">
        <v>5512</v>
      </c>
      <c r="F16" s="32" t="s">
        <v>1890</v>
      </c>
      <c r="G16" s="32" t="s">
        <v>37</v>
      </c>
    </row>
    <row r="17" spans="6:7">
      <c r="F17" s="32" t="s">
        <v>375</v>
      </c>
      <c r="G17" s="32" t="s">
        <v>5483</v>
      </c>
    </row>
    <row r="18" spans="6:7">
      <c r="F18" s="32" t="s">
        <v>4320</v>
      </c>
      <c r="G18" s="32" t="s">
        <v>5480</v>
      </c>
    </row>
    <row r="19" spans="6:7">
      <c r="F19" s="32" t="s">
        <v>5514</v>
      </c>
      <c r="G19" s="32" t="s">
        <v>5480</v>
      </c>
    </row>
    <row r="20" spans="6:7">
      <c r="F20" s="32" t="s">
        <v>1893</v>
      </c>
      <c r="G20" s="32" t="s">
        <v>5480</v>
      </c>
    </row>
    <row r="21" spans="6:7">
      <c r="F21" s="32" t="s">
        <v>5515</v>
      </c>
      <c r="G21" s="32" t="s">
        <v>5483</v>
      </c>
    </row>
    <row r="22" spans="6:7">
      <c r="F22" s="32" t="s">
        <v>2019</v>
      </c>
      <c r="G22" s="32" t="s">
        <v>5483</v>
      </c>
    </row>
    <row r="23" spans="6:7">
      <c r="F23" s="32" t="s">
        <v>3861</v>
      </c>
      <c r="G23" s="32" t="s">
        <v>5483</v>
      </c>
    </row>
    <row r="24" spans="6:7">
      <c r="F24" s="32" t="s">
        <v>5516</v>
      </c>
      <c r="G24" s="32" t="s">
        <v>5483</v>
      </c>
    </row>
    <row r="25" spans="6:7">
      <c r="F25" s="34" t="s">
        <v>5502</v>
      </c>
      <c r="G25" s="32" t="s">
        <v>5503</v>
      </c>
    </row>
    <row r="26" spans="6:7">
      <c r="F26" s="32" t="s">
        <v>3610</v>
      </c>
      <c r="G26" s="32" t="s">
        <v>5503</v>
      </c>
    </row>
    <row r="27" spans="6:7">
      <c r="F27" s="32" t="s">
        <v>85</v>
      </c>
      <c r="G27" s="32" t="s">
        <v>5421</v>
      </c>
    </row>
    <row r="28" spans="6:7">
      <c r="F28" s="32" t="s">
        <v>5502</v>
      </c>
      <c r="G28" s="32" t="s">
        <v>5503</v>
      </c>
    </row>
    <row r="29" spans="6:7">
      <c r="F29" s="35" t="s">
        <v>3610</v>
      </c>
      <c r="G29" s="32" t="s">
        <v>5503</v>
      </c>
    </row>
    <row r="30" spans="6:7">
      <c r="F30" s="32" t="s">
        <v>1831</v>
      </c>
      <c r="G30" s="32" t="s">
        <v>5421</v>
      </c>
    </row>
    <row r="31" spans="6:7">
      <c r="F31" s="32" t="s">
        <v>3764</v>
      </c>
      <c r="G31" s="32" t="s">
        <v>5421</v>
      </c>
    </row>
    <row r="32" spans="6:7">
      <c r="F32" s="32" t="s">
        <v>834</v>
      </c>
      <c r="G32" s="32" t="s">
        <v>238</v>
      </c>
    </row>
    <row r="33" spans="6:7">
      <c r="F33" s="32" t="s">
        <v>4630</v>
      </c>
      <c r="G33" s="32" t="s">
        <v>238</v>
      </c>
    </row>
    <row r="34" spans="6:7">
      <c r="F34" s="32" t="s">
        <v>1096</v>
      </c>
      <c r="G34" s="32" t="s">
        <v>238</v>
      </c>
    </row>
    <row r="35" spans="6:7">
      <c r="F35" s="32" t="s">
        <v>5517</v>
      </c>
      <c r="G35" s="32" t="s">
        <v>238</v>
      </c>
    </row>
    <row r="36" spans="6:7">
      <c r="F36" s="32" t="s">
        <v>1357</v>
      </c>
      <c r="G36" s="32" t="s">
        <v>238</v>
      </c>
    </row>
    <row r="37" spans="6:7">
      <c r="F37" s="32" t="s">
        <v>458</v>
      </c>
      <c r="G37" s="32" t="s">
        <v>5421</v>
      </c>
    </row>
    <row r="38" spans="6:7">
      <c r="F38" s="32" t="s">
        <v>5121</v>
      </c>
      <c r="G38" s="32" t="s">
        <v>5421</v>
      </c>
    </row>
    <row r="39" spans="6:7">
      <c r="F39" s="32" t="s">
        <v>5518</v>
      </c>
      <c r="G39" s="32" t="s">
        <v>238</v>
      </c>
    </row>
    <row r="40" spans="6:7">
      <c r="F40" s="32" t="s">
        <v>5519</v>
      </c>
      <c r="G40" s="32" t="s">
        <v>238</v>
      </c>
    </row>
    <row r="41" spans="6:7">
      <c r="F41" s="32" t="s">
        <v>4721</v>
      </c>
      <c r="G41" s="32" t="s">
        <v>238</v>
      </c>
    </row>
    <row r="42" spans="6:7">
      <c r="F42" s="32" t="s">
        <v>5520</v>
      </c>
      <c r="G42" s="32" t="s">
        <v>238</v>
      </c>
    </row>
    <row r="43" spans="6:7">
      <c r="F43" s="32" t="s">
        <v>5521</v>
      </c>
      <c r="G43" s="32" t="s">
        <v>238</v>
      </c>
    </row>
    <row r="44" spans="6:7">
      <c r="F44" s="32" t="s">
        <v>144</v>
      </c>
      <c r="G44" s="32" t="s">
        <v>5522</v>
      </c>
    </row>
    <row r="45" spans="6:7">
      <c r="F45" s="32" t="s">
        <v>3818</v>
      </c>
      <c r="G45" s="32" t="s">
        <v>5522</v>
      </c>
    </row>
    <row r="46" spans="6:7">
      <c r="F46" s="32" t="s">
        <v>5523</v>
      </c>
      <c r="G46" s="32" t="s">
        <v>5522</v>
      </c>
    </row>
    <row r="47" spans="6:7">
      <c r="F47" s="32" t="s">
        <v>5524</v>
      </c>
      <c r="G47" s="32" t="s">
        <v>5525</v>
      </c>
    </row>
    <row r="48" spans="6:7">
      <c r="F48" s="32" t="s">
        <v>5526</v>
      </c>
      <c r="G48" s="32" t="s">
        <v>5525</v>
      </c>
    </row>
    <row r="49" spans="6:7">
      <c r="F49" s="32" t="s">
        <v>5527</v>
      </c>
      <c r="G49" s="32" t="s">
        <v>5525</v>
      </c>
    </row>
    <row r="50" spans="6:7">
      <c r="F50" s="32" t="s">
        <v>4311</v>
      </c>
      <c r="G50" s="32" t="s">
        <v>5525</v>
      </c>
    </row>
    <row r="51" spans="6:7">
      <c r="F51" s="32" t="s">
        <v>5528</v>
      </c>
      <c r="G51" s="32" t="s">
        <v>5525</v>
      </c>
    </row>
    <row r="52" spans="6:7">
      <c r="F52" s="32" t="s">
        <v>5529</v>
      </c>
      <c r="G52" s="32" t="s">
        <v>5525</v>
      </c>
    </row>
    <row r="53" spans="6:7">
      <c r="F53" s="34" t="s">
        <v>5530</v>
      </c>
      <c r="G53" s="32" t="s">
        <v>37</v>
      </c>
    </row>
    <row r="54" spans="6:7">
      <c r="F54" s="32" t="s">
        <v>5531</v>
      </c>
      <c r="G54" s="32" t="s">
        <v>5421</v>
      </c>
    </row>
    <row r="55" spans="6:7">
      <c r="F55" s="32" t="s">
        <v>5532</v>
      </c>
      <c r="G55" s="32" t="s">
        <v>5421</v>
      </c>
    </row>
    <row r="56" spans="6:7">
      <c r="F56" s="32" t="s">
        <v>5533</v>
      </c>
      <c r="G56" s="32" t="s">
        <v>41</v>
      </c>
    </row>
    <row r="57" spans="6:7">
      <c r="F57" s="32" t="s">
        <v>5534</v>
      </c>
      <c r="G57" s="32" t="s">
        <v>41</v>
      </c>
    </row>
    <row r="58" spans="6:7">
      <c r="F58" s="32" t="s">
        <v>227</v>
      </c>
      <c r="G58" s="32" t="s">
        <v>41</v>
      </c>
    </row>
    <row r="59" spans="6:7">
      <c r="F59" s="32" t="s">
        <v>5535</v>
      </c>
      <c r="G59" s="32" t="s">
        <v>41</v>
      </c>
    </row>
    <row r="60" spans="6:7">
      <c r="F60" s="32" t="s">
        <v>5536</v>
      </c>
      <c r="G60" s="32" t="s">
        <v>41</v>
      </c>
    </row>
    <row r="61" spans="6:7">
      <c r="F61" s="32" t="s">
        <v>5537</v>
      </c>
      <c r="G61" s="32" t="s">
        <v>41</v>
      </c>
    </row>
    <row r="62" spans="6:7">
      <c r="F62" s="32" t="s">
        <v>106</v>
      </c>
      <c r="G62" s="32" t="s">
        <v>41</v>
      </c>
    </row>
    <row r="63" spans="6:7">
      <c r="F63" s="32" t="s">
        <v>5538</v>
      </c>
      <c r="G63" s="32" t="s">
        <v>41</v>
      </c>
    </row>
    <row r="64" spans="6:7">
      <c r="F64" s="32" t="s">
        <v>976</v>
      </c>
      <c r="G64" s="32" t="s">
        <v>41</v>
      </c>
    </row>
    <row r="65" spans="6:7">
      <c r="F65" s="32" t="s">
        <v>5292</v>
      </c>
      <c r="G65" s="32" t="s">
        <v>238</v>
      </c>
    </row>
    <row r="66" spans="6:7">
      <c r="F66" s="32" t="s">
        <v>97</v>
      </c>
      <c r="G66" s="32" t="s">
        <v>41</v>
      </c>
    </row>
    <row r="67" spans="6:7">
      <c r="F67" s="32" t="s">
        <v>5539</v>
      </c>
      <c r="G67" s="32" t="s">
        <v>41</v>
      </c>
    </row>
    <row r="68" spans="6:7">
      <c r="F68" s="32" t="s">
        <v>5540</v>
      </c>
      <c r="G68" s="32" t="s">
        <v>5522</v>
      </c>
    </row>
    <row r="69" spans="6:7">
      <c r="F69" s="34" t="s">
        <v>5541</v>
      </c>
      <c r="G69" s="32" t="s">
        <v>41</v>
      </c>
    </row>
    <row r="70" spans="6:7">
      <c r="F70" s="34" t="s">
        <v>149</v>
      </c>
      <c r="G70" s="32" t="s">
        <v>41</v>
      </c>
    </row>
    <row r="71" spans="6:7">
      <c r="F71" s="36" t="s">
        <v>313</v>
      </c>
      <c r="G71" s="32" t="s">
        <v>41</v>
      </c>
    </row>
    <row r="72" spans="6:7">
      <c r="F72" s="34" t="s">
        <v>5542</v>
      </c>
      <c r="G72" s="32" t="s">
        <v>41</v>
      </c>
    </row>
    <row r="73" spans="6:7">
      <c r="F73" s="32" t="s">
        <v>5543</v>
      </c>
      <c r="G73" s="32" t="s">
        <v>41</v>
      </c>
    </row>
    <row r="74" spans="6:7">
      <c r="F74" s="32" t="s">
        <v>4638</v>
      </c>
      <c r="G74" s="32" t="s">
        <v>41</v>
      </c>
    </row>
    <row r="75" spans="6:7">
      <c r="F75" s="32" t="s">
        <v>5544</v>
      </c>
      <c r="G75" s="37" t="s">
        <v>41</v>
      </c>
    </row>
    <row r="76" spans="6:7">
      <c r="F76" s="32" t="s">
        <v>3844</v>
      </c>
      <c r="G76" s="32" t="s">
        <v>41</v>
      </c>
    </row>
    <row r="77" spans="6:7">
      <c r="F77" s="32" t="s">
        <v>4037</v>
      </c>
      <c r="G77" s="32" t="s">
        <v>41</v>
      </c>
    </row>
    <row r="78" spans="6:7">
      <c r="F78" s="32" t="s">
        <v>4998</v>
      </c>
      <c r="G78" s="32" t="s">
        <v>41</v>
      </c>
    </row>
    <row r="79" spans="6:7">
      <c r="F79" s="38" t="s">
        <v>5545</v>
      </c>
      <c r="G79" s="32" t="s">
        <v>41</v>
      </c>
    </row>
    <row r="80" spans="6:7">
      <c r="F80" s="32" t="s">
        <v>5206</v>
      </c>
      <c r="G80" s="32" t="s">
        <v>41</v>
      </c>
    </row>
    <row r="81" spans="6:7">
      <c r="F81" s="32" t="s">
        <v>5546</v>
      </c>
      <c r="G81" s="32" t="s">
        <v>41</v>
      </c>
    </row>
    <row r="82" spans="6:7">
      <c r="F82" s="32" t="s">
        <v>5547</v>
      </c>
      <c r="G82" s="32" t="s">
        <v>41</v>
      </c>
    </row>
    <row r="83" spans="6:7">
      <c r="F83" s="32" t="s">
        <v>5548</v>
      </c>
      <c r="G83" s="32" t="s">
        <v>41</v>
      </c>
    </row>
    <row r="84" spans="6:7">
      <c r="F84" s="32" t="s">
        <v>5549</v>
      </c>
      <c r="G84" s="32" t="s">
        <v>41</v>
      </c>
    </row>
    <row r="85" spans="6:7">
      <c r="F85" s="32" t="s">
        <v>5550</v>
      </c>
      <c r="G85" s="32" t="s">
        <v>41</v>
      </c>
    </row>
    <row r="86" spans="6:7">
      <c r="F86" s="32" t="s">
        <v>5078</v>
      </c>
      <c r="G86" s="32" t="s">
        <v>44</v>
      </c>
    </row>
    <row r="87" spans="6:7">
      <c r="F87" s="32" t="s">
        <v>517</v>
      </c>
      <c r="G87" s="32" t="s">
        <v>44</v>
      </c>
    </row>
    <row r="88" spans="6:7">
      <c r="F88" s="32" t="s">
        <v>5278</v>
      </c>
      <c r="G88" s="32" t="s">
        <v>44</v>
      </c>
    </row>
    <row r="89" spans="6:7">
      <c r="F89" s="32" t="s">
        <v>5551</v>
      </c>
      <c r="G89" s="32" t="s">
        <v>44</v>
      </c>
    </row>
    <row r="90" spans="6:7">
      <c r="F90" s="32" t="s">
        <v>5552</v>
      </c>
      <c r="G90" s="32" t="s">
        <v>44</v>
      </c>
    </row>
    <row r="91" spans="6:7">
      <c r="F91" s="32" t="s">
        <v>5553</v>
      </c>
      <c r="G91" s="32" t="s">
        <v>44</v>
      </c>
    </row>
    <row r="92" spans="6:7">
      <c r="F92" s="32" t="s">
        <v>5554</v>
      </c>
      <c r="G92" s="32" t="s">
        <v>44</v>
      </c>
    </row>
    <row r="93" spans="6:7">
      <c r="F93" s="32" t="s">
        <v>5555</v>
      </c>
      <c r="G93" s="32" t="s">
        <v>44</v>
      </c>
    </row>
    <row r="94" spans="6:7">
      <c r="F94" s="32" t="s">
        <v>360</v>
      </c>
      <c r="G94" s="32" t="s">
        <v>44</v>
      </c>
    </row>
    <row r="95" spans="6:7">
      <c r="F95" s="32" t="s">
        <v>5556</v>
      </c>
      <c r="G95" s="32" t="s">
        <v>44</v>
      </c>
    </row>
    <row r="96" spans="6:7">
      <c r="F96" s="32" t="s">
        <v>5557</v>
      </c>
      <c r="G96" s="32" t="s">
        <v>44</v>
      </c>
    </row>
    <row r="97" spans="6:7">
      <c r="F97" s="32" t="s">
        <v>5558</v>
      </c>
      <c r="G97" s="32" t="s">
        <v>44</v>
      </c>
    </row>
    <row r="98" spans="6:7">
      <c r="F98" s="32" t="s">
        <v>1414</v>
      </c>
      <c r="G98" s="32" t="s">
        <v>44</v>
      </c>
    </row>
    <row r="99" spans="6:7">
      <c r="F99" s="32" t="s">
        <v>884</v>
      </c>
      <c r="G99" s="32" t="s">
        <v>44</v>
      </c>
    </row>
    <row r="100" spans="6:7">
      <c r="F100" s="32" t="s">
        <v>4196</v>
      </c>
      <c r="G100" s="32" t="s">
        <v>44</v>
      </c>
    </row>
    <row r="101" spans="6:7">
      <c r="F101" s="32" t="s">
        <v>714</v>
      </c>
      <c r="G101" s="32" t="s">
        <v>44</v>
      </c>
    </row>
    <row r="102" spans="6:7">
      <c r="F102" s="32" t="s">
        <v>5559</v>
      </c>
      <c r="G102" s="32" t="s">
        <v>44</v>
      </c>
    </row>
    <row r="103" spans="6:7">
      <c r="F103" s="32" t="s">
        <v>5560</v>
      </c>
      <c r="G103" s="32" t="s">
        <v>44</v>
      </c>
    </row>
    <row r="104" spans="6:7">
      <c r="F104" s="32" t="s">
        <v>300</v>
      </c>
      <c r="G104" s="32" t="s">
        <v>44</v>
      </c>
    </row>
    <row r="105" spans="6:7">
      <c r="F105" s="32" t="s">
        <v>5126</v>
      </c>
      <c r="G105" s="32" t="s">
        <v>44</v>
      </c>
    </row>
    <row r="106" spans="6:7">
      <c r="F106" s="32" t="s">
        <v>5176</v>
      </c>
      <c r="G106" s="32" t="s">
        <v>44</v>
      </c>
    </row>
    <row r="107" spans="6:7">
      <c r="F107" s="32" t="s">
        <v>5561</v>
      </c>
      <c r="G107" s="32" t="s">
        <v>44</v>
      </c>
    </row>
    <row r="108" spans="6:7">
      <c r="F108" s="32" t="s">
        <v>5562</v>
      </c>
      <c r="G108" s="32" t="s">
        <v>44</v>
      </c>
    </row>
    <row r="109" spans="6:7">
      <c r="F109" s="33" t="s">
        <v>189</v>
      </c>
      <c r="G109" s="32" t="s">
        <v>44</v>
      </c>
    </row>
    <row r="110" spans="6:7">
      <c r="F110" s="32" t="s">
        <v>5563</v>
      </c>
      <c r="G110" s="32" t="s">
        <v>44</v>
      </c>
    </row>
    <row r="111" spans="6:7">
      <c r="F111" s="32" t="s">
        <v>5564</v>
      </c>
      <c r="G111" s="32" t="s">
        <v>44</v>
      </c>
    </row>
    <row r="112" spans="6:7">
      <c r="F112" s="32" t="s">
        <v>5565</v>
      </c>
      <c r="G112" s="32" t="s">
        <v>44</v>
      </c>
    </row>
    <row r="113" spans="6:7">
      <c r="F113" s="32" t="s">
        <v>653</v>
      </c>
      <c r="G113" s="32" t="s">
        <v>5421</v>
      </c>
    </row>
    <row r="114" spans="6:7">
      <c r="F114" s="33" t="s">
        <v>2167</v>
      </c>
      <c r="G114" s="32" t="s">
        <v>44</v>
      </c>
    </row>
    <row r="115" spans="6:7">
      <c r="F115" s="34" t="s">
        <v>2324</v>
      </c>
      <c r="G115" s="32" t="s">
        <v>44</v>
      </c>
    </row>
    <row r="116" spans="6:7">
      <c r="F116" s="36" t="s">
        <v>5566</v>
      </c>
      <c r="G116" s="32" t="s">
        <v>44</v>
      </c>
    </row>
    <row r="117" spans="6:7">
      <c r="F117" s="36" t="s">
        <v>182</v>
      </c>
      <c r="G117" s="32" t="s">
        <v>44</v>
      </c>
    </row>
    <row r="118" spans="6:7">
      <c r="F118" s="34" t="s">
        <v>5356</v>
      </c>
      <c r="G118" s="32" t="s">
        <v>44</v>
      </c>
    </row>
    <row r="119" spans="6:7">
      <c r="F119" s="32" t="s">
        <v>5567</v>
      </c>
      <c r="G119" s="32" t="s">
        <v>44</v>
      </c>
    </row>
    <row r="120" spans="6:7">
      <c r="F120" s="34" t="s">
        <v>322</v>
      </c>
      <c r="G120" s="32" t="s">
        <v>44</v>
      </c>
    </row>
    <row r="121" spans="6:7">
      <c r="F121" s="36" t="s">
        <v>5568</v>
      </c>
      <c r="G121" s="32" t="s">
        <v>44</v>
      </c>
    </row>
    <row r="122" spans="6:7" ht="16.5">
      <c r="F122" s="39" t="s">
        <v>5569</v>
      </c>
      <c r="G122" s="32" t="s">
        <v>44</v>
      </c>
    </row>
    <row r="123" spans="6:7">
      <c r="F123" s="34" t="s">
        <v>1740</v>
      </c>
      <c r="G123" s="32" t="s">
        <v>44</v>
      </c>
    </row>
    <row r="124" spans="6:7">
      <c r="F124" s="34" t="s">
        <v>203</v>
      </c>
      <c r="G124" s="32" t="s">
        <v>44</v>
      </c>
    </row>
    <row r="125" spans="6:7">
      <c r="F125" s="32" t="s">
        <v>1737</v>
      </c>
      <c r="G125" s="32" t="s">
        <v>44</v>
      </c>
    </row>
    <row r="126" spans="6:7">
      <c r="F126" s="32" t="s">
        <v>2077</v>
      </c>
      <c r="G126" s="32" t="s">
        <v>44</v>
      </c>
    </row>
    <row r="127" spans="6:7">
      <c r="F127" s="32" t="s">
        <v>2324</v>
      </c>
      <c r="G127" s="32" t="s">
        <v>44</v>
      </c>
    </row>
    <row r="128" spans="6:7">
      <c r="F128" s="32" t="s">
        <v>4643</v>
      </c>
      <c r="G128" s="32" t="s">
        <v>44</v>
      </c>
    </row>
    <row r="129" spans="6:7">
      <c r="F129" s="32" t="s">
        <v>5570</v>
      </c>
      <c r="G129" s="32" t="s">
        <v>44</v>
      </c>
    </row>
    <row r="130" spans="6:7">
      <c r="F130" s="32" t="s">
        <v>5571</v>
      </c>
      <c r="G130" s="32" t="s">
        <v>44</v>
      </c>
    </row>
    <row r="131" spans="6:7">
      <c r="F131" s="32" t="s">
        <v>5572</v>
      </c>
      <c r="G131" s="32" t="s">
        <v>4881</v>
      </c>
    </row>
    <row r="132" spans="6:7">
      <c r="F132" s="32" t="s">
        <v>5573</v>
      </c>
      <c r="G132" s="32" t="s">
        <v>44</v>
      </c>
    </row>
    <row r="133" spans="6:7">
      <c r="F133" s="32" t="s">
        <v>5573</v>
      </c>
      <c r="G133" s="32" t="s">
        <v>44</v>
      </c>
    </row>
    <row r="134" spans="6:7">
      <c r="F134" s="32" t="s">
        <v>5255</v>
      </c>
      <c r="G134" s="32" t="s">
        <v>44</v>
      </c>
    </row>
    <row r="135" spans="6:7">
      <c r="F135" s="32" t="s">
        <v>2341</v>
      </c>
      <c r="G135" s="32" t="s">
        <v>44</v>
      </c>
    </row>
    <row r="136" spans="6:7">
      <c r="F136" s="32" t="s">
        <v>5574</v>
      </c>
      <c r="G136" s="32" t="s">
        <v>44</v>
      </c>
    </row>
    <row r="137" spans="6:7">
      <c r="F137" s="32" t="s">
        <v>5575</v>
      </c>
      <c r="G137" s="32" t="s">
        <v>44</v>
      </c>
    </row>
    <row r="138" spans="6:7">
      <c r="F138" s="32" t="s">
        <v>5576</v>
      </c>
      <c r="G138" s="32" t="s">
        <v>44</v>
      </c>
    </row>
    <row r="139" spans="6:7">
      <c r="F139" s="32" t="s">
        <v>5577</v>
      </c>
      <c r="G139" s="32" t="s">
        <v>44</v>
      </c>
    </row>
    <row r="140" spans="6:7">
      <c r="F140" s="32" t="s">
        <v>5578</v>
      </c>
      <c r="G140" s="32" t="s">
        <v>44</v>
      </c>
    </row>
    <row r="141" spans="6:7">
      <c r="F141" s="32" t="s">
        <v>5579</v>
      </c>
      <c r="G141" s="32" t="s">
        <v>44</v>
      </c>
    </row>
    <row r="142" spans="6:7">
      <c r="F142" s="32" t="s">
        <v>5580</v>
      </c>
      <c r="G142" s="32" t="s">
        <v>44</v>
      </c>
    </row>
    <row r="143" spans="6:7">
      <c r="F143" s="32" t="s">
        <v>5581</v>
      </c>
      <c r="G143" s="32" t="s">
        <v>44</v>
      </c>
    </row>
    <row r="144" spans="6:7">
      <c r="F144" s="32" t="s">
        <v>5582</v>
      </c>
      <c r="G144" s="32" t="s">
        <v>44</v>
      </c>
    </row>
    <row r="145" spans="6:7">
      <c r="F145" s="32" t="s">
        <v>5583</v>
      </c>
      <c r="G145" s="32" t="s">
        <v>44</v>
      </c>
    </row>
    <row r="146" spans="6:7">
      <c r="F146" s="32" t="s">
        <v>5584</v>
      </c>
      <c r="G146" s="32" t="s">
        <v>44</v>
      </c>
    </row>
    <row r="147" spans="6:7">
      <c r="F147" s="32" t="s">
        <v>5585</v>
      </c>
      <c r="G147" s="32" t="s">
        <v>44</v>
      </c>
    </row>
    <row r="148" spans="6:7">
      <c r="F148" s="32" t="s">
        <v>5586</v>
      </c>
      <c r="G148" s="32" t="s">
        <v>44</v>
      </c>
    </row>
    <row r="149" spans="6:7">
      <c r="F149" s="32" t="s">
        <v>5587</v>
      </c>
      <c r="G149" s="32" t="s">
        <v>44</v>
      </c>
    </row>
    <row r="150" spans="6:7">
      <c r="F150" s="32" t="s">
        <v>5511</v>
      </c>
      <c r="G150" s="32" t="s">
        <v>5508</v>
      </c>
    </row>
    <row r="151" spans="6:7">
      <c r="F151" s="32" t="s">
        <v>5588</v>
      </c>
      <c r="G151" s="32" t="s">
        <v>5508</v>
      </c>
    </row>
    <row r="152" spans="6:7">
      <c r="F152" s="32" t="s">
        <v>5589</v>
      </c>
      <c r="G152" s="32" t="s">
        <v>5508</v>
      </c>
    </row>
    <row r="153" spans="6:7">
      <c r="F153" s="32" t="s">
        <v>4169</v>
      </c>
      <c r="G153" s="32" t="s">
        <v>5508</v>
      </c>
    </row>
    <row r="154" spans="6:7">
      <c r="F154" s="32" t="s">
        <v>5590</v>
      </c>
      <c r="G154" s="32" t="s">
        <v>5508</v>
      </c>
    </row>
    <row r="155" spans="6:7">
      <c r="F155" s="32" t="s">
        <v>859</v>
      </c>
      <c r="G155" s="32" t="s">
        <v>5508</v>
      </c>
    </row>
    <row r="156" spans="6:7">
      <c r="F156" s="36" t="s">
        <v>5591</v>
      </c>
      <c r="G156" s="32" t="s">
        <v>5508</v>
      </c>
    </row>
    <row r="157" spans="6:7">
      <c r="F157" s="34" t="s">
        <v>744</v>
      </c>
      <c r="G157" s="32" t="s">
        <v>5508</v>
      </c>
    </row>
    <row r="158" spans="6:7">
      <c r="F158" s="32" t="s">
        <v>4081</v>
      </c>
      <c r="G158" s="32" t="s">
        <v>5508</v>
      </c>
    </row>
    <row r="159" spans="6:7">
      <c r="F159" s="32" t="s">
        <v>4884</v>
      </c>
      <c r="G159" s="32" t="s">
        <v>5508</v>
      </c>
    </row>
    <row r="160" spans="6:7">
      <c r="F160" s="32" t="s">
        <v>70</v>
      </c>
      <c r="G160" s="32" t="s">
        <v>5483</v>
      </c>
    </row>
    <row r="161" spans="6:7">
      <c r="F161" s="32" t="s">
        <v>5592</v>
      </c>
      <c r="G161" s="32" t="s">
        <v>5483</v>
      </c>
    </row>
    <row r="162" spans="6:7">
      <c r="F162" s="32" t="s">
        <v>5593</v>
      </c>
      <c r="G162" s="32" t="s">
        <v>5483</v>
      </c>
    </row>
    <row r="163" spans="6:7">
      <c r="F163" s="32" t="s">
        <v>5594</v>
      </c>
      <c r="G163" s="32" t="s">
        <v>5483</v>
      </c>
    </row>
    <row r="164" spans="6:7">
      <c r="F164" s="32" t="s">
        <v>5595</v>
      </c>
      <c r="G164" s="32" t="s">
        <v>5483</v>
      </c>
    </row>
    <row r="165" spans="6:7">
      <c r="F165" s="32" t="s">
        <v>5596</v>
      </c>
      <c r="G165" s="32" t="s">
        <v>5483</v>
      </c>
    </row>
    <row r="166" spans="6:7">
      <c r="F166" s="32" t="s">
        <v>5597</v>
      </c>
      <c r="G166" s="32" t="s">
        <v>5483</v>
      </c>
    </row>
    <row r="167" spans="6:7">
      <c r="F167" s="32" t="s">
        <v>193</v>
      </c>
      <c r="G167" s="32" t="s">
        <v>5483</v>
      </c>
    </row>
    <row r="168" spans="6:7">
      <c r="F168" s="32" t="s">
        <v>163</v>
      </c>
      <c r="G168" s="32" t="s">
        <v>5483</v>
      </c>
    </row>
    <row r="169" spans="6:7">
      <c r="F169" s="32" t="s">
        <v>75</v>
      </c>
      <c r="G169" s="32" t="s">
        <v>5483</v>
      </c>
    </row>
    <row r="170" spans="6:7">
      <c r="F170" s="36" t="s">
        <v>5596</v>
      </c>
      <c r="G170" s="32" t="s">
        <v>5483</v>
      </c>
    </row>
    <row r="171" spans="6:7">
      <c r="F171" s="40" t="s">
        <v>5598</v>
      </c>
      <c r="G171" s="32" t="s">
        <v>5483</v>
      </c>
    </row>
    <row r="172" spans="6:7">
      <c r="F172" s="32" t="s">
        <v>250</v>
      </c>
      <c r="G172" s="32" t="s">
        <v>5483</v>
      </c>
    </row>
    <row r="173" spans="6:7">
      <c r="F173" s="32" t="s">
        <v>441</v>
      </c>
      <c r="G173" s="32" t="s">
        <v>5483</v>
      </c>
    </row>
    <row r="174" spans="6:7">
      <c r="F174" s="32" t="s">
        <v>5599</v>
      </c>
      <c r="G174" s="32" t="s">
        <v>5483</v>
      </c>
    </row>
    <row r="175" spans="6:7">
      <c r="F175" s="32" t="s">
        <v>5600</v>
      </c>
      <c r="G175" s="32" t="s">
        <v>5483</v>
      </c>
    </row>
    <row r="176" spans="6:7">
      <c r="F176" s="32" t="s">
        <v>2255</v>
      </c>
      <c r="G176" s="32" t="s">
        <v>5483</v>
      </c>
    </row>
    <row r="177" spans="6:7">
      <c r="F177" s="32" t="s">
        <v>5601</v>
      </c>
      <c r="G177" s="32" t="s">
        <v>5483</v>
      </c>
    </row>
    <row r="178" spans="6:7">
      <c r="F178" s="32" t="s">
        <v>5602</v>
      </c>
      <c r="G178" s="32" t="s">
        <v>5483</v>
      </c>
    </row>
    <row r="179" spans="6:7">
      <c r="F179" s="32" t="s">
        <v>5603</v>
      </c>
      <c r="G179" s="32" t="s">
        <v>4881</v>
      </c>
    </row>
    <row r="180" spans="6:7">
      <c r="F180" s="32" t="s">
        <v>5604</v>
      </c>
      <c r="G180" s="32" t="s">
        <v>41</v>
      </c>
    </row>
    <row r="181" spans="6:7">
      <c r="F181" s="32" t="s">
        <v>5605</v>
      </c>
      <c r="G181" s="32" t="s">
        <v>44</v>
      </c>
    </row>
    <row r="182" spans="6:7">
      <c r="F182" s="32" t="s">
        <v>5606</v>
      </c>
      <c r="G182" s="32" t="s">
        <v>44</v>
      </c>
    </row>
    <row r="183" spans="6:7">
      <c r="F183" s="32" t="s">
        <v>5607</v>
      </c>
      <c r="G183" s="32" t="s">
        <v>44</v>
      </c>
    </row>
    <row r="184" spans="6:7">
      <c r="F184" s="32" t="s">
        <v>5608</v>
      </c>
      <c r="G184" s="32" t="s">
        <v>44</v>
      </c>
    </row>
    <row r="185" spans="6:7">
      <c r="F185" s="32" t="s">
        <v>5609</v>
      </c>
      <c r="G185" s="32" t="s">
        <v>44</v>
      </c>
    </row>
    <row r="186" spans="6:7">
      <c r="F186" s="32" t="s">
        <v>5610</v>
      </c>
      <c r="G186" s="32" t="s">
        <v>5525</v>
      </c>
    </row>
    <row r="187" spans="6:7">
      <c r="F187" s="32" t="s">
        <v>5611</v>
      </c>
      <c r="G187" s="32" t="s">
        <v>5421</v>
      </c>
    </row>
    <row r="188" spans="6:7">
      <c r="F188" s="32" t="s">
        <v>218</v>
      </c>
      <c r="G188" s="32" t="s">
        <v>5421</v>
      </c>
    </row>
    <row r="189" spans="6:7">
      <c r="F189" s="32" t="s">
        <v>5612</v>
      </c>
      <c r="G189" s="32" t="s">
        <v>5522</v>
      </c>
    </row>
    <row r="190" spans="6:7">
      <c r="F190" s="32" t="s">
        <v>5603</v>
      </c>
      <c r="G190" s="32" t="s">
        <v>4881</v>
      </c>
    </row>
    <row r="191" spans="6:7">
      <c r="F191" s="32" t="s">
        <v>5540</v>
      </c>
      <c r="G191" s="32" t="s">
        <v>5522</v>
      </c>
    </row>
    <row r="192" spans="6:7">
      <c r="F192" s="32" t="s">
        <v>5612</v>
      </c>
      <c r="G192" s="32" t="s">
        <v>5522</v>
      </c>
    </row>
    <row r="193" spans="6:7" ht="15.75">
      <c r="F193" s="41" t="s">
        <v>5613</v>
      </c>
      <c r="G193" s="32" t="s">
        <v>44</v>
      </c>
    </row>
    <row r="194" spans="6:7">
      <c r="F194" s="32" t="s">
        <v>5614</v>
      </c>
      <c r="G194" s="32" t="s">
        <v>44</v>
      </c>
    </row>
    <row r="195" spans="6:7">
      <c r="F195" s="32" t="s">
        <v>5615</v>
      </c>
      <c r="G195" s="32" t="s">
        <v>44</v>
      </c>
    </row>
    <row r="196" spans="6:7">
      <c r="F196" s="32" t="s">
        <v>5616</v>
      </c>
      <c r="G196" s="32" t="s">
        <v>5522</v>
      </c>
    </row>
  </sheetData>
  <autoFilter ref="F1:G196" xr:uid="{32801821-46E8-471C-BF61-E7BB6142293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B3483-6AB1-482C-B4EC-0B97B9244C4B}">
  <sheetPr codeName="Sheet9"/>
  <dimension ref="A1:E333"/>
  <sheetViews>
    <sheetView workbookViewId="0">
      <selection activeCell="B11" sqref="B11"/>
    </sheetView>
  </sheetViews>
  <sheetFormatPr defaultRowHeight="15"/>
  <cols>
    <col min="1" max="1" width="25.28515625" customWidth="1"/>
    <col min="2" max="2" width="22.5703125" customWidth="1"/>
    <col min="3" max="3" width="15.28515625" customWidth="1"/>
    <col min="4" max="4" width="15.140625" customWidth="1"/>
    <col min="5" max="5" width="17.85546875" customWidth="1"/>
  </cols>
  <sheetData>
    <row r="1" spans="1:5">
      <c r="A1" s="80" t="s">
        <v>5617</v>
      </c>
      <c r="B1" s="80" t="s">
        <v>5618</v>
      </c>
      <c r="C1" s="80" t="s">
        <v>20</v>
      </c>
      <c r="D1" s="80" t="s">
        <v>5619</v>
      </c>
      <c r="E1" s="80" t="s">
        <v>20</v>
      </c>
    </row>
    <row r="2" spans="1:5">
      <c r="A2" s="54" t="s">
        <v>5620</v>
      </c>
      <c r="B2" s="54" t="s">
        <v>5620</v>
      </c>
      <c r="C2" s="54" t="s">
        <v>24</v>
      </c>
      <c r="D2" s="54" t="s">
        <v>5621</v>
      </c>
      <c r="E2" s="54" t="s">
        <v>24</v>
      </c>
    </row>
    <row r="3" spans="1:5">
      <c r="A3" s="54" t="s">
        <v>5622</v>
      </c>
      <c r="B3" s="54" t="s">
        <v>5622</v>
      </c>
      <c r="C3" s="54" t="s">
        <v>24</v>
      </c>
      <c r="D3" s="54" t="s">
        <v>5621</v>
      </c>
      <c r="E3" s="54" t="s">
        <v>24</v>
      </c>
    </row>
    <row r="4" spans="1:5">
      <c r="A4" s="54" t="s">
        <v>5623</v>
      </c>
      <c r="B4" s="54" t="s">
        <v>5623</v>
      </c>
      <c r="C4" s="54" t="s">
        <v>5468</v>
      </c>
      <c r="D4" s="54" t="s">
        <v>5621</v>
      </c>
      <c r="E4" s="54" t="s">
        <v>5468</v>
      </c>
    </row>
    <row r="5" spans="1:5">
      <c r="A5" s="54" t="s">
        <v>5624</v>
      </c>
      <c r="B5" s="54" t="s">
        <v>5624</v>
      </c>
      <c r="C5" s="54" t="s">
        <v>24</v>
      </c>
      <c r="D5" s="54" t="s">
        <v>5621</v>
      </c>
      <c r="E5" s="54" t="s">
        <v>24</v>
      </c>
    </row>
    <row r="6" spans="1:5">
      <c r="A6" s="54" t="s">
        <v>5625</v>
      </c>
      <c r="B6" s="54" t="s">
        <v>5625</v>
      </c>
      <c r="C6" s="54" t="s">
        <v>238</v>
      </c>
      <c r="D6" s="54" t="s">
        <v>5621</v>
      </c>
      <c r="E6" s="54" t="s">
        <v>238</v>
      </c>
    </row>
    <row r="7" spans="1:5">
      <c r="A7" s="54" t="s">
        <v>5626</v>
      </c>
      <c r="B7" s="54" t="s">
        <v>5626</v>
      </c>
      <c r="C7" s="54" t="s">
        <v>24</v>
      </c>
      <c r="D7" s="54" t="s">
        <v>5621</v>
      </c>
      <c r="E7" s="54" t="s">
        <v>24</v>
      </c>
    </row>
    <row r="8" spans="1:5">
      <c r="A8" s="54" t="s">
        <v>308</v>
      </c>
      <c r="B8" s="54" t="s">
        <v>308</v>
      </c>
      <c r="C8" s="54" t="s">
        <v>5627</v>
      </c>
      <c r="D8" s="54" t="s">
        <v>5621</v>
      </c>
      <c r="E8" s="54" t="s">
        <v>5480</v>
      </c>
    </row>
    <row r="9" spans="1:5">
      <c r="A9" s="54" t="s">
        <v>5505</v>
      </c>
      <c r="B9" s="54" t="s">
        <v>5505</v>
      </c>
      <c r="C9" s="54" t="s">
        <v>5627</v>
      </c>
      <c r="D9" s="54" t="s">
        <v>5628</v>
      </c>
      <c r="E9" s="54" t="s">
        <v>5480</v>
      </c>
    </row>
    <row r="10" spans="1:5">
      <c r="A10" s="54" t="s">
        <v>5629</v>
      </c>
      <c r="B10" s="54" t="s">
        <v>5629</v>
      </c>
      <c r="C10" s="54" t="s">
        <v>24</v>
      </c>
      <c r="D10" s="54" t="s">
        <v>5621</v>
      </c>
      <c r="E10" s="54" t="s">
        <v>24</v>
      </c>
    </row>
    <row r="11" spans="1:5">
      <c r="A11" s="54" t="s">
        <v>5630</v>
      </c>
      <c r="B11" s="54" t="s">
        <v>5630</v>
      </c>
      <c r="C11" s="54" t="s">
        <v>24</v>
      </c>
      <c r="D11" s="54" t="s">
        <v>5621</v>
      </c>
      <c r="E11" s="54" t="s">
        <v>24</v>
      </c>
    </row>
    <row r="12" spans="1:5">
      <c r="A12" s="54" t="s">
        <v>3680</v>
      </c>
      <c r="B12" s="81" t="s">
        <v>3680</v>
      </c>
      <c r="C12" s="54" t="s">
        <v>5421</v>
      </c>
      <c r="D12" s="54" t="s">
        <v>5621</v>
      </c>
      <c r="E12" s="54" t="s">
        <v>5421</v>
      </c>
    </row>
    <row r="13" spans="1:5">
      <c r="A13" s="54" t="s">
        <v>851</v>
      </c>
      <c r="B13" s="54" t="s">
        <v>851</v>
      </c>
      <c r="C13" s="54" t="s">
        <v>37</v>
      </c>
      <c r="D13" s="54" t="s">
        <v>5621</v>
      </c>
      <c r="E13" s="82" t="s">
        <v>37</v>
      </c>
    </row>
    <row r="14" spans="1:5">
      <c r="A14" s="54" t="s">
        <v>5631</v>
      </c>
      <c r="B14" s="54" t="s">
        <v>5631</v>
      </c>
      <c r="C14" s="54" t="s">
        <v>24</v>
      </c>
      <c r="D14" s="54" t="s">
        <v>5621</v>
      </c>
      <c r="E14" s="54" t="s">
        <v>24</v>
      </c>
    </row>
    <row r="15" spans="1:5">
      <c r="A15" s="54" t="s">
        <v>5632</v>
      </c>
      <c r="B15" s="54" t="s">
        <v>5632</v>
      </c>
      <c r="C15" s="54" t="s">
        <v>24</v>
      </c>
      <c r="D15" s="54" t="s">
        <v>5621</v>
      </c>
      <c r="E15" s="54" t="s">
        <v>24</v>
      </c>
    </row>
    <row r="16" spans="1:5">
      <c r="A16" s="54" t="s">
        <v>5506</v>
      </c>
      <c r="B16" s="54" t="s">
        <v>5506</v>
      </c>
      <c r="C16" s="54" t="s">
        <v>5480</v>
      </c>
      <c r="D16" s="54" t="s">
        <v>5621</v>
      </c>
      <c r="E16" s="54" t="s">
        <v>5480</v>
      </c>
    </row>
    <row r="17" spans="1:5">
      <c r="A17" s="54" t="s">
        <v>2565</v>
      </c>
      <c r="B17" s="54" t="s">
        <v>2565</v>
      </c>
      <c r="C17" s="54" t="s">
        <v>5430</v>
      </c>
      <c r="D17" s="54" t="s">
        <v>5621</v>
      </c>
      <c r="E17" s="54" t="s">
        <v>5430</v>
      </c>
    </row>
    <row r="18" spans="1:5">
      <c r="A18" s="54" t="s">
        <v>2727</v>
      </c>
      <c r="B18" s="54" t="s">
        <v>2727</v>
      </c>
      <c r="C18" s="54" t="s">
        <v>5633</v>
      </c>
      <c r="D18" s="54" t="s">
        <v>5628</v>
      </c>
      <c r="E18" s="54" t="s">
        <v>5633</v>
      </c>
    </row>
    <row r="19" spans="1:5">
      <c r="A19" s="54" t="s">
        <v>2760</v>
      </c>
      <c r="B19" s="54" t="s">
        <v>2760</v>
      </c>
      <c r="C19" s="54" t="s">
        <v>5430</v>
      </c>
      <c r="D19" s="54" t="s">
        <v>5621</v>
      </c>
      <c r="E19" s="54" t="s">
        <v>5430</v>
      </c>
    </row>
    <row r="20" spans="1:5">
      <c r="A20" s="54" t="s">
        <v>5634</v>
      </c>
      <c r="B20" s="54" t="s">
        <v>5634</v>
      </c>
      <c r="C20" s="54" t="s">
        <v>24</v>
      </c>
      <c r="D20" s="54" t="s">
        <v>5621</v>
      </c>
      <c r="E20" s="54" t="s">
        <v>24</v>
      </c>
    </row>
    <row r="21" spans="1:5">
      <c r="A21" s="54" t="s">
        <v>5635</v>
      </c>
      <c r="B21" s="54" t="s">
        <v>5635</v>
      </c>
      <c r="C21" s="54" t="s">
        <v>5480</v>
      </c>
      <c r="D21" s="54" t="s">
        <v>5621</v>
      </c>
      <c r="E21" s="54" t="s">
        <v>5480</v>
      </c>
    </row>
    <row r="22" spans="1:5">
      <c r="A22" s="54" t="s">
        <v>5636</v>
      </c>
      <c r="B22" s="54" t="s">
        <v>5636</v>
      </c>
      <c r="C22" s="54" t="s">
        <v>24</v>
      </c>
      <c r="D22" s="54" t="s">
        <v>5621</v>
      </c>
      <c r="E22" s="82" t="s">
        <v>24</v>
      </c>
    </row>
    <row r="23" spans="1:5">
      <c r="A23" s="54" t="s">
        <v>5637</v>
      </c>
      <c r="B23" s="54" t="s">
        <v>5637</v>
      </c>
      <c r="C23" s="54" t="s">
        <v>24</v>
      </c>
      <c r="D23" s="54" t="s">
        <v>5621</v>
      </c>
      <c r="E23" s="54" t="s">
        <v>24</v>
      </c>
    </row>
    <row r="24" spans="1:5">
      <c r="A24" s="54" t="s">
        <v>5638</v>
      </c>
      <c r="B24" s="54" t="s">
        <v>5638</v>
      </c>
      <c r="C24" s="54" t="s">
        <v>24</v>
      </c>
      <c r="D24" s="54" t="s">
        <v>5621</v>
      </c>
      <c r="E24" s="54" t="s">
        <v>24</v>
      </c>
    </row>
    <row r="25" spans="1:5">
      <c r="A25" s="54" t="s">
        <v>5639</v>
      </c>
      <c r="B25" s="54" t="s">
        <v>5639</v>
      </c>
      <c r="C25" s="54" t="s">
        <v>24</v>
      </c>
      <c r="D25" s="54" t="s">
        <v>5621</v>
      </c>
      <c r="E25" s="54" t="s">
        <v>24</v>
      </c>
    </row>
    <row r="26" spans="1:5">
      <c r="A26" s="54" t="s">
        <v>5640</v>
      </c>
      <c r="B26" s="54" t="s">
        <v>5640</v>
      </c>
      <c r="C26" s="54" t="s">
        <v>5480</v>
      </c>
      <c r="D26" s="54" t="s">
        <v>5621</v>
      </c>
      <c r="E26" s="54" t="s">
        <v>5480</v>
      </c>
    </row>
    <row r="27" spans="1:5">
      <c r="A27" s="54" t="s">
        <v>1364</v>
      </c>
      <c r="B27" s="54" t="s">
        <v>1364</v>
      </c>
      <c r="C27" s="54" t="s">
        <v>5480</v>
      </c>
      <c r="D27" s="54" t="s">
        <v>5621</v>
      </c>
      <c r="E27" s="54" t="s">
        <v>5480</v>
      </c>
    </row>
    <row r="28" spans="1:5">
      <c r="A28" s="54" t="s">
        <v>5510</v>
      </c>
      <c r="B28" s="54" t="s">
        <v>5510</v>
      </c>
      <c r="C28" s="54" t="s">
        <v>5421</v>
      </c>
      <c r="D28" s="54" t="s">
        <v>5621</v>
      </c>
      <c r="E28" s="54" t="s">
        <v>5421</v>
      </c>
    </row>
    <row r="29" spans="1:5">
      <c r="A29" s="54" t="s">
        <v>5641</v>
      </c>
      <c r="B29" s="54" t="s">
        <v>5641</v>
      </c>
      <c r="C29" s="54" t="s">
        <v>24</v>
      </c>
      <c r="D29" s="54" t="s">
        <v>5621</v>
      </c>
      <c r="E29" s="54" t="s">
        <v>24</v>
      </c>
    </row>
    <row r="30" spans="1:5">
      <c r="A30" s="54" t="s">
        <v>5642</v>
      </c>
      <c r="B30" s="54" t="s">
        <v>5642</v>
      </c>
      <c r="C30" s="54" t="s">
        <v>24</v>
      </c>
      <c r="D30" s="54" t="s">
        <v>5621</v>
      </c>
      <c r="E30" s="54" t="s">
        <v>24</v>
      </c>
    </row>
    <row r="31" spans="1:5">
      <c r="A31" s="83" t="s">
        <v>5643</v>
      </c>
      <c r="B31" s="54" t="s">
        <v>5643</v>
      </c>
      <c r="C31" s="54" t="s">
        <v>24</v>
      </c>
      <c r="D31" s="54" t="s">
        <v>5621</v>
      </c>
      <c r="E31" s="54" t="s">
        <v>24</v>
      </c>
    </row>
    <row r="32" spans="1:5">
      <c r="A32" s="84" t="s">
        <v>121</v>
      </c>
      <c r="B32" s="54" t="s">
        <v>121</v>
      </c>
      <c r="C32" s="54" t="s">
        <v>5480</v>
      </c>
      <c r="D32" s="54" t="s">
        <v>5621</v>
      </c>
      <c r="E32" s="54" t="s">
        <v>5480</v>
      </c>
    </row>
    <row r="33" spans="1:5">
      <c r="A33" s="54" t="s">
        <v>1754</v>
      </c>
      <c r="B33" s="54" t="s">
        <v>1754</v>
      </c>
      <c r="C33" s="54" t="s">
        <v>5480</v>
      </c>
      <c r="D33" s="54" t="s">
        <v>5621</v>
      </c>
      <c r="E33" s="54" t="s">
        <v>5480</v>
      </c>
    </row>
    <row r="34" spans="1:5">
      <c r="A34" s="84" t="s">
        <v>5644</v>
      </c>
      <c r="B34" s="54" t="s">
        <v>5644</v>
      </c>
      <c r="C34" s="54" t="s">
        <v>24</v>
      </c>
      <c r="D34" s="54" t="s">
        <v>5621</v>
      </c>
      <c r="E34" s="54" t="s">
        <v>24</v>
      </c>
    </row>
    <row r="35" spans="1:5">
      <c r="A35" s="84" t="s">
        <v>5645</v>
      </c>
      <c r="B35" s="54" t="s">
        <v>5645</v>
      </c>
      <c r="C35" s="54" t="s">
        <v>24</v>
      </c>
      <c r="D35" s="54" t="s">
        <v>5621</v>
      </c>
      <c r="E35" s="54" t="s">
        <v>24</v>
      </c>
    </row>
    <row r="36" spans="1:5">
      <c r="A36" s="54" t="s">
        <v>5513</v>
      </c>
      <c r="B36" s="54" t="s">
        <v>5513</v>
      </c>
      <c r="C36" s="54" t="s">
        <v>5430</v>
      </c>
      <c r="D36" s="54" t="s">
        <v>5621</v>
      </c>
      <c r="E36" s="54" t="s">
        <v>5430</v>
      </c>
    </row>
    <row r="37" spans="1:5">
      <c r="A37" s="54" t="s">
        <v>5646</v>
      </c>
      <c r="B37" s="54" t="s">
        <v>5646</v>
      </c>
      <c r="C37" s="54" t="s">
        <v>24</v>
      </c>
      <c r="D37" s="54" t="s">
        <v>5621</v>
      </c>
      <c r="E37" s="54" t="s">
        <v>24</v>
      </c>
    </row>
    <row r="38" spans="1:5">
      <c r="A38" s="54" t="s">
        <v>878</v>
      </c>
      <c r="B38" s="54" t="s">
        <v>878</v>
      </c>
      <c r="C38" s="54" t="s">
        <v>5430</v>
      </c>
      <c r="D38" s="54" t="s">
        <v>5621</v>
      </c>
      <c r="E38" s="54" t="s">
        <v>5430</v>
      </c>
    </row>
    <row r="39" spans="1:5">
      <c r="A39" s="54" t="s">
        <v>5647</v>
      </c>
      <c r="B39" s="54" t="s">
        <v>5647</v>
      </c>
      <c r="C39" s="54" t="s">
        <v>24</v>
      </c>
      <c r="D39" s="54" t="s">
        <v>5621</v>
      </c>
      <c r="E39" s="54" t="s">
        <v>24</v>
      </c>
    </row>
    <row r="40" spans="1:5">
      <c r="A40" s="54" t="s">
        <v>5648</v>
      </c>
      <c r="B40" s="54" t="s">
        <v>5648</v>
      </c>
      <c r="C40" s="54" t="s">
        <v>24</v>
      </c>
      <c r="D40" s="54" t="s">
        <v>5621</v>
      </c>
      <c r="E40" s="82" t="s">
        <v>24</v>
      </c>
    </row>
    <row r="41" spans="1:5">
      <c r="A41" s="54" t="s">
        <v>3381</v>
      </c>
      <c r="B41" s="54" t="s">
        <v>3381</v>
      </c>
      <c r="C41" s="54" t="s">
        <v>5468</v>
      </c>
      <c r="D41" s="54" t="s">
        <v>5621</v>
      </c>
      <c r="E41" s="54" t="s">
        <v>5468</v>
      </c>
    </row>
    <row r="42" spans="1:5">
      <c r="A42" s="54" t="s">
        <v>1890</v>
      </c>
      <c r="B42" s="54" t="s">
        <v>1890</v>
      </c>
      <c r="C42" s="54" t="s">
        <v>37</v>
      </c>
      <c r="D42" s="54" t="s">
        <v>5621</v>
      </c>
      <c r="E42" s="54" t="s">
        <v>37</v>
      </c>
    </row>
    <row r="43" spans="1:5">
      <c r="A43" s="2" t="s">
        <v>375</v>
      </c>
      <c r="B43" s="2" t="s">
        <v>375</v>
      </c>
      <c r="C43" s="54" t="s">
        <v>5627</v>
      </c>
      <c r="D43" s="85" t="s">
        <v>5628</v>
      </c>
      <c r="E43" s="54" t="s">
        <v>5480</v>
      </c>
    </row>
    <row r="44" spans="1:5">
      <c r="A44" s="2" t="s">
        <v>4320</v>
      </c>
      <c r="B44" s="2" t="s">
        <v>4320</v>
      </c>
      <c r="C44" s="54" t="s">
        <v>5480</v>
      </c>
      <c r="D44" s="85" t="s">
        <v>5621</v>
      </c>
      <c r="E44" s="54" t="s">
        <v>5480</v>
      </c>
    </row>
    <row r="45" spans="1:5">
      <c r="A45" s="2" t="s">
        <v>5514</v>
      </c>
      <c r="B45" s="2" t="s">
        <v>5514</v>
      </c>
      <c r="C45" s="54" t="s">
        <v>5480</v>
      </c>
      <c r="D45" s="54" t="s">
        <v>5621</v>
      </c>
      <c r="E45" s="54" t="s">
        <v>5480</v>
      </c>
    </row>
    <row r="46" spans="1:5">
      <c r="A46" s="2" t="s">
        <v>1893</v>
      </c>
      <c r="B46" s="2" t="s">
        <v>1893</v>
      </c>
      <c r="C46" s="54" t="s">
        <v>5627</v>
      </c>
      <c r="D46" s="54" t="s">
        <v>5621</v>
      </c>
      <c r="E46" s="54" t="s">
        <v>5480</v>
      </c>
    </row>
    <row r="47" spans="1:5">
      <c r="A47" s="2" t="s">
        <v>5192</v>
      </c>
      <c r="B47" s="2" t="s">
        <v>5192</v>
      </c>
      <c r="C47" s="54">
        <v>0</v>
      </c>
      <c r="D47" s="54" t="s">
        <v>5621</v>
      </c>
      <c r="E47" s="54"/>
    </row>
    <row r="48" spans="1:5">
      <c r="A48" s="54" t="s">
        <v>5515</v>
      </c>
      <c r="B48" s="54" t="s">
        <v>5515</v>
      </c>
      <c r="C48" s="54" t="s">
        <v>5483</v>
      </c>
      <c r="D48" s="54" t="s">
        <v>5649</v>
      </c>
      <c r="E48" t="s">
        <v>5483</v>
      </c>
    </row>
    <row r="49" spans="1:5">
      <c r="A49" s="54" t="s">
        <v>2019</v>
      </c>
      <c r="B49" s="54" t="s">
        <v>2019</v>
      </c>
      <c r="C49" s="54" t="s">
        <v>5483</v>
      </c>
      <c r="D49" s="54" t="s">
        <v>5649</v>
      </c>
      <c r="E49" s="54" t="s">
        <v>5483</v>
      </c>
    </row>
    <row r="50" spans="1:5">
      <c r="A50" s="54" t="s">
        <v>3861</v>
      </c>
      <c r="B50" s="54" t="s">
        <v>3861</v>
      </c>
      <c r="C50" s="54" t="s">
        <v>5430</v>
      </c>
      <c r="D50" s="54" t="s">
        <v>5621</v>
      </c>
      <c r="E50" s="54" t="s">
        <v>5430</v>
      </c>
    </row>
    <row r="51" spans="1:5">
      <c r="A51" s="54" t="s">
        <v>5516</v>
      </c>
      <c r="B51" s="54" t="s">
        <v>5516</v>
      </c>
      <c r="C51" s="54" t="s">
        <v>37</v>
      </c>
      <c r="D51" s="54" t="s">
        <v>5621</v>
      </c>
      <c r="E51" s="54" t="s">
        <v>37</v>
      </c>
    </row>
    <row r="52" spans="1:5">
      <c r="A52" s="86" t="s">
        <v>5650</v>
      </c>
      <c r="B52" s="86" t="s">
        <v>5650</v>
      </c>
      <c r="C52" s="54" t="s">
        <v>35</v>
      </c>
      <c r="D52" s="54" t="s">
        <v>5649</v>
      </c>
      <c r="E52" s="54" t="s">
        <v>35</v>
      </c>
    </row>
    <row r="53" spans="1:5">
      <c r="A53" s="54" t="s">
        <v>3610</v>
      </c>
      <c r="B53" s="54" t="s">
        <v>3610</v>
      </c>
      <c r="C53" s="54" t="s">
        <v>5430</v>
      </c>
      <c r="D53" s="54" t="s">
        <v>5621</v>
      </c>
      <c r="E53" s="54" t="s">
        <v>5430</v>
      </c>
    </row>
    <row r="54" spans="1:5">
      <c r="A54" s="54" t="s">
        <v>85</v>
      </c>
      <c r="B54" s="54" t="s">
        <v>85</v>
      </c>
      <c r="C54" s="54" t="s">
        <v>5421</v>
      </c>
      <c r="D54" s="54" t="s">
        <v>5621</v>
      </c>
      <c r="E54" s="54" t="s">
        <v>5421</v>
      </c>
    </row>
    <row r="55" spans="1:5">
      <c r="A55" s="54" t="s">
        <v>116</v>
      </c>
      <c r="B55" s="54" t="s">
        <v>116</v>
      </c>
      <c r="C55" s="54" t="s">
        <v>5480</v>
      </c>
      <c r="D55" s="87" t="s">
        <v>5621</v>
      </c>
      <c r="E55" s="85" t="s">
        <v>5480</v>
      </c>
    </row>
    <row r="56" spans="1:5">
      <c r="A56" s="88" t="s">
        <v>5651</v>
      </c>
      <c r="B56" s="88" t="s">
        <v>5651</v>
      </c>
      <c r="C56" s="54" t="s">
        <v>5652</v>
      </c>
      <c r="D56" s="54" t="s">
        <v>5653</v>
      </c>
      <c r="E56" s="88" t="s">
        <v>5652</v>
      </c>
    </row>
    <row r="57" spans="1:5">
      <c r="A57" s="54" t="s">
        <v>1831</v>
      </c>
      <c r="B57" s="81" t="s">
        <v>1831</v>
      </c>
      <c r="C57" s="54" t="s">
        <v>5421</v>
      </c>
      <c r="D57" s="54" t="s">
        <v>5621</v>
      </c>
      <c r="E57" s="54" t="s">
        <v>5421</v>
      </c>
    </row>
    <row r="58" spans="1:5">
      <c r="A58" s="54" t="s">
        <v>3764</v>
      </c>
      <c r="B58" s="81" t="s">
        <v>3764</v>
      </c>
      <c r="C58" s="54" t="s">
        <v>5421</v>
      </c>
      <c r="D58" s="54" t="s">
        <v>5621</v>
      </c>
      <c r="E58" s="54" t="s">
        <v>5421</v>
      </c>
    </row>
    <row r="59" spans="1:5">
      <c r="A59" s="54" t="s">
        <v>834</v>
      </c>
      <c r="B59" s="54" t="s">
        <v>834</v>
      </c>
      <c r="C59" s="54" t="s">
        <v>238</v>
      </c>
      <c r="D59" s="54" t="s">
        <v>5621</v>
      </c>
      <c r="E59" s="2" t="s">
        <v>238</v>
      </c>
    </row>
    <row r="60" spans="1:5">
      <c r="A60" s="54" t="s">
        <v>4630</v>
      </c>
      <c r="B60" s="54" t="s">
        <v>4630</v>
      </c>
      <c r="C60" s="54" t="s">
        <v>238</v>
      </c>
      <c r="D60" s="54" t="s">
        <v>5621</v>
      </c>
      <c r="E60" s="54" t="s">
        <v>238</v>
      </c>
    </row>
    <row r="61" spans="1:5">
      <c r="A61" s="54" t="s">
        <v>1096</v>
      </c>
      <c r="B61" s="54" t="s">
        <v>1096</v>
      </c>
      <c r="C61" s="54" t="s">
        <v>238</v>
      </c>
      <c r="D61" s="54" t="s">
        <v>5621</v>
      </c>
      <c r="E61" s="54" t="s">
        <v>238</v>
      </c>
    </row>
    <row r="62" spans="1:5">
      <c r="A62" s="54" t="s">
        <v>5517</v>
      </c>
      <c r="B62" s="54" t="s">
        <v>5517</v>
      </c>
      <c r="C62" s="54" t="s">
        <v>238</v>
      </c>
      <c r="D62" s="54" t="s">
        <v>5621</v>
      </c>
      <c r="E62" s="54" t="s">
        <v>238</v>
      </c>
    </row>
    <row r="63" spans="1:5">
      <c r="A63" s="54" t="s">
        <v>1357</v>
      </c>
      <c r="B63" s="54" t="s">
        <v>1357</v>
      </c>
      <c r="C63" s="54" t="s">
        <v>238</v>
      </c>
      <c r="D63" s="54" t="s">
        <v>5621</v>
      </c>
      <c r="E63" s="54" t="s">
        <v>238</v>
      </c>
    </row>
    <row r="64" spans="1:5">
      <c r="A64" s="54" t="s">
        <v>458</v>
      </c>
      <c r="B64" s="54" t="s">
        <v>458</v>
      </c>
      <c r="C64" s="54" t="s">
        <v>5421</v>
      </c>
      <c r="D64" s="54" t="s">
        <v>5621</v>
      </c>
      <c r="E64" s="54" t="s">
        <v>5421</v>
      </c>
    </row>
    <row r="65" spans="1:5">
      <c r="A65" s="54" t="s">
        <v>5121</v>
      </c>
      <c r="B65" s="54" t="s">
        <v>5121</v>
      </c>
      <c r="C65" s="54" t="s">
        <v>5468</v>
      </c>
      <c r="D65" s="54" t="s">
        <v>5621</v>
      </c>
      <c r="E65" s="54" t="s">
        <v>5468</v>
      </c>
    </row>
    <row r="66" spans="1:5">
      <c r="A66" s="2" t="s">
        <v>5654</v>
      </c>
      <c r="B66" s="2" t="s">
        <v>5654</v>
      </c>
      <c r="C66" s="54" t="s">
        <v>238</v>
      </c>
      <c r="D66" s="54" t="s">
        <v>5621</v>
      </c>
      <c r="E66" s="54" t="s">
        <v>238</v>
      </c>
    </row>
    <row r="67" spans="1:5">
      <c r="A67" s="2" t="s">
        <v>5519</v>
      </c>
      <c r="B67" s="2" t="s">
        <v>5519</v>
      </c>
      <c r="C67" s="54" t="s">
        <v>238</v>
      </c>
      <c r="D67" s="54" t="s">
        <v>5621</v>
      </c>
      <c r="E67" s="54" t="s">
        <v>238</v>
      </c>
    </row>
    <row r="68" spans="1:5">
      <c r="A68" s="2" t="s">
        <v>4721</v>
      </c>
      <c r="B68" s="2" t="s">
        <v>4721</v>
      </c>
      <c r="C68" s="54" t="s">
        <v>238</v>
      </c>
      <c r="D68" s="54" t="s">
        <v>5621</v>
      </c>
      <c r="E68" s="2" t="s">
        <v>238</v>
      </c>
    </row>
    <row r="69" spans="1:5">
      <c r="A69" s="2" t="s">
        <v>5520</v>
      </c>
      <c r="B69" s="2" t="s">
        <v>5520</v>
      </c>
      <c r="C69" s="54" t="s">
        <v>238</v>
      </c>
      <c r="D69" s="54" t="s">
        <v>5621</v>
      </c>
      <c r="E69" s="2" t="s">
        <v>238</v>
      </c>
    </row>
    <row r="70" spans="1:5">
      <c r="A70" s="2" t="s">
        <v>5521</v>
      </c>
      <c r="B70" s="2" t="s">
        <v>5521</v>
      </c>
      <c r="C70" s="54" t="s">
        <v>238</v>
      </c>
      <c r="D70" s="54" t="s">
        <v>5621</v>
      </c>
      <c r="E70" s="54" t="s">
        <v>238</v>
      </c>
    </row>
    <row r="71" spans="1:5">
      <c r="A71" s="54" t="s">
        <v>144</v>
      </c>
      <c r="B71" s="81" t="s">
        <v>144</v>
      </c>
      <c r="C71" s="54" t="s">
        <v>5522</v>
      </c>
      <c r="D71" s="54" t="s">
        <v>5649</v>
      </c>
      <c r="E71" s="2" t="s">
        <v>5522</v>
      </c>
    </row>
    <row r="72" spans="1:5">
      <c r="A72" s="2" t="s">
        <v>3818</v>
      </c>
      <c r="B72" s="2" t="s">
        <v>3818</v>
      </c>
      <c r="C72" s="54" t="s">
        <v>5522</v>
      </c>
      <c r="D72" s="2" t="s">
        <v>5649</v>
      </c>
      <c r="E72" s="2" t="s">
        <v>5522</v>
      </c>
    </row>
    <row r="73" spans="1:5">
      <c r="A73" s="54" t="s">
        <v>5523</v>
      </c>
      <c r="B73" s="54" t="s">
        <v>5523</v>
      </c>
      <c r="C73" s="54" t="s">
        <v>5522</v>
      </c>
      <c r="D73" s="54" t="s">
        <v>5649</v>
      </c>
      <c r="E73" s="2" t="s">
        <v>5522</v>
      </c>
    </row>
    <row r="74" spans="1:5">
      <c r="A74" s="54" t="s">
        <v>5524</v>
      </c>
      <c r="B74" s="54" t="s">
        <v>5524</v>
      </c>
      <c r="C74" s="54" t="s">
        <v>5430</v>
      </c>
      <c r="D74" s="54" t="s">
        <v>5621</v>
      </c>
      <c r="E74" s="54" t="s">
        <v>5430</v>
      </c>
    </row>
    <row r="75" spans="1:5">
      <c r="A75" s="54" t="s">
        <v>5526</v>
      </c>
      <c r="B75" s="54" t="s">
        <v>5526</v>
      </c>
      <c r="C75" s="54">
        <v>0</v>
      </c>
      <c r="D75" s="54"/>
      <c r="E75" s="54"/>
    </row>
    <row r="76" spans="1:5">
      <c r="A76" s="54" t="s">
        <v>5527</v>
      </c>
      <c r="B76" s="54" t="s">
        <v>5527</v>
      </c>
      <c r="C76" s="54" t="s">
        <v>5430</v>
      </c>
      <c r="D76" s="54" t="s">
        <v>5621</v>
      </c>
      <c r="E76" s="54" t="s">
        <v>5430</v>
      </c>
    </row>
    <row r="77" spans="1:5">
      <c r="A77" s="2" t="s">
        <v>4311</v>
      </c>
      <c r="B77" s="2" t="s">
        <v>4311</v>
      </c>
      <c r="C77" s="54">
        <v>0</v>
      </c>
      <c r="D77" s="54"/>
      <c r="E77" s="2"/>
    </row>
    <row r="78" spans="1:5">
      <c r="A78" s="2" t="s">
        <v>4568</v>
      </c>
      <c r="B78" s="2" t="s">
        <v>4568</v>
      </c>
      <c r="C78" s="54">
        <v>0</v>
      </c>
      <c r="D78" s="54"/>
      <c r="E78" s="2"/>
    </row>
    <row r="79" spans="1:5">
      <c r="A79" s="2" t="s">
        <v>5655</v>
      </c>
      <c r="B79" s="2" t="s">
        <v>5655</v>
      </c>
      <c r="C79" s="54" t="s">
        <v>5656</v>
      </c>
      <c r="D79" s="54" t="s">
        <v>5621</v>
      </c>
      <c r="E79" s="2" t="s">
        <v>5656</v>
      </c>
    </row>
    <row r="80" spans="1:5">
      <c r="A80" s="89" t="s">
        <v>5530</v>
      </c>
      <c r="B80" s="54" t="s">
        <v>5530</v>
      </c>
      <c r="C80" s="54" t="s">
        <v>37</v>
      </c>
      <c r="D80" s="54" t="s">
        <v>5621</v>
      </c>
      <c r="E80" s="54" t="s">
        <v>37</v>
      </c>
    </row>
    <row r="81" spans="1:5">
      <c r="A81" s="54" t="s">
        <v>5531</v>
      </c>
      <c r="B81" s="54" t="s">
        <v>5531</v>
      </c>
      <c r="C81" s="54" t="s">
        <v>5421</v>
      </c>
      <c r="D81" s="54" t="s">
        <v>5621</v>
      </c>
      <c r="E81" s="54" t="s">
        <v>5421</v>
      </c>
    </row>
    <row r="82" spans="1:5">
      <c r="A82" s="54" t="s">
        <v>5657</v>
      </c>
      <c r="B82" s="54" t="s">
        <v>5657</v>
      </c>
      <c r="C82" s="54" t="s">
        <v>5658</v>
      </c>
      <c r="D82" s="54" t="s">
        <v>5621</v>
      </c>
      <c r="E82" s="54" t="s">
        <v>5658</v>
      </c>
    </row>
    <row r="83" spans="1:5">
      <c r="A83" s="54" t="s">
        <v>5659</v>
      </c>
      <c r="B83" s="54" t="s">
        <v>5659</v>
      </c>
      <c r="C83" s="54" t="s">
        <v>5658</v>
      </c>
      <c r="D83" s="54" t="s">
        <v>5621</v>
      </c>
      <c r="E83" s="54" t="s">
        <v>5658</v>
      </c>
    </row>
    <row r="84" spans="1:5">
      <c r="A84" s="54" t="s">
        <v>5660</v>
      </c>
      <c r="B84" s="54" t="s">
        <v>5660</v>
      </c>
      <c r="C84" s="54" t="s">
        <v>5658</v>
      </c>
      <c r="D84" s="54" t="s">
        <v>5621</v>
      </c>
      <c r="E84" s="54" t="s">
        <v>5658</v>
      </c>
    </row>
    <row r="85" spans="1:5">
      <c r="A85" s="54" t="s">
        <v>5661</v>
      </c>
      <c r="B85" s="54" t="s">
        <v>5661</v>
      </c>
      <c r="C85" s="54" t="s">
        <v>5658</v>
      </c>
      <c r="D85" s="54" t="s">
        <v>5621</v>
      </c>
      <c r="E85" s="54" t="s">
        <v>5658</v>
      </c>
    </row>
    <row r="86" spans="1:5">
      <c r="A86" s="89" t="s">
        <v>5662</v>
      </c>
      <c r="B86" s="54" t="s">
        <v>5662</v>
      </c>
      <c r="C86" s="54" t="s">
        <v>5663</v>
      </c>
      <c r="D86" s="54" t="s">
        <v>5649</v>
      </c>
      <c r="E86" s="54" t="s">
        <v>5663</v>
      </c>
    </row>
    <row r="87" spans="1:5">
      <c r="A87" s="54" t="s">
        <v>5664</v>
      </c>
      <c r="B87" s="54" t="s">
        <v>5664</v>
      </c>
      <c r="C87" s="54" t="s">
        <v>5665</v>
      </c>
      <c r="D87" s="54" t="s">
        <v>5621</v>
      </c>
      <c r="E87" s="54" t="s">
        <v>5665</v>
      </c>
    </row>
    <row r="88" spans="1:5">
      <c r="A88" s="54" t="s">
        <v>5666</v>
      </c>
      <c r="B88" s="54" t="s">
        <v>5666</v>
      </c>
      <c r="C88" s="54" t="s">
        <v>5665</v>
      </c>
      <c r="D88" s="54" t="s">
        <v>5621</v>
      </c>
      <c r="E88" s="54" t="s">
        <v>5665</v>
      </c>
    </row>
    <row r="89" spans="1:5">
      <c r="A89" s="54" t="s">
        <v>5532</v>
      </c>
      <c r="B89" s="54" t="s">
        <v>5532</v>
      </c>
      <c r="C89" s="54" t="s">
        <v>5421</v>
      </c>
      <c r="D89" s="54" t="s">
        <v>5621</v>
      </c>
      <c r="E89" s="54" t="s">
        <v>5421</v>
      </c>
    </row>
    <row r="90" spans="1:5">
      <c r="A90" s="54" t="s">
        <v>5667</v>
      </c>
      <c r="B90" s="54" t="s">
        <v>5667</v>
      </c>
      <c r="C90" s="54" t="s">
        <v>5665</v>
      </c>
      <c r="D90" s="54" t="s">
        <v>5621</v>
      </c>
      <c r="E90" s="54" t="s">
        <v>5665</v>
      </c>
    </row>
    <row r="91" spans="1:5">
      <c r="A91" s="54" t="s">
        <v>5668</v>
      </c>
      <c r="B91" s="54" t="s">
        <v>5668</v>
      </c>
      <c r="C91" s="54" t="s">
        <v>5665</v>
      </c>
      <c r="D91" s="54" t="s">
        <v>5621</v>
      </c>
      <c r="E91" s="54" t="s">
        <v>5665</v>
      </c>
    </row>
    <row r="92" spans="1:5">
      <c r="A92" s="54" t="s">
        <v>5669</v>
      </c>
      <c r="B92" s="54" t="s">
        <v>5669</v>
      </c>
      <c r="C92" s="54" t="s">
        <v>5665</v>
      </c>
      <c r="D92" s="54" t="s">
        <v>5621</v>
      </c>
      <c r="E92" s="54" t="s">
        <v>5665</v>
      </c>
    </row>
    <row r="93" spans="1:5">
      <c r="A93" s="54" t="s">
        <v>5670</v>
      </c>
      <c r="B93" s="54" t="s">
        <v>5670</v>
      </c>
      <c r="C93" s="54" t="s">
        <v>5665</v>
      </c>
      <c r="D93" s="54" t="s">
        <v>5628</v>
      </c>
      <c r="E93" s="54" t="s">
        <v>5665</v>
      </c>
    </row>
    <row r="94" spans="1:5">
      <c r="A94" s="54" t="s">
        <v>5671</v>
      </c>
      <c r="B94" s="54" t="s">
        <v>5671</v>
      </c>
      <c r="C94" s="54" t="s">
        <v>5665</v>
      </c>
      <c r="D94" s="54" t="s">
        <v>5621</v>
      </c>
      <c r="E94" s="54" t="s">
        <v>5665</v>
      </c>
    </row>
    <row r="95" spans="1:5">
      <c r="A95" s="54" t="s">
        <v>5672</v>
      </c>
      <c r="B95" s="54" t="s">
        <v>5672</v>
      </c>
      <c r="C95" s="54" t="s">
        <v>5665</v>
      </c>
      <c r="D95" s="54" t="s">
        <v>5628</v>
      </c>
      <c r="E95" s="54" t="s">
        <v>5665</v>
      </c>
    </row>
    <row r="96" spans="1:5">
      <c r="A96" s="54" t="s">
        <v>5673</v>
      </c>
      <c r="B96" s="54" t="s">
        <v>5673</v>
      </c>
      <c r="C96" s="54" t="s">
        <v>5665</v>
      </c>
      <c r="D96" s="54" t="s">
        <v>5621</v>
      </c>
      <c r="E96" s="54" t="s">
        <v>5665</v>
      </c>
    </row>
    <row r="97" spans="1:5">
      <c r="A97" s="54" t="s">
        <v>5674</v>
      </c>
      <c r="B97" s="54" t="s">
        <v>5674</v>
      </c>
      <c r="C97" s="54" t="s">
        <v>5665</v>
      </c>
      <c r="D97" s="54" t="s">
        <v>5621</v>
      </c>
      <c r="E97" s="54" t="s">
        <v>5665</v>
      </c>
    </row>
    <row r="98" spans="1:5">
      <c r="A98" s="54" t="s">
        <v>5675</v>
      </c>
      <c r="B98" s="54" t="s">
        <v>5675</v>
      </c>
      <c r="C98" s="54" t="s">
        <v>5665</v>
      </c>
      <c r="D98" s="54" t="s">
        <v>5621</v>
      </c>
      <c r="E98" s="54" t="s">
        <v>5665</v>
      </c>
    </row>
    <row r="99" spans="1:5">
      <c r="A99" s="89" t="s">
        <v>5676</v>
      </c>
      <c r="B99" s="54" t="s">
        <v>5676</v>
      </c>
      <c r="C99" s="54" t="s">
        <v>5665</v>
      </c>
      <c r="D99" s="54" t="s">
        <v>5621</v>
      </c>
      <c r="E99" s="54" t="s">
        <v>5665</v>
      </c>
    </row>
    <row r="100" spans="1:5">
      <c r="A100" s="54" t="s">
        <v>5677</v>
      </c>
      <c r="B100" s="54" t="s">
        <v>5677</v>
      </c>
      <c r="C100" s="54" t="s">
        <v>5665</v>
      </c>
      <c r="D100" s="54" t="s">
        <v>5621</v>
      </c>
      <c r="E100" s="54" t="s">
        <v>5665</v>
      </c>
    </row>
    <row r="101" spans="1:5">
      <c r="A101" s="90" t="s">
        <v>5678</v>
      </c>
      <c r="B101" s="54" t="s">
        <v>5678</v>
      </c>
      <c r="C101" s="54" t="s">
        <v>5665</v>
      </c>
      <c r="D101" s="54" t="s">
        <v>5621</v>
      </c>
      <c r="E101" s="54" t="s">
        <v>5665</v>
      </c>
    </row>
    <row r="102" spans="1:5">
      <c r="A102" s="54" t="s">
        <v>5679</v>
      </c>
      <c r="B102" s="54" t="s">
        <v>5679</v>
      </c>
      <c r="C102" s="54" t="s">
        <v>5468</v>
      </c>
      <c r="D102" s="54" t="s">
        <v>5621</v>
      </c>
      <c r="E102" s="54" t="s">
        <v>5468</v>
      </c>
    </row>
    <row r="103" spans="1:5">
      <c r="A103" s="89" t="s">
        <v>5680</v>
      </c>
      <c r="B103" s="54" t="s">
        <v>5680</v>
      </c>
      <c r="C103" s="54" t="s">
        <v>5665</v>
      </c>
      <c r="D103" s="54" t="s">
        <v>5621</v>
      </c>
      <c r="E103" s="54" t="s">
        <v>5665</v>
      </c>
    </row>
    <row r="104" spans="1:5">
      <c r="A104" s="89" t="s">
        <v>5681</v>
      </c>
      <c r="B104" s="54" t="s">
        <v>5681</v>
      </c>
      <c r="C104" s="54" t="s">
        <v>5682</v>
      </c>
      <c r="D104" s="54" t="s">
        <v>5649</v>
      </c>
      <c r="E104" s="54" t="s">
        <v>5682</v>
      </c>
    </row>
    <row r="105" spans="1:5">
      <c r="A105" s="54" t="s">
        <v>5533</v>
      </c>
      <c r="B105" s="54" t="s">
        <v>5533</v>
      </c>
      <c r="C105" s="54" t="s">
        <v>5468</v>
      </c>
      <c r="D105" s="54" t="s">
        <v>5621</v>
      </c>
      <c r="E105" s="54" t="s">
        <v>5468</v>
      </c>
    </row>
    <row r="106" spans="1:5">
      <c r="A106" s="54" t="s">
        <v>5534</v>
      </c>
      <c r="B106" s="54" t="s">
        <v>5534</v>
      </c>
      <c r="C106" s="54" t="s">
        <v>5468</v>
      </c>
      <c r="D106" s="54" t="s">
        <v>5621</v>
      </c>
      <c r="E106" s="54" t="s">
        <v>5468</v>
      </c>
    </row>
    <row r="107" spans="1:5">
      <c r="A107" s="54" t="s">
        <v>227</v>
      </c>
      <c r="B107" s="54" t="s">
        <v>227</v>
      </c>
      <c r="C107" s="54" t="s">
        <v>5468</v>
      </c>
      <c r="D107" s="54" t="s">
        <v>5621</v>
      </c>
      <c r="E107" s="54" t="s">
        <v>5468</v>
      </c>
    </row>
    <row r="108" spans="1:5">
      <c r="A108" s="54" t="s">
        <v>5535</v>
      </c>
      <c r="B108" s="54" t="s">
        <v>5535</v>
      </c>
      <c r="C108" s="54" t="s">
        <v>5468</v>
      </c>
      <c r="D108" s="54" t="s">
        <v>5621</v>
      </c>
      <c r="E108" s="54" t="s">
        <v>5468</v>
      </c>
    </row>
    <row r="109" spans="1:5">
      <c r="A109" s="54" t="s">
        <v>5536</v>
      </c>
      <c r="B109" s="54" t="s">
        <v>5536</v>
      </c>
      <c r="C109" s="54" t="s">
        <v>5468</v>
      </c>
      <c r="D109" s="54" t="s">
        <v>5621</v>
      </c>
      <c r="E109" s="54" t="s">
        <v>5468</v>
      </c>
    </row>
    <row r="110" spans="1:5">
      <c r="A110" s="54" t="s">
        <v>5537</v>
      </c>
      <c r="B110" s="54" t="s">
        <v>5537</v>
      </c>
      <c r="C110" s="54" t="s">
        <v>5468</v>
      </c>
      <c r="D110" s="54" t="s">
        <v>5621</v>
      </c>
      <c r="E110" s="54" t="s">
        <v>5468</v>
      </c>
    </row>
    <row r="111" spans="1:5">
      <c r="A111" s="54" t="s">
        <v>106</v>
      </c>
      <c r="B111" s="54" t="s">
        <v>106</v>
      </c>
      <c r="C111" s="54" t="s">
        <v>5430</v>
      </c>
      <c r="D111" s="54" t="s">
        <v>5621</v>
      </c>
      <c r="E111" s="54" t="s">
        <v>5430</v>
      </c>
    </row>
    <row r="112" spans="1:5">
      <c r="A112" s="54" t="s">
        <v>5538</v>
      </c>
      <c r="B112" s="54" t="s">
        <v>5538</v>
      </c>
      <c r="C112" s="54" t="s">
        <v>5468</v>
      </c>
      <c r="D112" s="54" t="s">
        <v>5621</v>
      </c>
      <c r="E112" s="54" t="s">
        <v>5468</v>
      </c>
    </row>
    <row r="113" spans="1:5">
      <c r="A113" s="54" t="s">
        <v>976</v>
      </c>
      <c r="B113" s="54" t="s">
        <v>976</v>
      </c>
      <c r="C113" s="54" t="s">
        <v>5430</v>
      </c>
      <c r="D113" s="54" t="s">
        <v>5621</v>
      </c>
      <c r="E113" s="54" t="s">
        <v>5430</v>
      </c>
    </row>
    <row r="114" spans="1:5">
      <c r="A114" s="54" t="s">
        <v>5292</v>
      </c>
      <c r="B114" s="54" t="s">
        <v>5292</v>
      </c>
      <c r="C114" s="54" t="s">
        <v>238</v>
      </c>
      <c r="D114" s="54" t="s">
        <v>5621</v>
      </c>
      <c r="E114" s="54" t="s">
        <v>238</v>
      </c>
    </row>
    <row r="115" spans="1:5">
      <c r="A115" s="54" t="s">
        <v>5683</v>
      </c>
      <c r="B115" s="54" t="s">
        <v>5683</v>
      </c>
      <c r="C115" s="54" t="s">
        <v>5468</v>
      </c>
      <c r="D115" s="54" t="s">
        <v>5621</v>
      </c>
      <c r="E115" s="54" t="s">
        <v>5468</v>
      </c>
    </row>
    <row r="116" spans="1:5">
      <c r="A116" s="54" t="s">
        <v>5539</v>
      </c>
      <c r="B116" s="54" t="s">
        <v>5539</v>
      </c>
      <c r="C116" s="54" t="s">
        <v>5468</v>
      </c>
      <c r="D116" s="54" t="s">
        <v>5621</v>
      </c>
      <c r="E116" s="54" t="s">
        <v>5468</v>
      </c>
    </row>
    <row r="117" spans="1:5">
      <c r="A117" s="54" t="s">
        <v>5540</v>
      </c>
      <c r="B117" s="54" t="s">
        <v>5540</v>
      </c>
      <c r="C117" s="54" t="s">
        <v>5522</v>
      </c>
      <c r="D117" s="54" t="s">
        <v>5649</v>
      </c>
      <c r="E117" s="54" t="s">
        <v>5522</v>
      </c>
    </row>
    <row r="118" spans="1:5">
      <c r="A118" s="89" t="s">
        <v>5541</v>
      </c>
      <c r="B118" s="54" t="s">
        <v>5541</v>
      </c>
      <c r="C118" s="54" t="s">
        <v>5468</v>
      </c>
      <c r="D118" s="54" t="s">
        <v>5621</v>
      </c>
      <c r="E118" s="54" t="s">
        <v>5468</v>
      </c>
    </row>
    <row r="119" spans="1:5">
      <c r="A119" s="89" t="s">
        <v>149</v>
      </c>
      <c r="B119" s="54" t="s">
        <v>149</v>
      </c>
      <c r="C119" s="54" t="s">
        <v>5430</v>
      </c>
      <c r="D119" s="54" t="s">
        <v>5621</v>
      </c>
      <c r="E119" s="54" t="s">
        <v>5430</v>
      </c>
    </row>
    <row r="120" spans="1:5">
      <c r="A120" s="86" t="s">
        <v>313</v>
      </c>
      <c r="B120" s="54" t="s">
        <v>313</v>
      </c>
      <c r="C120" s="54" t="s">
        <v>5684</v>
      </c>
      <c r="D120" s="54" t="s">
        <v>5649</v>
      </c>
      <c r="E120" s="54" t="s">
        <v>5684</v>
      </c>
    </row>
    <row r="121" spans="1:5">
      <c r="A121" s="89" t="s">
        <v>5542</v>
      </c>
      <c r="B121" s="54" t="s">
        <v>5542</v>
      </c>
      <c r="C121" s="54" t="s">
        <v>5468</v>
      </c>
      <c r="D121" s="54" t="s">
        <v>5621</v>
      </c>
      <c r="E121" s="54" t="s">
        <v>5468</v>
      </c>
    </row>
    <row r="122" spans="1:5">
      <c r="A122" s="54" t="s">
        <v>5543</v>
      </c>
      <c r="B122" s="54" t="s">
        <v>5543</v>
      </c>
      <c r="C122" s="54" t="s">
        <v>5430</v>
      </c>
      <c r="D122" s="54" t="s">
        <v>5621</v>
      </c>
      <c r="E122" s="54" t="s">
        <v>5430</v>
      </c>
    </row>
    <row r="123" spans="1:5">
      <c r="A123" s="54" t="s">
        <v>4638</v>
      </c>
      <c r="B123" s="54" t="s">
        <v>4638</v>
      </c>
      <c r="C123" s="54" t="s">
        <v>5468</v>
      </c>
      <c r="D123" s="54" t="s">
        <v>5621</v>
      </c>
      <c r="E123" s="54" t="s">
        <v>5468</v>
      </c>
    </row>
    <row r="124" spans="1:5">
      <c r="A124" s="2" t="s">
        <v>5544</v>
      </c>
      <c r="B124" s="2" t="s">
        <v>5544</v>
      </c>
      <c r="C124" s="54" t="s">
        <v>5468</v>
      </c>
      <c r="D124" s="14" t="s">
        <v>5649</v>
      </c>
      <c r="E124" s="54" t="s">
        <v>5468</v>
      </c>
    </row>
    <row r="125" spans="1:5">
      <c r="A125" s="2" t="s">
        <v>3844</v>
      </c>
      <c r="B125" s="2" t="s">
        <v>3844</v>
      </c>
      <c r="C125" s="54" t="s">
        <v>5468</v>
      </c>
      <c r="D125" s="54" t="s">
        <v>5621</v>
      </c>
      <c r="E125" s="54" t="s">
        <v>5468</v>
      </c>
    </row>
    <row r="126" spans="1:5">
      <c r="A126" s="2" t="s">
        <v>4037</v>
      </c>
      <c r="B126" s="2" t="s">
        <v>4037</v>
      </c>
      <c r="C126" s="54" t="s">
        <v>5468</v>
      </c>
      <c r="D126" s="54" t="s">
        <v>5621</v>
      </c>
      <c r="E126" s="54" t="s">
        <v>5468</v>
      </c>
    </row>
    <row r="127" spans="1:5">
      <c r="A127" s="2" t="s">
        <v>4998</v>
      </c>
      <c r="B127" s="2" t="s">
        <v>4998</v>
      </c>
      <c r="C127" s="54" t="s">
        <v>5468</v>
      </c>
      <c r="D127" s="54" t="s">
        <v>5621</v>
      </c>
      <c r="E127" s="54" t="s">
        <v>5468</v>
      </c>
    </row>
    <row r="128" spans="1:5">
      <c r="A128" s="98" t="s">
        <v>5545</v>
      </c>
      <c r="B128" s="98" t="s">
        <v>5545</v>
      </c>
      <c r="C128" s="54" t="s">
        <v>5468</v>
      </c>
      <c r="D128" s="54" t="s">
        <v>5621</v>
      </c>
      <c r="E128" s="54" t="s">
        <v>5468</v>
      </c>
    </row>
    <row r="129" spans="1:5">
      <c r="A129" s="2" t="s">
        <v>5206</v>
      </c>
      <c r="B129" s="2" t="s">
        <v>5206</v>
      </c>
      <c r="C129" s="54" t="s">
        <v>5468</v>
      </c>
      <c r="D129" s="54" t="s">
        <v>5621</v>
      </c>
      <c r="E129" s="54" t="s">
        <v>5468</v>
      </c>
    </row>
    <row r="130" spans="1:5">
      <c r="A130" s="2" t="s">
        <v>5546</v>
      </c>
      <c r="B130" s="2" t="s">
        <v>5546</v>
      </c>
      <c r="C130" s="54" t="s">
        <v>5421</v>
      </c>
      <c r="D130" s="54" t="s">
        <v>5621</v>
      </c>
      <c r="E130" s="54" t="s">
        <v>5421</v>
      </c>
    </row>
    <row r="131" spans="1:5">
      <c r="A131" s="2" t="s">
        <v>5547</v>
      </c>
      <c r="B131" s="2" t="s">
        <v>5547</v>
      </c>
      <c r="C131" s="54" t="s">
        <v>5468</v>
      </c>
      <c r="D131" s="54" t="s">
        <v>5621</v>
      </c>
      <c r="E131" s="54" t="s">
        <v>5468</v>
      </c>
    </row>
    <row r="132" spans="1:5">
      <c r="A132" s="2" t="s">
        <v>5548</v>
      </c>
      <c r="B132" s="2" t="s">
        <v>5548</v>
      </c>
      <c r="C132" s="54" t="s">
        <v>37</v>
      </c>
      <c r="D132" s="54" t="s">
        <v>5621</v>
      </c>
      <c r="E132" s="54" t="s">
        <v>37</v>
      </c>
    </row>
    <row r="133" spans="1:5">
      <c r="A133" s="2" t="s">
        <v>5549</v>
      </c>
      <c r="B133" s="2" t="s">
        <v>5549</v>
      </c>
      <c r="C133" s="54" t="s">
        <v>5468</v>
      </c>
      <c r="D133" s="54" t="s">
        <v>5621</v>
      </c>
      <c r="E133" s="54" t="s">
        <v>5468</v>
      </c>
    </row>
    <row r="134" spans="1:5">
      <c r="A134" s="2" t="s">
        <v>5550</v>
      </c>
      <c r="B134" s="2" t="s">
        <v>5550</v>
      </c>
      <c r="C134" s="54" t="s">
        <v>5468</v>
      </c>
      <c r="D134" s="54" t="s">
        <v>5621</v>
      </c>
      <c r="E134" s="54" t="s">
        <v>5468</v>
      </c>
    </row>
    <row r="135" spans="1:5">
      <c r="A135" s="54" t="s">
        <v>5078</v>
      </c>
      <c r="B135" s="54" t="s">
        <v>5078</v>
      </c>
      <c r="C135" s="54" t="s">
        <v>44</v>
      </c>
      <c r="D135" s="54" t="s">
        <v>5621</v>
      </c>
      <c r="E135" s="54" t="s">
        <v>44</v>
      </c>
    </row>
    <row r="136" spans="1:5">
      <c r="A136" s="54" t="s">
        <v>517</v>
      </c>
      <c r="B136" s="54" t="s">
        <v>517</v>
      </c>
      <c r="C136" s="54" t="s">
        <v>44</v>
      </c>
      <c r="D136" s="54" t="s">
        <v>5621</v>
      </c>
      <c r="E136" s="54" t="s">
        <v>44</v>
      </c>
    </row>
    <row r="137" spans="1:5">
      <c r="A137" s="54" t="s">
        <v>5278</v>
      </c>
      <c r="B137" s="54" t="s">
        <v>5278</v>
      </c>
      <c r="C137" s="54" t="s">
        <v>5685</v>
      </c>
      <c r="D137" s="54" t="s">
        <v>5621</v>
      </c>
      <c r="E137" s="54" t="s">
        <v>5685</v>
      </c>
    </row>
    <row r="138" spans="1:5">
      <c r="A138" s="54" t="s">
        <v>5551</v>
      </c>
      <c r="B138" s="54" t="s">
        <v>5551</v>
      </c>
      <c r="C138" s="54" t="s">
        <v>5685</v>
      </c>
      <c r="D138" s="54" t="s">
        <v>5621</v>
      </c>
      <c r="E138" s="54" t="s">
        <v>5685</v>
      </c>
    </row>
    <row r="139" spans="1:5">
      <c r="A139" s="54" t="s">
        <v>5552</v>
      </c>
      <c r="B139" s="54" t="s">
        <v>5552</v>
      </c>
      <c r="C139" s="54" t="s">
        <v>5685</v>
      </c>
      <c r="D139" s="54" t="s">
        <v>5621</v>
      </c>
      <c r="E139" s="54" t="s">
        <v>5685</v>
      </c>
    </row>
    <row r="140" spans="1:5">
      <c r="A140" s="54" t="s">
        <v>5553</v>
      </c>
      <c r="B140" s="54" t="s">
        <v>5553</v>
      </c>
      <c r="C140" s="54" t="s">
        <v>44</v>
      </c>
      <c r="D140" s="54" t="s">
        <v>5621</v>
      </c>
      <c r="E140" s="54" t="s">
        <v>44</v>
      </c>
    </row>
    <row r="141" spans="1:5">
      <c r="A141" s="54" t="s">
        <v>5554</v>
      </c>
      <c r="B141" s="54" t="s">
        <v>5554</v>
      </c>
      <c r="C141" s="54" t="s">
        <v>44</v>
      </c>
      <c r="D141" s="54" t="s">
        <v>5621</v>
      </c>
      <c r="E141" s="54" t="s">
        <v>44</v>
      </c>
    </row>
    <row r="142" spans="1:5">
      <c r="A142" s="54" t="s">
        <v>5555</v>
      </c>
      <c r="B142" s="54" t="s">
        <v>5555</v>
      </c>
      <c r="C142" s="54" t="s">
        <v>5685</v>
      </c>
      <c r="D142" s="54" t="s">
        <v>5621</v>
      </c>
      <c r="E142" s="54" t="s">
        <v>5685</v>
      </c>
    </row>
    <row r="143" spans="1:5">
      <c r="A143" s="54" t="s">
        <v>360</v>
      </c>
      <c r="B143" s="54" t="s">
        <v>360</v>
      </c>
      <c r="C143" s="54" t="s">
        <v>5685</v>
      </c>
      <c r="D143" s="54" t="s">
        <v>5621</v>
      </c>
      <c r="E143" s="54" t="s">
        <v>5685</v>
      </c>
    </row>
    <row r="144" spans="1:5">
      <c r="A144" s="54" t="s">
        <v>5556</v>
      </c>
      <c r="B144" s="54" t="s">
        <v>5556</v>
      </c>
      <c r="C144" s="54" t="s">
        <v>5685</v>
      </c>
      <c r="D144" s="54" t="s">
        <v>5621</v>
      </c>
      <c r="E144" s="54" t="s">
        <v>5685</v>
      </c>
    </row>
    <row r="145" spans="1:5">
      <c r="A145" s="54" t="s">
        <v>5557</v>
      </c>
      <c r="B145" s="54" t="s">
        <v>5557</v>
      </c>
      <c r="C145" s="54" t="s">
        <v>44</v>
      </c>
      <c r="D145" s="54" t="s">
        <v>5621</v>
      </c>
      <c r="E145" s="54" t="s">
        <v>44</v>
      </c>
    </row>
    <row r="146" spans="1:5">
      <c r="A146" s="54" t="s">
        <v>5558</v>
      </c>
      <c r="B146" s="54" t="s">
        <v>5558</v>
      </c>
      <c r="C146" s="54" t="s">
        <v>5685</v>
      </c>
      <c r="D146" s="54" t="s">
        <v>5621</v>
      </c>
      <c r="E146" s="54" t="s">
        <v>5685</v>
      </c>
    </row>
    <row r="147" spans="1:5">
      <c r="A147" s="54" t="s">
        <v>1414</v>
      </c>
      <c r="B147" s="54" t="s">
        <v>1414</v>
      </c>
      <c r="C147" s="54" t="s">
        <v>44</v>
      </c>
      <c r="D147" s="54" t="s">
        <v>5621</v>
      </c>
      <c r="E147" s="54" t="s">
        <v>44</v>
      </c>
    </row>
    <row r="148" spans="1:5">
      <c r="A148" s="54" t="s">
        <v>884</v>
      </c>
      <c r="B148" s="54" t="s">
        <v>884</v>
      </c>
      <c r="C148" s="54" t="s">
        <v>44</v>
      </c>
      <c r="D148" s="54" t="s">
        <v>5621</v>
      </c>
      <c r="E148" s="54" t="s">
        <v>44</v>
      </c>
    </row>
    <row r="149" spans="1:5">
      <c r="A149" s="54" t="s">
        <v>4196</v>
      </c>
      <c r="B149" s="54" t="s">
        <v>4196</v>
      </c>
      <c r="C149" s="54" t="s">
        <v>5685</v>
      </c>
      <c r="D149" s="54" t="s">
        <v>5621</v>
      </c>
      <c r="E149" s="54" t="s">
        <v>5685</v>
      </c>
    </row>
    <row r="150" spans="1:5">
      <c r="A150" s="54" t="s">
        <v>714</v>
      </c>
      <c r="B150" s="54" t="s">
        <v>714</v>
      </c>
      <c r="C150" s="54" t="s">
        <v>5685</v>
      </c>
      <c r="D150" s="54" t="s">
        <v>5621</v>
      </c>
      <c r="E150" s="54" t="s">
        <v>5685</v>
      </c>
    </row>
    <row r="151" spans="1:5">
      <c r="A151" s="54" t="s">
        <v>5559</v>
      </c>
      <c r="B151" s="54" t="s">
        <v>5559</v>
      </c>
      <c r="C151" s="54" t="s">
        <v>5685</v>
      </c>
      <c r="D151" s="54" t="s">
        <v>5621</v>
      </c>
      <c r="E151" s="54" t="s">
        <v>5685</v>
      </c>
    </row>
    <row r="152" spans="1:5">
      <c r="A152" s="54" t="s">
        <v>5560</v>
      </c>
      <c r="B152" s="54" t="s">
        <v>5560</v>
      </c>
      <c r="C152" s="54" t="s">
        <v>5685</v>
      </c>
      <c r="D152" s="54" t="s">
        <v>5621</v>
      </c>
      <c r="E152" s="54" t="s">
        <v>5685</v>
      </c>
    </row>
    <row r="153" spans="1:5">
      <c r="A153" s="54" t="s">
        <v>300</v>
      </c>
      <c r="B153" s="54" t="s">
        <v>300</v>
      </c>
      <c r="C153" s="54" t="s">
        <v>44</v>
      </c>
      <c r="D153" s="54" t="s">
        <v>5621</v>
      </c>
      <c r="E153" s="54" t="s">
        <v>44</v>
      </c>
    </row>
    <row r="154" spans="1:5">
      <c r="A154" s="54" t="s">
        <v>5126</v>
      </c>
      <c r="B154" s="54" t="s">
        <v>5126</v>
      </c>
      <c r="C154" s="54" t="s">
        <v>44</v>
      </c>
      <c r="D154" s="54" t="s">
        <v>5621</v>
      </c>
      <c r="E154" s="54" t="s">
        <v>44</v>
      </c>
    </row>
    <row r="155" spans="1:5">
      <c r="A155" s="54" t="s">
        <v>5176</v>
      </c>
      <c r="B155" s="54" t="s">
        <v>5176</v>
      </c>
      <c r="C155" s="54" t="s">
        <v>44</v>
      </c>
      <c r="D155" s="54" t="s">
        <v>5621</v>
      </c>
      <c r="E155" s="54" t="s">
        <v>44</v>
      </c>
    </row>
    <row r="156" spans="1:5">
      <c r="A156" s="54" t="s">
        <v>5561</v>
      </c>
      <c r="B156" s="54" t="s">
        <v>5561</v>
      </c>
      <c r="C156" s="54" t="s">
        <v>5685</v>
      </c>
      <c r="D156" s="54" t="s">
        <v>5621</v>
      </c>
      <c r="E156" s="54" t="s">
        <v>5685</v>
      </c>
    </row>
    <row r="157" spans="1:5">
      <c r="A157" s="54" t="s">
        <v>5562</v>
      </c>
      <c r="B157" s="54" t="s">
        <v>5562</v>
      </c>
      <c r="C157" s="54" t="s">
        <v>5685</v>
      </c>
      <c r="D157" s="54" t="s">
        <v>5621</v>
      </c>
      <c r="E157" s="54" t="s">
        <v>5685</v>
      </c>
    </row>
    <row r="158" spans="1:5">
      <c r="A158" s="84" t="s">
        <v>189</v>
      </c>
      <c r="B158" s="54" t="s">
        <v>189</v>
      </c>
      <c r="C158" s="54" t="s">
        <v>5685</v>
      </c>
      <c r="D158" s="54" t="s">
        <v>5621</v>
      </c>
      <c r="E158" s="54" t="s">
        <v>5685</v>
      </c>
    </row>
    <row r="159" spans="1:5">
      <c r="A159" s="54" t="s">
        <v>5563</v>
      </c>
      <c r="B159" s="54" t="s">
        <v>5563</v>
      </c>
      <c r="C159" s="54" t="s">
        <v>44</v>
      </c>
      <c r="D159" s="54" t="s">
        <v>5621</v>
      </c>
      <c r="E159" s="54" t="s">
        <v>44</v>
      </c>
    </row>
    <row r="160" spans="1:5">
      <c r="A160" s="54" t="s">
        <v>5564</v>
      </c>
      <c r="B160" s="54" t="s">
        <v>5564</v>
      </c>
      <c r="C160" s="54" t="s">
        <v>44</v>
      </c>
      <c r="D160" s="54" t="s">
        <v>5621</v>
      </c>
      <c r="E160" s="54" t="s">
        <v>44</v>
      </c>
    </row>
    <row r="161" spans="1:5">
      <c r="A161" s="54" t="s">
        <v>5565</v>
      </c>
      <c r="B161" s="54" t="s">
        <v>5565</v>
      </c>
      <c r="C161" s="54" t="s">
        <v>44</v>
      </c>
      <c r="D161" s="54" t="s">
        <v>5621</v>
      </c>
      <c r="E161" s="54" t="s">
        <v>44</v>
      </c>
    </row>
    <row r="162" spans="1:5">
      <c r="A162" s="54" t="s">
        <v>653</v>
      </c>
      <c r="B162" s="54" t="s">
        <v>653</v>
      </c>
      <c r="C162" s="54" t="s">
        <v>5421</v>
      </c>
      <c r="D162" s="54" t="s">
        <v>5621</v>
      </c>
      <c r="E162" s="54" t="s">
        <v>5421</v>
      </c>
    </row>
    <row r="163" spans="1:5">
      <c r="A163" s="84" t="s">
        <v>2167</v>
      </c>
      <c r="B163" s="54" t="s">
        <v>2167</v>
      </c>
      <c r="C163" s="54" t="s">
        <v>5685</v>
      </c>
      <c r="D163" s="54" t="s">
        <v>5621</v>
      </c>
      <c r="E163" s="54" t="s">
        <v>5685</v>
      </c>
    </row>
    <row r="164" spans="1:5">
      <c r="A164" s="91" t="s">
        <v>2324</v>
      </c>
      <c r="B164" s="82" t="s">
        <v>2324</v>
      </c>
      <c r="C164" s="54" t="s">
        <v>44</v>
      </c>
      <c r="D164" s="87" t="s">
        <v>5621</v>
      </c>
      <c r="E164" s="54" t="s">
        <v>44</v>
      </c>
    </row>
    <row r="165" spans="1:5">
      <c r="A165" s="92" t="s">
        <v>5566</v>
      </c>
      <c r="B165" s="82" t="s">
        <v>5176</v>
      </c>
      <c r="C165" s="87" t="s">
        <v>44</v>
      </c>
      <c r="D165" s="87" t="s">
        <v>5621</v>
      </c>
      <c r="E165" s="54" t="s">
        <v>44</v>
      </c>
    </row>
    <row r="166" spans="1:5">
      <c r="A166" s="92" t="s">
        <v>182</v>
      </c>
      <c r="B166" s="82" t="s">
        <v>182</v>
      </c>
      <c r="C166" s="54" t="s">
        <v>5685</v>
      </c>
      <c r="D166" s="87" t="s">
        <v>5621</v>
      </c>
      <c r="E166" s="54" t="s">
        <v>5685</v>
      </c>
    </row>
    <row r="167" spans="1:5">
      <c r="A167" s="91" t="s">
        <v>5356</v>
      </c>
      <c r="B167" s="82" t="s">
        <v>5356</v>
      </c>
      <c r="C167" s="82" t="s">
        <v>44</v>
      </c>
      <c r="D167" s="87" t="s">
        <v>5621</v>
      </c>
      <c r="E167" s="82" t="s">
        <v>44</v>
      </c>
    </row>
    <row r="168" spans="1:5">
      <c r="A168" s="82" t="s">
        <v>5567</v>
      </c>
      <c r="B168" s="82" t="s">
        <v>5567</v>
      </c>
      <c r="C168" s="54" t="s">
        <v>5468</v>
      </c>
      <c r="D168" s="87" t="s">
        <v>5621</v>
      </c>
      <c r="E168" s="54" t="s">
        <v>5468</v>
      </c>
    </row>
    <row r="169" spans="1:5">
      <c r="A169" s="91" t="s">
        <v>322</v>
      </c>
      <c r="B169" s="91" t="s">
        <v>322</v>
      </c>
      <c r="C169" s="54" t="s">
        <v>5685</v>
      </c>
      <c r="D169" s="54" t="s">
        <v>5621</v>
      </c>
      <c r="E169" s="54" t="s">
        <v>5685</v>
      </c>
    </row>
    <row r="170" spans="1:5">
      <c r="A170" s="92" t="s">
        <v>5568</v>
      </c>
      <c r="B170" s="92" t="s">
        <v>5568</v>
      </c>
      <c r="C170" s="82" t="s">
        <v>44</v>
      </c>
      <c r="D170" s="85" t="s">
        <v>5621</v>
      </c>
      <c r="E170" s="82" t="s">
        <v>44</v>
      </c>
    </row>
    <row r="171" spans="1:5" ht="16.5">
      <c r="A171" s="99" t="s">
        <v>5569</v>
      </c>
      <c r="B171" s="99" t="s">
        <v>5569</v>
      </c>
      <c r="C171" s="82" t="s">
        <v>44</v>
      </c>
      <c r="D171" s="85" t="s">
        <v>5621</v>
      </c>
      <c r="E171" s="82" t="s">
        <v>44</v>
      </c>
    </row>
    <row r="172" spans="1:5">
      <c r="A172" s="91" t="s">
        <v>1740</v>
      </c>
      <c r="B172" s="91" t="s">
        <v>1740</v>
      </c>
      <c r="C172" s="54" t="s">
        <v>5685</v>
      </c>
      <c r="D172" s="85" t="s">
        <v>5621</v>
      </c>
      <c r="E172" s="54" t="s">
        <v>5685</v>
      </c>
    </row>
    <row r="173" spans="1:5">
      <c r="A173" s="91" t="s">
        <v>203</v>
      </c>
      <c r="B173" s="91" t="s">
        <v>203</v>
      </c>
      <c r="C173" s="54" t="s">
        <v>5685</v>
      </c>
      <c r="D173" s="85" t="s">
        <v>5621</v>
      </c>
      <c r="E173" s="54" t="s">
        <v>5685</v>
      </c>
    </row>
    <row r="174" spans="1:5">
      <c r="A174" s="82" t="s">
        <v>1737</v>
      </c>
      <c r="B174" s="82" t="s">
        <v>1737</v>
      </c>
      <c r="C174" s="82" t="s">
        <v>44</v>
      </c>
      <c r="D174" s="85" t="s">
        <v>5621</v>
      </c>
      <c r="E174" s="82" t="s">
        <v>44</v>
      </c>
    </row>
    <row r="175" spans="1:5">
      <c r="A175" t="s">
        <v>2077</v>
      </c>
      <c r="B175" t="s">
        <v>2077</v>
      </c>
      <c r="C175" s="54" t="s">
        <v>5685</v>
      </c>
      <c r="D175" s="85" t="s">
        <v>5621</v>
      </c>
      <c r="E175" s="54" t="s">
        <v>5685</v>
      </c>
    </row>
    <row r="176" spans="1:5">
      <c r="A176" t="s">
        <v>4643</v>
      </c>
      <c r="B176" t="s">
        <v>4643</v>
      </c>
      <c r="C176" t="s">
        <v>5430</v>
      </c>
      <c r="D176" s="85" t="s">
        <v>5621</v>
      </c>
      <c r="E176" t="s">
        <v>5430</v>
      </c>
    </row>
    <row r="177" spans="1:5">
      <c r="A177" t="s">
        <v>5570</v>
      </c>
      <c r="B177" t="s">
        <v>5570</v>
      </c>
      <c r="C177" t="s">
        <v>5430</v>
      </c>
      <c r="D177" s="85" t="s">
        <v>5621</v>
      </c>
      <c r="E177" t="s">
        <v>5430</v>
      </c>
    </row>
    <row r="178" spans="1:5">
      <c r="A178" t="s">
        <v>5571</v>
      </c>
      <c r="B178" t="s">
        <v>5571</v>
      </c>
      <c r="C178" t="s">
        <v>44</v>
      </c>
      <c r="D178" s="85" t="s">
        <v>5621</v>
      </c>
      <c r="E178" t="s">
        <v>44</v>
      </c>
    </row>
    <row r="179" spans="1:5">
      <c r="A179" t="s">
        <v>5572</v>
      </c>
      <c r="B179" t="s">
        <v>5572</v>
      </c>
      <c r="C179" s="54" t="s">
        <v>5468</v>
      </c>
      <c r="D179" s="54" t="s">
        <v>5621</v>
      </c>
      <c r="E179" s="54" t="s">
        <v>5468</v>
      </c>
    </row>
    <row r="180" spans="1:5">
      <c r="A180" t="s">
        <v>5573</v>
      </c>
      <c r="B180" t="s">
        <v>5573</v>
      </c>
      <c r="C180" t="s">
        <v>5430</v>
      </c>
      <c r="D180" s="85" t="s">
        <v>5621</v>
      </c>
      <c r="E180" t="s">
        <v>5430</v>
      </c>
    </row>
    <row r="181" spans="1:5">
      <c r="A181" t="s">
        <v>5255</v>
      </c>
      <c r="B181" t="s">
        <v>5255</v>
      </c>
      <c r="C181" s="54" t="s">
        <v>5685</v>
      </c>
      <c r="D181" s="85" t="s">
        <v>5621</v>
      </c>
      <c r="E181" s="54" t="s">
        <v>5685</v>
      </c>
    </row>
    <row r="182" spans="1:5">
      <c r="A182" t="s">
        <v>2341</v>
      </c>
      <c r="B182" t="s">
        <v>2341</v>
      </c>
      <c r="C182" s="54" t="s">
        <v>5685</v>
      </c>
      <c r="D182" s="85" t="s">
        <v>5621</v>
      </c>
      <c r="E182" s="54" t="s">
        <v>5685</v>
      </c>
    </row>
    <row r="183" spans="1:5">
      <c r="A183" t="s">
        <v>5574</v>
      </c>
      <c r="B183" t="s">
        <v>5574</v>
      </c>
      <c r="C183" s="54" t="s">
        <v>5685</v>
      </c>
      <c r="D183" s="85" t="s">
        <v>5621</v>
      </c>
      <c r="E183" s="54" t="s">
        <v>5685</v>
      </c>
    </row>
    <row r="184" spans="1:5">
      <c r="A184" t="s">
        <v>5575</v>
      </c>
      <c r="B184" t="s">
        <v>5575</v>
      </c>
      <c r="C184" s="54" t="s">
        <v>5685</v>
      </c>
      <c r="D184" s="85" t="s">
        <v>5621</v>
      </c>
      <c r="E184" s="54" t="s">
        <v>5685</v>
      </c>
    </row>
    <row r="185" spans="1:5">
      <c r="A185" t="s">
        <v>5576</v>
      </c>
      <c r="B185" t="s">
        <v>5576</v>
      </c>
      <c r="C185" s="54" t="s">
        <v>5685</v>
      </c>
      <c r="D185" s="85" t="s">
        <v>5621</v>
      </c>
      <c r="E185" s="54" t="s">
        <v>5685</v>
      </c>
    </row>
    <row r="186" spans="1:5">
      <c r="A186" t="s">
        <v>5577</v>
      </c>
      <c r="B186" t="s">
        <v>5577</v>
      </c>
      <c r="C186" s="54" t="s">
        <v>5685</v>
      </c>
      <c r="D186" s="85" t="s">
        <v>5621</v>
      </c>
      <c r="E186" s="54" t="s">
        <v>5685</v>
      </c>
    </row>
    <row r="187" spans="1:5">
      <c r="A187" t="s">
        <v>5578</v>
      </c>
      <c r="B187" t="s">
        <v>5578</v>
      </c>
      <c r="C187" s="54" t="s">
        <v>5685</v>
      </c>
      <c r="D187" s="82" t="s">
        <v>5621</v>
      </c>
      <c r="E187" s="54" t="s">
        <v>5685</v>
      </c>
    </row>
    <row r="188" spans="1:5">
      <c r="A188" t="s">
        <v>5579</v>
      </c>
      <c r="B188" t="s">
        <v>5579</v>
      </c>
      <c r="C188" s="54" t="s">
        <v>5685</v>
      </c>
      <c r="D188" s="85" t="s">
        <v>5621</v>
      </c>
      <c r="E188" s="54" t="s">
        <v>5685</v>
      </c>
    </row>
    <row r="189" spans="1:5">
      <c r="A189" t="s">
        <v>5580</v>
      </c>
      <c r="B189" t="s">
        <v>5580</v>
      </c>
      <c r="C189" s="54" t="s">
        <v>5685</v>
      </c>
      <c r="D189" s="85" t="s">
        <v>5621</v>
      </c>
      <c r="E189" s="54" t="s">
        <v>5685</v>
      </c>
    </row>
    <row r="190" spans="1:5">
      <c r="A190" t="s">
        <v>5581</v>
      </c>
      <c r="B190" t="s">
        <v>5581</v>
      </c>
      <c r="C190" s="54" t="s">
        <v>5685</v>
      </c>
      <c r="D190" s="85" t="s">
        <v>5621</v>
      </c>
      <c r="E190" s="54" t="s">
        <v>5685</v>
      </c>
    </row>
    <row r="191" spans="1:5">
      <c r="A191" t="s">
        <v>5582</v>
      </c>
      <c r="B191" t="s">
        <v>5582</v>
      </c>
      <c r="C191" s="54" t="s">
        <v>5685</v>
      </c>
      <c r="D191" s="85" t="s">
        <v>5621</v>
      </c>
      <c r="E191" s="54" t="s">
        <v>5685</v>
      </c>
    </row>
    <row r="192" spans="1:5">
      <c r="A192" t="s">
        <v>5583</v>
      </c>
      <c r="B192" t="s">
        <v>5583</v>
      </c>
      <c r="C192" s="54" t="s">
        <v>5685</v>
      </c>
      <c r="D192" s="85" t="s">
        <v>5621</v>
      </c>
      <c r="E192" s="54" t="s">
        <v>5685</v>
      </c>
    </row>
    <row r="193" spans="1:5">
      <c r="A193" t="s">
        <v>5584</v>
      </c>
      <c r="B193" t="s">
        <v>5584</v>
      </c>
      <c r="C193" s="54" t="s">
        <v>5685</v>
      </c>
      <c r="D193" s="85" t="s">
        <v>5621</v>
      </c>
      <c r="E193" s="54" t="s">
        <v>5685</v>
      </c>
    </row>
    <row r="194" spans="1:5">
      <c r="A194" t="s">
        <v>5585</v>
      </c>
      <c r="B194" t="s">
        <v>5585</v>
      </c>
      <c r="C194" s="2" t="s">
        <v>44</v>
      </c>
      <c r="D194" s="87" t="s">
        <v>5621</v>
      </c>
      <c r="E194" s="2" t="s">
        <v>44</v>
      </c>
    </row>
    <row r="195" spans="1:5">
      <c r="A195" t="s">
        <v>5586</v>
      </c>
      <c r="B195" t="s">
        <v>5586</v>
      </c>
      <c r="C195" t="s">
        <v>5430</v>
      </c>
      <c r="D195" s="87" t="s">
        <v>5621</v>
      </c>
      <c r="E195" t="s">
        <v>5430</v>
      </c>
    </row>
    <row r="196" spans="1:5">
      <c r="A196" t="s">
        <v>5587</v>
      </c>
      <c r="B196" t="s">
        <v>5587</v>
      </c>
      <c r="C196" t="s">
        <v>44</v>
      </c>
      <c r="D196" s="71" t="s">
        <v>5621</v>
      </c>
      <c r="E196" t="s">
        <v>44</v>
      </c>
    </row>
    <row r="197" spans="1:5">
      <c r="A197" s="82" t="s">
        <v>5511</v>
      </c>
      <c r="B197" s="82" t="s">
        <v>5511</v>
      </c>
      <c r="C197" s="54" t="s">
        <v>5430</v>
      </c>
      <c r="D197" s="87" t="s">
        <v>5621</v>
      </c>
      <c r="E197" s="54" t="s">
        <v>5430</v>
      </c>
    </row>
    <row r="198" spans="1:5">
      <c r="A198" s="82" t="s">
        <v>5588</v>
      </c>
      <c r="B198" s="82" t="s">
        <v>5588</v>
      </c>
      <c r="C198" s="54" t="s">
        <v>5430</v>
      </c>
      <c r="D198" s="87" t="s">
        <v>5621</v>
      </c>
      <c r="E198" s="54" t="s">
        <v>5430</v>
      </c>
    </row>
    <row r="199" spans="1:5">
      <c r="A199" s="82" t="s">
        <v>5589</v>
      </c>
      <c r="B199" s="82" t="s">
        <v>5589</v>
      </c>
      <c r="C199" s="54" t="s">
        <v>5430</v>
      </c>
      <c r="D199" s="87" t="s">
        <v>5621</v>
      </c>
      <c r="E199" s="54" t="s">
        <v>5430</v>
      </c>
    </row>
    <row r="200" spans="1:5">
      <c r="A200" s="82" t="s">
        <v>4169</v>
      </c>
      <c r="B200" s="82" t="s">
        <v>4169</v>
      </c>
      <c r="C200" s="54" t="s">
        <v>5430</v>
      </c>
      <c r="D200" s="54" t="s">
        <v>5621</v>
      </c>
      <c r="E200" s="54" t="s">
        <v>5430</v>
      </c>
    </row>
    <row r="201" spans="1:5">
      <c r="A201" s="82" t="s">
        <v>5590</v>
      </c>
      <c r="B201" s="82" t="s">
        <v>5590</v>
      </c>
      <c r="C201" s="54" t="s">
        <v>5430</v>
      </c>
      <c r="D201" s="85" t="s">
        <v>5621</v>
      </c>
      <c r="E201" s="54" t="s">
        <v>5430</v>
      </c>
    </row>
    <row r="202" spans="1:5">
      <c r="A202" s="82" t="s">
        <v>859</v>
      </c>
      <c r="B202" s="82" t="s">
        <v>859</v>
      </c>
      <c r="C202" s="54" t="s">
        <v>5430</v>
      </c>
      <c r="D202" s="85" t="s">
        <v>5621</v>
      </c>
      <c r="E202" s="54" t="s">
        <v>5430</v>
      </c>
    </row>
    <row r="203" spans="1:5">
      <c r="A203" s="92" t="s">
        <v>5591</v>
      </c>
      <c r="B203" s="92" t="s">
        <v>5591</v>
      </c>
      <c r="C203" s="54" t="s">
        <v>5430</v>
      </c>
      <c r="D203" s="87" t="s">
        <v>5621</v>
      </c>
      <c r="E203" s="54" t="s">
        <v>5430</v>
      </c>
    </row>
    <row r="204" spans="1:5">
      <c r="A204" s="91" t="s">
        <v>744</v>
      </c>
      <c r="B204" s="91" t="s">
        <v>744</v>
      </c>
      <c r="C204" s="54" t="s">
        <v>5430</v>
      </c>
      <c r="D204" s="87" t="s">
        <v>5621</v>
      </c>
      <c r="E204" s="54" t="s">
        <v>5430</v>
      </c>
    </row>
    <row r="205" spans="1:5">
      <c r="A205" t="s">
        <v>4081</v>
      </c>
      <c r="B205" t="s">
        <v>4081</v>
      </c>
      <c r="C205" s="54" t="s">
        <v>5430</v>
      </c>
      <c r="D205" s="54" t="s">
        <v>5621</v>
      </c>
      <c r="E205" s="54" t="s">
        <v>5430</v>
      </c>
    </row>
    <row r="206" spans="1:5">
      <c r="A206" t="s">
        <v>4884</v>
      </c>
      <c r="B206" t="s">
        <v>4884</v>
      </c>
      <c r="C206" s="54" t="s">
        <v>5430</v>
      </c>
      <c r="D206" s="54" t="s">
        <v>5621</v>
      </c>
      <c r="E206" s="54" t="s">
        <v>5430</v>
      </c>
    </row>
    <row r="207" spans="1:5">
      <c r="A207" s="82" t="s">
        <v>70</v>
      </c>
      <c r="B207" s="82" t="s">
        <v>70</v>
      </c>
      <c r="C207" s="54" t="s">
        <v>5483</v>
      </c>
      <c r="D207" s="85" t="s">
        <v>5649</v>
      </c>
      <c r="E207" t="s">
        <v>5483</v>
      </c>
    </row>
    <row r="208" spans="1:5">
      <c r="A208" s="82" t="s">
        <v>5592</v>
      </c>
      <c r="B208" s="82" t="s">
        <v>5592</v>
      </c>
      <c r="C208" s="54" t="s">
        <v>5483</v>
      </c>
      <c r="D208" s="54" t="s">
        <v>5649</v>
      </c>
      <c r="E208" t="s">
        <v>5483</v>
      </c>
    </row>
    <row r="209" spans="1:5">
      <c r="A209" s="82" t="s">
        <v>5593</v>
      </c>
      <c r="B209" s="82" t="s">
        <v>5593</v>
      </c>
      <c r="C209" s="54" t="s">
        <v>5483</v>
      </c>
      <c r="D209" s="85" t="s">
        <v>5649</v>
      </c>
      <c r="E209" t="s">
        <v>5483</v>
      </c>
    </row>
    <row r="210" spans="1:5">
      <c r="A210" s="82" t="s">
        <v>5594</v>
      </c>
      <c r="B210" s="82" t="s">
        <v>5594</v>
      </c>
      <c r="C210" s="54" t="s">
        <v>5483</v>
      </c>
      <c r="D210" s="85" t="s">
        <v>5649</v>
      </c>
      <c r="E210" t="s">
        <v>5483</v>
      </c>
    </row>
    <row r="211" spans="1:5">
      <c r="A211" s="82" t="s">
        <v>5595</v>
      </c>
      <c r="B211" s="82" t="s">
        <v>5595</v>
      </c>
      <c r="C211" s="54" t="s">
        <v>5483</v>
      </c>
      <c r="D211" s="85" t="s">
        <v>5649</v>
      </c>
      <c r="E211" t="s">
        <v>5483</v>
      </c>
    </row>
    <row r="212" spans="1:5">
      <c r="A212" s="82" t="s">
        <v>5596</v>
      </c>
      <c r="B212" s="82" t="s">
        <v>5596</v>
      </c>
      <c r="C212" s="54" t="s">
        <v>5483</v>
      </c>
      <c r="D212" s="85" t="s">
        <v>5649</v>
      </c>
      <c r="E212" t="s">
        <v>5483</v>
      </c>
    </row>
    <row r="213" spans="1:5">
      <c r="A213" s="82" t="s">
        <v>5597</v>
      </c>
      <c r="B213" s="82" t="s">
        <v>5597</v>
      </c>
      <c r="C213" s="54" t="s">
        <v>5483</v>
      </c>
      <c r="D213" s="85" t="s">
        <v>5649</v>
      </c>
      <c r="E213" t="s">
        <v>5483</v>
      </c>
    </row>
    <row r="214" spans="1:5">
      <c r="A214" s="82" t="s">
        <v>193</v>
      </c>
      <c r="B214" s="82" t="s">
        <v>193</v>
      </c>
      <c r="C214" s="54" t="s">
        <v>5483</v>
      </c>
      <c r="D214" s="85" t="s">
        <v>5649</v>
      </c>
      <c r="E214" t="s">
        <v>5483</v>
      </c>
    </row>
    <row r="215" spans="1:5">
      <c r="A215" s="82" t="s">
        <v>163</v>
      </c>
      <c r="B215" s="82" t="s">
        <v>163</v>
      </c>
      <c r="C215" s="54" t="s">
        <v>5483</v>
      </c>
      <c r="D215" s="85" t="s">
        <v>5649</v>
      </c>
      <c r="E215" t="s">
        <v>5483</v>
      </c>
    </row>
    <row r="216" spans="1:5">
      <c r="A216" s="82" t="s">
        <v>75</v>
      </c>
      <c r="B216" s="82" t="s">
        <v>75</v>
      </c>
      <c r="C216" s="54" t="s">
        <v>5483</v>
      </c>
      <c r="D216" s="85" t="s">
        <v>5649</v>
      </c>
      <c r="E216" t="s">
        <v>5483</v>
      </c>
    </row>
    <row r="217" spans="1:5">
      <c r="A217" s="93" t="s">
        <v>5598</v>
      </c>
      <c r="B217" s="82" t="s">
        <v>5598</v>
      </c>
      <c r="C217" s="54" t="s">
        <v>5483</v>
      </c>
      <c r="D217" s="85" t="s">
        <v>5649</v>
      </c>
      <c r="E217" t="s">
        <v>5483</v>
      </c>
    </row>
    <row r="218" spans="1:5">
      <c r="A218" s="82" t="s">
        <v>250</v>
      </c>
      <c r="B218" s="82" t="s">
        <v>250</v>
      </c>
      <c r="C218" s="54" t="s">
        <v>5483</v>
      </c>
      <c r="D218" s="85" t="s">
        <v>5649</v>
      </c>
      <c r="E218" t="s">
        <v>5483</v>
      </c>
    </row>
    <row r="219" spans="1:5">
      <c r="A219" s="82" t="s">
        <v>441</v>
      </c>
      <c r="B219" s="82" t="s">
        <v>441</v>
      </c>
      <c r="C219" s="54" t="s">
        <v>5483</v>
      </c>
      <c r="D219" s="85" t="s">
        <v>5649</v>
      </c>
      <c r="E219" t="s">
        <v>5483</v>
      </c>
    </row>
    <row r="220" spans="1:5">
      <c r="A220" t="s">
        <v>5600</v>
      </c>
      <c r="B220" t="s">
        <v>5600</v>
      </c>
      <c r="C220" s="54" t="s">
        <v>5483</v>
      </c>
      <c r="D220" s="94" t="s">
        <v>5649</v>
      </c>
      <c r="E220" t="s">
        <v>5483</v>
      </c>
    </row>
    <row r="221" spans="1:5">
      <c r="A221" t="s">
        <v>2255</v>
      </c>
      <c r="B221" t="s">
        <v>2255</v>
      </c>
      <c r="C221" s="54" t="s">
        <v>5483</v>
      </c>
      <c r="D221" s="82" t="s">
        <v>5649</v>
      </c>
      <c r="E221" t="s">
        <v>5483</v>
      </c>
    </row>
    <row r="222" spans="1:5">
      <c r="A222" t="s">
        <v>5601</v>
      </c>
      <c r="B222" t="s">
        <v>5601</v>
      </c>
      <c r="C222" s="54" t="s">
        <v>5483</v>
      </c>
      <c r="D222" s="87" t="s">
        <v>5649</v>
      </c>
      <c r="E222" t="s">
        <v>5483</v>
      </c>
    </row>
    <row r="223" spans="1:5">
      <c r="A223" t="s">
        <v>5602</v>
      </c>
      <c r="B223" t="s">
        <v>5602</v>
      </c>
      <c r="C223" s="54" t="s">
        <v>5483</v>
      </c>
      <c r="D223" s="85" t="s">
        <v>5649</v>
      </c>
      <c r="E223" t="s">
        <v>5483</v>
      </c>
    </row>
    <row r="224" spans="1:5">
      <c r="A224" t="s">
        <v>5686</v>
      </c>
      <c r="B224" t="s">
        <v>5686</v>
      </c>
      <c r="C224" s="54" t="s">
        <v>52</v>
      </c>
      <c r="D224" s="82" t="s">
        <v>5649</v>
      </c>
      <c r="E224" t="s">
        <v>52</v>
      </c>
    </row>
    <row r="225" spans="1:5">
      <c r="A225" t="s">
        <v>5603</v>
      </c>
      <c r="B225" t="s">
        <v>5603</v>
      </c>
      <c r="C225" s="54" t="s">
        <v>5468</v>
      </c>
      <c r="D225" s="82" t="s">
        <v>5621</v>
      </c>
      <c r="E225" t="s">
        <v>5468</v>
      </c>
    </row>
    <row r="226" spans="1:5">
      <c r="A226" t="s">
        <v>5604</v>
      </c>
      <c r="B226" t="s">
        <v>5604</v>
      </c>
      <c r="C226" s="54" t="s">
        <v>5468</v>
      </c>
      <c r="D226" s="54" t="s">
        <v>5621</v>
      </c>
      <c r="E226" s="54" t="s">
        <v>5468</v>
      </c>
    </row>
    <row r="227" spans="1:5">
      <c r="A227" t="s">
        <v>5605</v>
      </c>
      <c r="B227" t="s">
        <v>5605</v>
      </c>
      <c r="C227" t="s">
        <v>44</v>
      </c>
      <c r="D227" t="s">
        <v>5621</v>
      </c>
      <c r="E227" t="s">
        <v>44</v>
      </c>
    </row>
    <row r="228" spans="1:5">
      <c r="A228" t="s">
        <v>5606</v>
      </c>
      <c r="B228" t="s">
        <v>5606</v>
      </c>
      <c r="C228" t="s">
        <v>44</v>
      </c>
      <c r="D228" t="s">
        <v>5621</v>
      </c>
      <c r="E228" t="s">
        <v>44</v>
      </c>
    </row>
    <row r="229" spans="1:5">
      <c r="A229" t="s">
        <v>5607</v>
      </c>
      <c r="B229" t="s">
        <v>5607</v>
      </c>
      <c r="C229" t="s">
        <v>44</v>
      </c>
      <c r="D229" t="s">
        <v>5621</v>
      </c>
      <c r="E229" t="s">
        <v>44</v>
      </c>
    </row>
    <row r="230" spans="1:5">
      <c r="A230" t="s">
        <v>5608</v>
      </c>
      <c r="B230" t="s">
        <v>5608</v>
      </c>
      <c r="C230" t="s">
        <v>5687</v>
      </c>
      <c r="D230" t="s">
        <v>5621</v>
      </c>
      <c r="E230" t="s">
        <v>5687</v>
      </c>
    </row>
    <row r="231" spans="1:5">
      <c r="A231" t="s">
        <v>5609</v>
      </c>
      <c r="B231" t="s">
        <v>5609</v>
      </c>
      <c r="C231" t="s">
        <v>44</v>
      </c>
      <c r="D231" t="s">
        <v>5621</v>
      </c>
      <c r="E231" t="s">
        <v>44</v>
      </c>
    </row>
    <row r="232" spans="1:5">
      <c r="A232" t="s">
        <v>5610</v>
      </c>
      <c r="B232" t="s">
        <v>5610</v>
      </c>
      <c r="C232" s="54" t="s">
        <v>5480</v>
      </c>
      <c r="D232" s="54" t="s">
        <v>5621</v>
      </c>
      <c r="E232" s="2" t="s">
        <v>5480</v>
      </c>
    </row>
    <row r="233" spans="1:5">
      <c r="A233" t="s">
        <v>5611</v>
      </c>
      <c r="B233" t="s">
        <v>5611</v>
      </c>
      <c r="C233" s="54" t="s">
        <v>5421</v>
      </c>
      <c r="D233" s="54" t="s">
        <v>5621</v>
      </c>
      <c r="E233" s="54" t="s">
        <v>5421</v>
      </c>
    </row>
    <row r="234" spans="1:5">
      <c r="A234" t="s">
        <v>218</v>
      </c>
      <c r="B234" t="s">
        <v>218</v>
      </c>
      <c r="C234" s="54" t="s">
        <v>5421</v>
      </c>
      <c r="D234" s="54" t="s">
        <v>5621</v>
      </c>
      <c r="E234" s="54" t="s">
        <v>5421</v>
      </c>
    </row>
    <row r="235" spans="1:5">
      <c r="A235" t="s">
        <v>5612</v>
      </c>
      <c r="B235" t="s">
        <v>5612</v>
      </c>
      <c r="C235" s="54" t="s">
        <v>37</v>
      </c>
      <c r="D235" t="s">
        <v>5621</v>
      </c>
      <c r="E235" t="s">
        <v>37</v>
      </c>
    </row>
    <row r="236" spans="1:5">
      <c r="A236" t="s">
        <v>5688</v>
      </c>
      <c r="B236" t="s">
        <v>5688</v>
      </c>
      <c r="C236" s="54" t="s">
        <v>5468</v>
      </c>
      <c r="D236" t="s">
        <v>5621</v>
      </c>
      <c r="E236" t="s">
        <v>5468</v>
      </c>
    </row>
    <row r="237" spans="1:5">
      <c r="A237" s="54" t="s">
        <v>5540</v>
      </c>
      <c r="B237" s="54" t="s">
        <v>5540</v>
      </c>
      <c r="C237" s="54" t="s">
        <v>5522</v>
      </c>
      <c r="D237" s="54" t="s">
        <v>5649</v>
      </c>
      <c r="E237" s="54" t="s">
        <v>5522</v>
      </c>
    </row>
    <row r="238" spans="1:5" ht="15.75">
      <c r="A238" s="11" t="s">
        <v>5613</v>
      </c>
      <c r="B238" s="11" t="s">
        <v>5613</v>
      </c>
      <c r="C238" t="s">
        <v>5430</v>
      </c>
      <c r="D238" s="82" t="s">
        <v>5621</v>
      </c>
      <c r="E238" t="s">
        <v>5430</v>
      </c>
    </row>
    <row r="239" spans="1:5">
      <c r="A239" s="100" t="s">
        <v>5614</v>
      </c>
      <c r="B239" s="100" t="s">
        <v>5614</v>
      </c>
      <c r="C239" s="54" t="s">
        <v>5685</v>
      </c>
      <c r="D239" s="82" t="s">
        <v>5621</v>
      </c>
      <c r="E239" s="54" t="s">
        <v>5685</v>
      </c>
    </row>
    <row r="240" spans="1:5">
      <c r="A240" t="s">
        <v>5615</v>
      </c>
      <c r="B240" t="s">
        <v>5615</v>
      </c>
      <c r="C240" t="s">
        <v>44</v>
      </c>
      <c r="D240" s="82" t="s">
        <v>5621</v>
      </c>
      <c r="E240" t="s">
        <v>44</v>
      </c>
    </row>
    <row r="241" spans="1:5">
      <c r="A241" t="s">
        <v>5616</v>
      </c>
      <c r="B241" t="s">
        <v>5616</v>
      </c>
      <c r="C241" s="54" t="s">
        <v>5522</v>
      </c>
      <c r="D241" t="s">
        <v>5649</v>
      </c>
      <c r="E241" t="s">
        <v>5522</v>
      </c>
    </row>
    <row r="242" spans="1:5">
      <c r="A242" t="s">
        <v>5689</v>
      </c>
      <c r="B242" t="s">
        <v>5689</v>
      </c>
      <c r="C242" s="54" t="s">
        <v>5522</v>
      </c>
      <c r="D242" t="s">
        <v>5649</v>
      </c>
      <c r="E242" t="s">
        <v>5522</v>
      </c>
    </row>
    <row r="243" spans="1:5">
      <c r="A243" t="s">
        <v>5690</v>
      </c>
      <c r="B243" t="s">
        <v>5690</v>
      </c>
      <c r="C243" s="54" t="s">
        <v>5483</v>
      </c>
      <c r="D243" s="85" t="s">
        <v>5649</v>
      </c>
      <c r="E243" t="s">
        <v>5483</v>
      </c>
    </row>
    <row r="244" spans="1:5">
      <c r="A244" t="s">
        <v>1573</v>
      </c>
      <c r="B244" t="s">
        <v>1573</v>
      </c>
      <c r="C244" s="54" t="s">
        <v>5483</v>
      </c>
      <c r="D244" s="87" t="s">
        <v>5649</v>
      </c>
      <c r="E244" s="2" t="s">
        <v>5483</v>
      </c>
    </row>
    <row r="245" spans="1:5">
      <c r="A245" t="s">
        <v>5545</v>
      </c>
      <c r="B245" t="s">
        <v>5545</v>
      </c>
      <c r="C245" s="54" t="s">
        <v>5468</v>
      </c>
      <c r="D245" s="87" t="s">
        <v>5621</v>
      </c>
      <c r="E245" s="54" t="s">
        <v>5468</v>
      </c>
    </row>
    <row r="246" spans="1:5" ht="15.75" thickBot="1">
      <c r="A246" s="101" t="s">
        <v>5691</v>
      </c>
      <c r="B246" s="101" t="s">
        <v>5691</v>
      </c>
      <c r="C246" s="54" t="s">
        <v>5522</v>
      </c>
      <c r="D246" s="85" t="s">
        <v>5649</v>
      </c>
      <c r="E246" t="s">
        <v>5522</v>
      </c>
    </row>
    <row r="247" spans="1:5">
      <c r="A247" t="s">
        <v>5692</v>
      </c>
      <c r="B247" t="s">
        <v>5692</v>
      </c>
      <c r="C247" t="s">
        <v>44</v>
      </c>
      <c r="D247" t="s">
        <v>5621</v>
      </c>
      <c r="E247" t="s">
        <v>44</v>
      </c>
    </row>
    <row r="248" spans="1:5">
      <c r="A248" t="s">
        <v>5693</v>
      </c>
      <c r="B248" t="s">
        <v>5693</v>
      </c>
      <c r="C248" t="s">
        <v>44</v>
      </c>
      <c r="D248" t="s">
        <v>5621</v>
      </c>
      <c r="E248" t="s">
        <v>44</v>
      </c>
    </row>
    <row r="249" spans="1:5">
      <c r="A249" t="s">
        <v>5694</v>
      </c>
      <c r="B249" t="s">
        <v>5694</v>
      </c>
      <c r="C249" s="54" t="s">
        <v>5468</v>
      </c>
      <c r="D249" t="s">
        <v>5621</v>
      </c>
      <c r="E249" t="s">
        <v>5468</v>
      </c>
    </row>
    <row r="250" spans="1:5">
      <c r="A250" t="s">
        <v>5529</v>
      </c>
      <c r="B250" t="s">
        <v>5529</v>
      </c>
      <c r="C250" s="54" t="s">
        <v>5480</v>
      </c>
      <c r="D250" s="87" t="s">
        <v>5621</v>
      </c>
      <c r="E250" s="2" t="s">
        <v>5480</v>
      </c>
    </row>
    <row r="251" spans="1:5">
      <c r="A251" t="s">
        <v>5695</v>
      </c>
      <c r="B251" t="s">
        <v>5695</v>
      </c>
      <c r="C251" s="54" t="s">
        <v>5430</v>
      </c>
      <c r="D251" s="85" t="s">
        <v>5649</v>
      </c>
      <c r="E251" s="54" t="s">
        <v>5430</v>
      </c>
    </row>
    <row r="252" spans="1:5">
      <c r="A252" t="s">
        <v>5696</v>
      </c>
      <c r="B252" t="s">
        <v>5696</v>
      </c>
      <c r="C252" s="54" t="s">
        <v>5480</v>
      </c>
      <c r="D252" s="54" t="s">
        <v>5621</v>
      </c>
      <c r="E252" s="54" t="s">
        <v>5480</v>
      </c>
    </row>
    <row r="253" spans="1:5">
      <c r="A253" t="s">
        <v>5697</v>
      </c>
      <c r="B253" t="s">
        <v>5697</v>
      </c>
      <c r="C253" t="s">
        <v>5430</v>
      </c>
      <c r="D253" t="s">
        <v>5621</v>
      </c>
      <c r="E253" t="s">
        <v>5430</v>
      </c>
    </row>
    <row r="254" spans="1:5">
      <c r="A254" t="s">
        <v>5698</v>
      </c>
      <c r="B254" t="s">
        <v>5698</v>
      </c>
      <c r="C254" t="s">
        <v>5430</v>
      </c>
      <c r="D254" t="s">
        <v>5621</v>
      </c>
      <c r="E254" t="s">
        <v>5430</v>
      </c>
    </row>
    <row r="255" spans="1:5">
      <c r="A255" t="s">
        <v>5699</v>
      </c>
      <c r="B255" t="s">
        <v>5699</v>
      </c>
      <c r="C255" t="s">
        <v>44</v>
      </c>
      <c r="D255" t="s">
        <v>5621</v>
      </c>
      <c r="E255" t="s">
        <v>44</v>
      </c>
    </row>
    <row r="256" spans="1:5">
      <c r="A256" s="61" t="s">
        <v>5700</v>
      </c>
      <c r="B256" s="61" t="s">
        <v>5700</v>
      </c>
      <c r="C256" s="54" t="s">
        <v>5430</v>
      </c>
      <c r="D256" s="87" t="s">
        <v>5621</v>
      </c>
      <c r="E256" s="54" t="s">
        <v>5430</v>
      </c>
    </row>
    <row r="257" spans="1:5">
      <c r="A257" t="s">
        <v>5701</v>
      </c>
      <c r="B257" t="s">
        <v>5701</v>
      </c>
      <c r="C257" s="54" t="s">
        <v>5430</v>
      </c>
      <c r="D257" s="87" t="s">
        <v>5621</v>
      </c>
      <c r="E257" s="54" t="s">
        <v>5430</v>
      </c>
    </row>
    <row r="258" spans="1:5">
      <c r="A258" t="s">
        <v>5702</v>
      </c>
      <c r="B258" t="s">
        <v>5702</v>
      </c>
      <c r="C258" s="54" t="s">
        <v>5421</v>
      </c>
      <c r="D258" s="54" t="s">
        <v>5621</v>
      </c>
      <c r="E258" s="54" t="s">
        <v>5421</v>
      </c>
    </row>
    <row r="259" spans="1:5">
      <c r="A259" t="s">
        <v>5703</v>
      </c>
      <c r="B259" t="s">
        <v>5703</v>
      </c>
      <c r="C259" s="54" t="s">
        <v>5627</v>
      </c>
      <c r="D259" s="85" t="s">
        <v>5649</v>
      </c>
      <c r="E259" s="54" t="s">
        <v>5480</v>
      </c>
    </row>
    <row r="260" spans="1:5">
      <c r="A260" t="s">
        <v>5704</v>
      </c>
      <c r="B260" t="s">
        <v>5704</v>
      </c>
      <c r="C260" s="54" t="s">
        <v>5430</v>
      </c>
      <c r="D260" s="85" t="s">
        <v>5621</v>
      </c>
      <c r="E260" s="54" t="s">
        <v>5430</v>
      </c>
    </row>
    <row r="261" spans="1:5">
      <c r="A261" t="s">
        <v>126</v>
      </c>
      <c r="B261" t="s">
        <v>126</v>
      </c>
      <c r="C261" s="54" t="s">
        <v>5480</v>
      </c>
      <c r="D261" s="54" t="s">
        <v>5621</v>
      </c>
      <c r="E261" s="54" t="s">
        <v>5480</v>
      </c>
    </row>
    <row r="262" spans="1:5">
      <c r="A262" t="s">
        <v>5705</v>
      </c>
      <c r="B262" t="s">
        <v>5705</v>
      </c>
      <c r="C262" s="54" t="s">
        <v>37</v>
      </c>
      <c r="D262" s="54" t="s">
        <v>5621</v>
      </c>
      <c r="E262" s="87" t="s">
        <v>37</v>
      </c>
    </row>
    <row r="263" spans="1:5">
      <c r="A263" t="s">
        <v>5706</v>
      </c>
      <c r="B263" t="s">
        <v>5706</v>
      </c>
      <c r="C263" t="s">
        <v>5483</v>
      </c>
      <c r="D263" s="85" t="s">
        <v>5649</v>
      </c>
      <c r="E263" t="s">
        <v>5483</v>
      </c>
    </row>
    <row r="264" spans="1:5" ht="15.75">
      <c r="A264" s="95" t="s">
        <v>5707</v>
      </c>
      <c r="B264" s="95" t="s">
        <v>5707</v>
      </c>
      <c r="C264" s="54" t="s">
        <v>5685</v>
      </c>
      <c r="D264" t="s">
        <v>5621</v>
      </c>
      <c r="E264" s="54" t="s">
        <v>5685</v>
      </c>
    </row>
    <row r="265" spans="1:5" ht="15.75">
      <c r="A265" s="95" t="s">
        <v>5708</v>
      </c>
      <c r="B265" s="95" t="s">
        <v>5708</v>
      </c>
      <c r="C265" s="54" t="s">
        <v>5685</v>
      </c>
      <c r="D265" t="s">
        <v>5621</v>
      </c>
      <c r="E265" s="54" t="s">
        <v>5685</v>
      </c>
    </row>
    <row r="266" spans="1:5">
      <c r="A266" s="102" t="s">
        <v>5709</v>
      </c>
      <c r="B266" t="s">
        <v>5709</v>
      </c>
      <c r="C266" s="54" t="s">
        <v>5421</v>
      </c>
      <c r="D266" s="54" t="s">
        <v>5621</v>
      </c>
      <c r="E266" s="54" t="s">
        <v>5421</v>
      </c>
    </row>
    <row r="267" spans="1:5">
      <c r="A267" t="s">
        <v>5710</v>
      </c>
      <c r="B267" t="s">
        <v>5710</v>
      </c>
      <c r="C267" s="54" t="s">
        <v>5685</v>
      </c>
      <c r="D267" t="s">
        <v>5621</v>
      </c>
      <c r="E267" s="54" t="s">
        <v>5685</v>
      </c>
    </row>
    <row r="268" spans="1:5" ht="30">
      <c r="A268" s="96" t="s">
        <v>5711</v>
      </c>
      <c r="B268" s="96" t="s">
        <v>5711</v>
      </c>
      <c r="C268" s="96" t="s">
        <v>5712</v>
      </c>
      <c r="D268" s="85" t="s">
        <v>5649</v>
      </c>
      <c r="E268" s="96" t="s">
        <v>5712</v>
      </c>
    </row>
    <row r="269" spans="1:5">
      <c r="A269" s="96" t="s">
        <v>5713</v>
      </c>
      <c r="B269" s="96" t="s">
        <v>5713</v>
      </c>
      <c r="C269" s="96" t="s">
        <v>5714</v>
      </c>
      <c r="E269" s="96" t="s">
        <v>5714</v>
      </c>
    </row>
    <row r="270" spans="1:5">
      <c r="A270" s="96" t="s">
        <v>5715</v>
      </c>
      <c r="B270" s="96" t="s">
        <v>5715</v>
      </c>
      <c r="C270" s="96" t="s">
        <v>5714</v>
      </c>
      <c r="E270" s="96" t="s">
        <v>5714</v>
      </c>
    </row>
    <row r="271" spans="1:5">
      <c r="A271" s="96" t="s">
        <v>5716</v>
      </c>
      <c r="B271" s="96" t="s">
        <v>5716</v>
      </c>
      <c r="C271" s="96" t="s">
        <v>5714</v>
      </c>
      <c r="E271" s="96" t="s">
        <v>5714</v>
      </c>
    </row>
    <row r="272" spans="1:5">
      <c r="A272" s="96" t="s">
        <v>5651</v>
      </c>
      <c r="B272" s="96" t="s">
        <v>5651</v>
      </c>
      <c r="C272" s="96" t="s">
        <v>5714</v>
      </c>
      <c r="E272" s="96" t="s">
        <v>5714</v>
      </c>
    </row>
    <row r="273" spans="1:5">
      <c r="A273" s="96" t="s">
        <v>5717</v>
      </c>
      <c r="B273" s="96" t="s">
        <v>5717</v>
      </c>
      <c r="C273" s="96" t="s">
        <v>5714</v>
      </c>
      <c r="E273" s="96" t="s">
        <v>5714</v>
      </c>
    </row>
    <row r="274" spans="1:5">
      <c r="A274" s="96" t="s">
        <v>5718</v>
      </c>
      <c r="B274" s="96" t="s">
        <v>5718</v>
      </c>
      <c r="C274" s="96" t="s">
        <v>5714</v>
      </c>
      <c r="E274" s="96" t="s">
        <v>5714</v>
      </c>
    </row>
    <row r="275" spans="1:5">
      <c r="A275" s="96" t="s">
        <v>5719</v>
      </c>
      <c r="B275" s="96" t="s">
        <v>5719</v>
      </c>
      <c r="C275" s="96" t="s">
        <v>5714</v>
      </c>
      <c r="E275" s="96" t="s">
        <v>5714</v>
      </c>
    </row>
    <row r="276" spans="1:5">
      <c r="A276" s="96" t="s">
        <v>5720</v>
      </c>
      <c r="B276" s="96" t="s">
        <v>5720</v>
      </c>
      <c r="C276" s="96" t="s">
        <v>5714</v>
      </c>
      <c r="E276" s="96" t="s">
        <v>5714</v>
      </c>
    </row>
    <row r="277" spans="1:5">
      <c r="A277" s="96" t="s">
        <v>5721</v>
      </c>
      <c r="B277" s="96" t="s">
        <v>5721</v>
      </c>
      <c r="C277" s="96" t="s">
        <v>5714</v>
      </c>
      <c r="E277" s="96" t="s">
        <v>5714</v>
      </c>
    </row>
    <row r="278" spans="1:5">
      <c r="A278" s="96" t="s">
        <v>5722</v>
      </c>
      <c r="B278" s="96" t="s">
        <v>5722</v>
      </c>
      <c r="C278" s="96" t="s">
        <v>5714</v>
      </c>
      <c r="E278" s="96" t="s">
        <v>5714</v>
      </c>
    </row>
    <row r="279" spans="1:5" ht="30">
      <c r="A279" s="96" t="s">
        <v>5723</v>
      </c>
      <c r="B279" s="96" t="s">
        <v>5723</v>
      </c>
      <c r="C279" s="96" t="s">
        <v>5714</v>
      </c>
      <c r="E279" s="96" t="s">
        <v>5714</v>
      </c>
    </row>
    <row r="280" spans="1:5">
      <c r="A280" s="96" t="s">
        <v>5724</v>
      </c>
      <c r="B280" s="96" t="s">
        <v>5724</v>
      </c>
      <c r="C280" s="96" t="s">
        <v>5714</v>
      </c>
      <c r="E280" s="96" t="s">
        <v>5714</v>
      </c>
    </row>
    <row r="281" spans="1:5">
      <c r="A281" s="96" t="s">
        <v>5725</v>
      </c>
      <c r="B281" s="96" t="s">
        <v>5725</v>
      </c>
      <c r="C281" s="96" t="s">
        <v>5714</v>
      </c>
      <c r="E281" s="96" t="s">
        <v>5714</v>
      </c>
    </row>
    <row r="282" spans="1:5">
      <c r="A282" s="96" t="s">
        <v>5726</v>
      </c>
      <c r="B282" s="96" t="s">
        <v>5726</v>
      </c>
      <c r="C282" s="96" t="s">
        <v>5714</v>
      </c>
      <c r="E282" s="96" t="s">
        <v>5714</v>
      </c>
    </row>
    <row r="283" spans="1:5" ht="15.75">
      <c r="A283" s="11" t="s">
        <v>5727</v>
      </c>
      <c r="B283" s="11" t="s">
        <v>5727</v>
      </c>
      <c r="C283" s="54" t="s">
        <v>5468</v>
      </c>
      <c r="E283" t="s">
        <v>5468</v>
      </c>
    </row>
    <row r="284" spans="1:5">
      <c r="A284" t="s">
        <v>5728</v>
      </c>
      <c r="B284" t="s">
        <v>5728</v>
      </c>
      <c r="C284" s="54" t="s">
        <v>5430</v>
      </c>
      <c r="D284" t="s">
        <v>5649</v>
      </c>
      <c r="E284" s="54" t="s">
        <v>5430</v>
      </c>
    </row>
    <row r="285" spans="1:5">
      <c r="A285" t="s">
        <v>5729</v>
      </c>
      <c r="B285" t="s">
        <v>5729</v>
      </c>
      <c r="C285" s="54" t="s">
        <v>5468</v>
      </c>
      <c r="D285" t="s">
        <v>5621</v>
      </c>
      <c r="E285" t="s">
        <v>5468</v>
      </c>
    </row>
    <row r="286" spans="1:5">
      <c r="A286" t="s">
        <v>5730</v>
      </c>
      <c r="B286" t="s">
        <v>5730</v>
      </c>
      <c r="C286" s="54" t="s">
        <v>5468</v>
      </c>
      <c r="D286" t="s">
        <v>5621</v>
      </c>
      <c r="E286" s="54" t="s">
        <v>5468</v>
      </c>
    </row>
    <row r="287" spans="1:5">
      <c r="A287" t="s">
        <v>5731</v>
      </c>
      <c r="B287" t="s">
        <v>5731</v>
      </c>
      <c r="C287" s="54" t="s">
        <v>5468</v>
      </c>
      <c r="D287" t="s">
        <v>5621</v>
      </c>
      <c r="E287" s="54" t="s">
        <v>5468</v>
      </c>
    </row>
    <row r="288" spans="1:5">
      <c r="A288" t="s">
        <v>5732</v>
      </c>
      <c r="B288" t="s">
        <v>5732</v>
      </c>
      <c r="C288" s="54" t="s">
        <v>5522</v>
      </c>
      <c r="D288" t="s">
        <v>5649</v>
      </c>
      <c r="E288" t="s">
        <v>5522</v>
      </c>
    </row>
    <row r="289" spans="1:5">
      <c r="A289" t="s">
        <v>5733</v>
      </c>
      <c r="B289" t="s">
        <v>5733</v>
      </c>
      <c r="C289" s="54" t="s">
        <v>5468</v>
      </c>
      <c r="E289" s="54" t="s">
        <v>5468</v>
      </c>
    </row>
    <row r="290" spans="1:5">
      <c r="A290" t="s">
        <v>5734</v>
      </c>
      <c r="B290" t="s">
        <v>5734</v>
      </c>
      <c r="C290" t="s">
        <v>5430</v>
      </c>
      <c r="E290" t="s">
        <v>5430</v>
      </c>
    </row>
    <row r="291" spans="1:5">
      <c r="A291" t="s">
        <v>5735</v>
      </c>
      <c r="B291" t="s">
        <v>5735</v>
      </c>
      <c r="C291" s="82" t="s">
        <v>5468</v>
      </c>
      <c r="D291" t="s">
        <v>5621</v>
      </c>
      <c r="E291" s="82" t="s">
        <v>5468</v>
      </c>
    </row>
    <row r="292" spans="1:5">
      <c r="A292" t="s">
        <v>5736</v>
      </c>
      <c r="B292" t="s">
        <v>5736</v>
      </c>
      <c r="C292" s="82" t="s">
        <v>5468</v>
      </c>
      <c r="D292" t="s">
        <v>5621</v>
      </c>
      <c r="E292" s="82" t="s">
        <v>5468</v>
      </c>
    </row>
    <row r="293" spans="1:5">
      <c r="A293" s="2" t="s">
        <v>5708</v>
      </c>
      <c r="B293" s="2" t="s">
        <v>5708</v>
      </c>
      <c r="C293" s="54" t="s">
        <v>5685</v>
      </c>
      <c r="D293" s="85" t="s">
        <v>5621</v>
      </c>
      <c r="E293" s="54" t="s">
        <v>5685</v>
      </c>
    </row>
    <row r="294" spans="1:5">
      <c r="A294" t="s">
        <v>5737</v>
      </c>
      <c r="B294" t="s">
        <v>5737</v>
      </c>
      <c r="C294" s="54" t="s">
        <v>5468</v>
      </c>
      <c r="D294" t="s">
        <v>5621</v>
      </c>
      <c r="E294" s="54" t="s">
        <v>5468</v>
      </c>
    </row>
    <row r="295" spans="1:5">
      <c r="A295" t="s">
        <v>5738</v>
      </c>
      <c r="B295" t="s">
        <v>5738</v>
      </c>
      <c r="C295" s="54" t="s">
        <v>5468</v>
      </c>
      <c r="D295" t="s">
        <v>5621</v>
      </c>
      <c r="E295" s="54" t="s">
        <v>5468</v>
      </c>
    </row>
    <row r="296" spans="1:5">
      <c r="A296" t="s">
        <v>5739</v>
      </c>
      <c r="B296" t="s">
        <v>5739</v>
      </c>
      <c r="C296" t="s">
        <v>5430</v>
      </c>
      <c r="D296" t="s">
        <v>5621</v>
      </c>
      <c r="E296" t="s">
        <v>5430</v>
      </c>
    </row>
    <row r="297" spans="1:5">
      <c r="A297" t="s">
        <v>5740</v>
      </c>
      <c r="B297" t="s">
        <v>5740</v>
      </c>
      <c r="C297" s="54" t="s">
        <v>5468</v>
      </c>
      <c r="D297" t="s">
        <v>5621</v>
      </c>
      <c r="E297" s="82" t="s">
        <v>5468</v>
      </c>
    </row>
    <row r="298" spans="1:5">
      <c r="A298" t="s">
        <v>5741</v>
      </c>
      <c r="B298" t="s">
        <v>5741</v>
      </c>
      <c r="C298" t="s">
        <v>5483</v>
      </c>
      <c r="D298" t="s">
        <v>5649</v>
      </c>
      <c r="E298" t="s">
        <v>5483</v>
      </c>
    </row>
    <row r="299" spans="1:5">
      <c r="A299" t="s">
        <v>5742</v>
      </c>
      <c r="B299" t="s">
        <v>5742</v>
      </c>
      <c r="C299" t="s">
        <v>5468</v>
      </c>
      <c r="D299" t="s">
        <v>5621</v>
      </c>
      <c r="E299" t="s">
        <v>5468</v>
      </c>
    </row>
    <row r="300" spans="1:5">
      <c r="A300" t="s">
        <v>5743</v>
      </c>
      <c r="B300" t="s">
        <v>5743</v>
      </c>
      <c r="C300" t="s">
        <v>44</v>
      </c>
      <c r="D300" t="s">
        <v>5621</v>
      </c>
      <c r="E300" t="s">
        <v>44</v>
      </c>
    </row>
    <row r="301" spans="1:5">
      <c r="A301" t="s">
        <v>5744</v>
      </c>
      <c r="B301" t="s">
        <v>5744</v>
      </c>
      <c r="C301" s="54" t="s">
        <v>5522</v>
      </c>
      <c r="D301" t="s">
        <v>5649</v>
      </c>
      <c r="E301" t="s">
        <v>5522</v>
      </c>
    </row>
    <row r="302" spans="1:5">
      <c r="A302" t="s">
        <v>5745</v>
      </c>
      <c r="B302" t="s">
        <v>5745</v>
      </c>
      <c r="C302" s="54" t="s">
        <v>5468</v>
      </c>
      <c r="D302" s="85" t="s">
        <v>5621</v>
      </c>
      <c r="E302" t="s">
        <v>5468</v>
      </c>
    </row>
    <row r="303" spans="1:5">
      <c r="A303" t="s">
        <v>5746</v>
      </c>
      <c r="B303" t="s">
        <v>5746</v>
      </c>
      <c r="C303" s="2" t="s">
        <v>5468</v>
      </c>
      <c r="D303" t="s">
        <v>5621</v>
      </c>
      <c r="E303" s="2" t="s">
        <v>5468</v>
      </c>
    </row>
    <row r="304" spans="1:5">
      <c r="A304" t="s">
        <v>5747</v>
      </c>
      <c r="B304" t="s">
        <v>5747</v>
      </c>
      <c r="C304" s="2" t="s">
        <v>5468</v>
      </c>
      <c r="D304" t="s">
        <v>5621</v>
      </c>
      <c r="E304" s="2" t="s">
        <v>5468</v>
      </c>
    </row>
    <row r="305" spans="1:5">
      <c r="A305" t="s">
        <v>5748</v>
      </c>
      <c r="B305" t="s">
        <v>5748</v>
      </c>
      <c r="C305" t="s">
        <v>5480</v>
      </c>
      <c r="D305" t="s">
        <v>5621</v>
      </c>
      <c r="E305" t="s">
        <v>5480</v>
      </c>
    </row>
    <row r="306" spans="1:5">
      <c r="A306" t="s">
        <v>5749</v>
      </c>
      <c r="B306" t="s">
        <v>5749</v>
      </c>
      <c r="C306" s="54" t="s">
        <v>5430</v>
      </c>
      <c r="D306" s="54" t="s">
        <v>5621</v>
      </c>
      <c r="E306" s="54" t="s">
        <v>5430</v>
      </c>
    </row>
    <row r="307" spans="1:5">
      <c r="A307" t="s">
        <v>5743</v>
      </c>
      <c r="B307" t="s">
        <v>5743</v>
      </c>
      <c r="C307" t="s">
        <v>44</v>
      </c>
      <c r="D307" s="54" t="s">
        <v>5621</v>
      </c>
      <c r="E307" t="s">
        <v>44</v>
      </c>
    </row>
    <row r="308" spans="1:5">
      <c r="A308" t="s">
        <v>5730</v>
      </c>
      <c r="B308" t="s">
        <v>5730</v>
      </c>
      <c r="C308" s="54" t="s">
        <v>5468</v>
      </c>
      <c r="D308" t="s">
        <v>5621</v>
      </c>
      <c r="E308" s="54" t="s">
        <v>5468</v>
      </c>
    </row>
    <row r="309" spans="1:5">
      <c r="A309" t="s">
        <v>5742</v>
      </c>
      <c r="B309" t="s">
        <v>5742</v>
      </c>
      <c r="C309" s="54" t="s">
        <v>5468</v>
      </c>
      <c r="D309" t="s">
        <v>5621</v>
      </c>
      <c r="E309" s="54" t="s">
        <v>5468</v>
      </c>
    </row>
    <row r="310" spans="1:5">
      <c r="A310" t="s">
        <v>5683</v>
      </c>
      <c r="B310" t="s">
        <v>5683</v>
      </c>
      <c r="C310" s="54" t="s">
        <v>5468</v>
      </c>
      <c r="D310" t="s">
        <v>5621</v>
      </c>
      <c r="E310" s="54" t="s">
        <v>5468</v>
      </c>
    </row>
    <row r="311" spans="1:5">
      <c r="A311" t="s">
        <v>5750</v>
      </c>
      <c r="B311" t="s">
        <v>5750</v>
      </c>
      <c r="C311" t="s">
        <v>5430</v>
      </c>
      <c r="D311" t="s">
        <v>5621</v>
      </c>
      <c r="E311" t="s">
        <v>5430</v>
      </c>
    </row>
    <row r="312" spans="1:5">
      <c r="A312" t="s">
        <v>5751</v>
      </c>
      <c r="B312" t="s">
        <v>5751</v>
      </c>
      <c r="C312" t="s">
        <v>5430</v>
      </c>
      <c r="D312" t="s">
        <v>5621</v>
      </c>
      <c r="E312" t="s">
        <v>5430</v>
      </c>
    </row>
    <row r="313" spans="1:5">
      <c r="A313" t="s">
        <v>5731</v>
      </c>
      <c r="B313" t="s">
        <v>5731</v>
      </c>
      <c r="C313" s="54" t="s">
        <v>5468</v>
      </c>
      <c r="D313" t="s">
        <v>5621</v>
      </c>
      <c r="E313" s="54" t="s">
        <v>5468</v>
      </c>
    </row>
    <row r="314" spans="1:5">
      <c r="A314" t="s">
        <v>5729</v>
      </c>
      <c r="B314" t="s">
        <v>5729</v>
      </c>
      <c r="C314" s="54" t="s">
        <v>5468</v>
      </c>
      <c r="D314" t="s">
        <v>5621</v>
      </c>
      <c r="E314" s="54" t="s">
        <v>5468</v>
      </c>
    </row>
    <row r="315" spans="1:5">
      <c r="A315" t="s">
        <v>5740</v>
      </c>
      <c r="B315" t="s">
        <v>5740</v>
      </c>
      <c r="C315" s="54" t="s">
        <v>5468</v>
      </c>
      <c r="D315" t="s">
        <v>5621</v>
      </c>
      <c r="E315" s="54" t="s">
        <v>5468</v>
      </c>
    </row>
    <row r="316" spans="1:5">
      <c r="A316" t="s">
        <v>5738</v>
      </c>
      <c r="B316" t="s">
        <v>5738</v>
      </c>
      <c r="C316" s="54" t="s">
        <v>5468</v>
      </c>
      <c r="D316" t="s">
        <v>5621</v>
      </c>
      <c r="E316" s="54" t="s">
        <v>5468</v>
      </c>
    </row>
    <row r="317" spans="1:5">
      <c r="A317" t="s">
        <v>5527</v>
      </c>
      <c r="B317" t="s">
        <v>5527</v>
      </c>
      <c r="C317" t="s">
        <v>5430</v>
      </c>
      <c r="D317" t="s">
        <v>5621</v>
      </c>
      <c r="E317" t="s">
        <v>5430</v>
      </c>
    </row>
    <row r="318" spans="1:5">
      <c r="A318" t="s">
        <v>5736</v>
      </c>
      <c r="B318" t="s">
        <v>5736</v>
      </c>
      <c r="C318" t="s">
        <v>5468</v>
      </c>
      <c r="D318" t="s">
        <v>5621</v>
      </c>
      <c r="E318" t="s">
        <v>5468</v>
      </c>
    </row>
    <row r="319" spans="1:5">
      <c r="A319" t="s">
        <v>5752</v>
      </c>
      <c r="B319" t="s">
        <v>5752</v>
      </c>
      <c r="C319" t="s">
        <v>5468</v>
      </c>
      <c r="D319" t="s">
        <v>5621</v>
      </c>
      <c r="E319" t="s">
        <v>5468</v>
      </c>
    </row>
    <row r="320" spans="1:5">
      <c r="A320" t="s">
        <v>5745</v>
      </c>
      <c r="B320" t="s">
        <v>5745</v>
      </c>
      <c r="C320" t="s">
        <v>5468</v>
      </c>
      <c r="D320" t="s">
        <v>5621</v>
      </c>
      <c r="E320" t="s">
        <v>5468</v>
      </c>
    </row>
    <row r="321" spans="1:5">
      <c r="A321" t="s">
        <v>5748</v>
      </c>
      <c r="B321" t="s">
        <v>5748</v>
      </c>
      <c r="C321" t="s">
        <v>5480</v>
      </c>
      <c r="D321" t="s">
        <v>5621</v>
      </c>
      <c r="E321" t="s">
        <v>5480</v>
      </c>
    </row>
    <row r="322" spans="1:5">
      <c r="A322" t="s">
        <v>5753</v>
      </c>
      <c r="B322" t="s">
        <v>5753</v>
      </c>
      <c r="C322" t="s">
        <v>44</v>
      </c>
      <c r="D322" t="s">
        <v>5621</v>
      </c>
      <c r="E322" t="s">
        <v>44</v>
      </c>
    </row>
    <row r="323" spans="1:5">
      <c r="A323" t="s">
        <v>5754</v>
      </c>
      <c r="B323" t="s">
        <v>5754</v>
      </c>
      <c r="C323" s="71" t="s">
        <v>44</v>
      </c>
      <c r="D323" t="s">
        <v>5621</v>
      </c>
      <c r="E323" t="s">
        <v>44</v>
      </c>
    </row>
    <row r="324" spans="1:5">
      <c r="A324" t="s">
        <v>5755</v>
      </c>
      <c r="B324" t="s">
        <v>5755</v>
      </c>
      <c r="C324" s="71" t="s">
        <v>44</v>
      </c>
      <c r="D324" t="s">
        <v>5621</v>
      </c>
      <c r="E324" t="s">
        <v>44</v>
      </c>
    </row>
    <row r="325" spans="1:5" ht="16.5">
      <c r="A325" s="12" t="s">
        <v>5756</v>
      </c>
      <c r="B325" s="12" t="s">
        <v>5756</v>
      </c>
      <c r="C325" s="71" t="s">
        <v>44</v>
      </c>
      <c r="D325" t="s">
        <v>5621</v>
      </c>
      <c r="E325" t="s">
        <v>44</v>
      </c>
    </row>
    <row r="326" spans="1:5">
      <c r="A326" t="s">
        <v>5757</v>
      </c>
      <c r="B326" t="s">
        <v>5757</v>
      </c>
      <c r="C326" t="s">
        <v>5483</v>
      </c>
      <c r="D326" t="s">
        <v>5649</v>
      </c>
      <c r="E326" t="s">
        <v>5483</v>
      </c>
    </row>
    <row r="327" spans="1:5">
      <c r="A327" t="s">
        <v>5758</v>
      </c>
      <c r="B327" t="s">
        <v>5758</v>
      </c>
      <c r="C327" t="s">
        <v>5468</v>
      </c>
      <c r="D327" t="s">
        <v>5621</v>
      </c>
      <c r="E327" t="s">
        <v>5468</v>
      </c>
    </row>
    <row r="328" spans="1:5">
      <c r="A328" t="s">
        <v>5759</v>
      </c>
      <c r="B328" t="s">
        <v>5759</v>
      </c>
      <c r="C328" t="s">
        <v>5468</v>
      </c>
      <c r="D328" t="s">
        <v>5621</v>
      </c>
      <c r="E328" t="s">
        <v>5468</v>
      </c>
    </row>
    <row r="329" spans="1:5">
      <c r="A329" t="s">
        <v>5760</v>
      </c>
      <c r="B329" t="s">
        <v>5760</v>
      </c>
      <c r="C329" s="54" t="s">
        <v>5483</v>
      </c>
      <c r="D329" s="85" t="s">
        <v>5649</v>
      </c>
      <c r="E329" s="54" t="s">
        <v>5483</v>
      </c>
    </row>
    <row r="330" spans="1:5">
      <c r="A330" t="s">
        <v>5761</v>
      </c>
      <c r="B330" t="s">
        <v>5761</v>
      </c>
      <c r="C330" s="54" t="str">
        <f>E330</f>
        <v>Sadhna Shukla</v>
      </c>
      <c r="D330" t="s">
        <v>5621</v>
      </c>
      <c r="E330" t="s">
        <v>44</v>
      </c>
    </row>
    <row r="331" spans="1:5">
      <c r="A331" t="s">
        <v>5762</v>
      </c>
      <c r="B331" t="s">
        <v>5762</v>
      </c>
      <c r="C331" s="54" t="str">
        <f>E331</f>
        <v>Sadhna Shukla</v>
      </c>
      <c r="D331" t="s">
        <v>5621</v>
      </c>
      <c r="E331" t="s">
        <v>44</v>
      </c>
    </row>
    <row r="332" spans="1:5">
      <c r="A332" t="s">
        <v>5763</v>
      </c>
      <c r="B332" t="s">
        <v>5763</v>
      </c>
      <c r="C332" t="s">
        <v>5483</v>
      </c>
      <c r="D332" s="85" t="s">
        <v>5649</v>
      </c>
      <c r="E332" t="s">
        <v>5483</v>
      </c>
    </row>
    <row r="333" spans="1:5">
      <c r="A333" t="s">
        <v>5764</v>
      </c>
      <c r="B333" t="s">
        <v>5764</v>
      </c>
      <c r="C333" s="54" t="s">
        <v>5522</v>
      </c>
      <c r="D333" t="s">
        <v>5649</v>
      </c>
      <c r="E333" t="s">
        <v>5522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6E569-AD7C-40E9-9EEF-3D609178A9F4}">
  <sheetPr codeName="Sheet4"/>
  <dimension ref="A1:X2509"/>
  <sheetViews>
    <sheetView topLeftCell="C1" zoomScaleNormal="100" workbookViewId="0">
      <selection activeCell="G6" sqref="G6"/>
    </sheetView>
  </sheetViews>
  <sheetFormatPr defaultRowHeight="15"/>
  <cols>
    <col min="1" max="1" width="16.28515625" hidden="1" customWidth="1"/>
    <col min="2" max="2" width="15.85546875" hidden="1" customWidth="1"/>
    <col min="3" max="3" width="20.7109375" bestFit="1" customWidth="1"/>
    <col min="4" max="4" width="7.85546875" bestFit="1" customWidth="1"/>
    <col min="5" max="5" width="29.28515625" customWidth="1"/>
    <col min="6" max="6" width="21.28515625" customWidth="1"/>
    <col min="7" max="8" width="25.28515625" bestFit="1" customWidth="1"/>
    <col min="9" max="9" width="14.140625" bestFit="1" customWidth="1"/>
    <col min="10" max="10" width="25.140625" bestFit="1" customWidth="1"/>
    <col min="11" max="11" width="12" bestFit="1" customWidth="1"/>
    <col min="12" max="12" width="18.5703125" bestFit="1" customWidth="1"/>
    <col min="13" max="13" width="22.7109375" bestFit="1" customWidth="1"/>
    <col min="14" max="14" width="11" bestFit="1" customWidth="1"/>
    <col min="17" max="17" width="22.7109375" bestFit="1" customWidth="1"/>
    <col min="18" max="18" width="17.5703125" bestFit="1" customWidth="1"/>
    <col min="24" max="24" width="25.140625" bestFit="1" customWidth="1"/>
  </cols>
  <sheetData>
    <row r="1" spans="1:24">
      <c r="A1" s="1"/>
      <c r="B1" s="1"/>
      <c r="C1" s="1" t="s">
        <v>5438</v>
      </c>
      <c r="D1" s="163" t="s">
        <v>64</v>
      </c>
      <c r="E1" s="6" t="s">
        <v>5501</v>
      </c>
      <c r="F1" s="6" t="s">
        <v>5765</v>
      </c>
      <c r="G1" s="164" t="s">
        <v>5438</v>
      </c>
      <c r="H1" s="164" t="s">
        <v>5442</v>
      </c>
      <c r="I1" s="6" t="s">
        <v>5766</v>
      </c>
      <c r="J1" s="6" t="s">
        <v>5767</v>
      </c>
      <c r="K1" s="6" t="s">
        <v>5768</v>
      </c>
      <c r="L1" s="142" t="s">
        <v>5769</v>
      </c>
      <c r="Q1" t="str" cm="1">
        <f t="array" ref="Q1:Q14">_xlfn.UNIQUE(F:F)</f>
        <v>Business Head</v>
      </c>
    </row>
    <row r="2" spans="1:24">
      <c r="E2" s="2" t="s">
        <v>5770</v>
      </c>
      <c r="F2" s="2" t="s">
        <v>5771</v>
      </c>
      <c r="G2" s="167" t="s">
        <v>5772</v>
      </c>
      <c r="H2" s="2" t="s">
        <v>5422</v>
      </c>
      <c r="I2" s="2" t="s">
        <v>5430</v>
      </c>
      <c r="J2" s="2" t="str">
        <f>VLOOKUP(E2,'[1]HRBP Tagging'!$A:$D,4,0)</f>
        <v>sara</v>
      </c>
      <c r="K2" s="2" t="str">
        <f>VLOOKUP($E2,'[2]AM Client'!$A:$F,6,0)</f>
        <v>Services</v>
      </c>
      <c r="L2" s="2" t="s">
        <v>5773</v>
      </c>
      <c r="M2" t="str">
        <f>VLOOKUP(E2,'[2]AM Client'!$B:$C,2,0)</f>
        <v>Deepak Desai</v>
      </c>
      <c r="Q2" t="str">
        <v>Deepak Desai</v>
      </c>
      <c r="R2" t="s">
        <v>238</v>
      </c>
    </row>
    <row r="3" spans="1:24">
      <c r="B3" s="97"/>
      <c r="E3" s="155" t="s">
        <v>5774</v>
      </c>
      <c r="F3" s="114" t="s">
        <v>5771</v>
      </c>
      <c r="G3" s="153" t="s">
        <v>5772</v>
      </c>
      <c r="H3" s="2"/>
      <c r="I3" s="114" t="s">
        <v>5775</v>
      </c>
      <c r="J3" s="2" t="e">
        <f>VLOOKUP(E3,'[1]HRBP Tagging'!$A:$D,4,0)</f>
        <v>#N/A</v>
      </c>
      <c r="K3" s="2">
        <f>VLOOKUP($E3,'[2]AM Client'!$A:$F,6,0)</f>
        <v>0</v>
      </c>
      <c r="L3" s="114" t="s">
        <v>5773</v>
      </c>
      <c r="M3" t="str">
        <f>VLOOKUP(E3,'[2]AM Client'!$B:$C,2,0)</f>
        <v>Deepak Desai</v>
      </c>
      <c r="Q3" t="str">
        <v>Jawad Ulla Khan Non IT</v>
      </c>
      <c r="R3" t="s">
        <v>5494</v>
      </c>
    </row>
    <row r="4" spans="1:24">
      <c r="E4" s="155" t="s">
        <v>5776</v>
      </c>
      <c r="F4" s="114" t="s">
        <v>5771</v>
      </c>
      <c r="G4" s="153" t="s">
        <v>5772</v>
      </c>
      <c r="H4" s="2"/>
      <c r="I4" s="114" t="s">
        <v>5775</v>
      </c>
      <c r="J4" s="2" t="e">
        <f>VLOOKUP(E4,'[1]HRBP Tagging'!$A:$D,4,0)</f>
        <v>#N/A</v>
      </c>
      <c r="K4" s="2">
        <f>VLOOKUP($E4,'[2]AM Client'!$A:$F,6,0)</f>
        <v>0</v>
      </c>
      <c r="L4" s="114" t="s">
        <v>5773</v>
      </c>
      <c r="M4" t="str">
        <f>VLOOKUP(E4,'[2]AM Client'!$B:$C,2,0)</f>
        <v>Deepak Desai</v>
      </c>
      <c r="Q4" t="str">
        <v>Sadhna Shukla</v>
      </c>
      <c r="R4" t="s">
        <v>44</v>
      </c>
    </row>
    <row r="5" spans="1:24">
      <c r="A5" s="97"/>
      <c r="E5" s="155" t="s">
        <v>5777</v>
      </c>
      <c r="F5" s="114" t="s">
        <v>5771</v>
      </c>
      <c r="G5" s="181" t="s">
        <v>5772</v>
      </c>
      <c r="H5" s="2"/>
      <c r="I5" s="114" t="s">
        <v>5775</v>
      </c>
      <c r="J5" s="2" t="e">
        <f>VLOOKUP(E5,'[1]HRBP Tagging'!$A:$D,4,0)</f>
        <v>#N/A</v>
      </c>
      <c r="K5" s="2">
        <f>VLOOKUP($E5,'[2]AM Client'!$A:$F,6,0)</f>
        <v>0</v>
      </c>
      <c r="L5" s="114" t="s">
        <v>5773</v>
      </c>
      <c r="M5" t="str">
        <f>VLOOKUP(E5,'[2]AM Client'!$B:$C,2,0)</f>
        <v>Deepak Desai</v>
      </c>
      <c r="N5" s="97"/>
      <c r="Q5" t="str">
        <v>Mehr Hashim</v>
      </c>
      <c r="R5" t="s">
        <v>44</v>
      </c>
      <c r="X5" s="60" t="s">
        <v>5767</v>
      </c>
    </row>
    <row r="6" spans="1:24">
      <c r="C6" t="s">
        <v>232</v>
      </c>
      <c r="E6" s="23" t="s">
        <v>193</v>
      </c>
      <c r="F6" s="2" t="s">
        <v>5778</v>
      </c>
      <c r="G6" s="153" t="s">
        <v>160</v>
      </c>
      <c r="H6" s="165" t="s">
        <v>160</v>
      </c>
      <c r="I6" s="2" t="s">
        <v>5416</v>
      </c>
      <c r="J6" s="2" t="str">
        <f>VLOOKUP(E6,'[1]HRBP Tagging'!$A:$D,4,0)</f>
        <v>Samrita /Sree Swetha</v>
      </c>
      <c r="K6" s="2" t="str">
        <f>VLOOKUP($E6,'[2]AM Client'!$A:$F,6,0)</f>
        <v>ITES</v>
      </c>
      <c r="L6" s="2" t="s">
        <v>27</v>
      </c>
      <c r="M6" t="str">
        <f>VLOOKUP(E6,'[2]AM Client'!$B:$C,2,0)</f>
        <v>Jawad Ulla Khan Non IT</v>
      </c>
      <c r="Q6" t="str">
        <v>None</v>
      </c>
      <c r="X6" t="s">
        <v>5779</v>
      </c>
    </row>
    <row r="7" spans="1:24">
      <c r="E7" s="114" t="s">
        <v>5121</v>
      </c>
      <c r="F7" s="2" t="s">
        <v>5771</v>
      </c>
      <c r="G7" s="167" t="s">
        <v>5780</v>
      </c>
      <c r="H7" s="114"/>
      <c r="I7" s="114"/>
      <c r="J7" s="2" t="str">
        <f>VLOOKUP(E7,'[1]HRBP Tagging'!$A:$D,4,0)</f>
        <v>Sara</v>
      </c>
      <c r="K7" s="114" t="s">
        <v>5781</v>
      </c>
      <c r="L7" s="2" t="s">
        <v>5780</v>
      </c>
      <c r="M7" t="str">
        <f>VLOOKUP(E7,'[2]AM Client'!$B:$C,2,0)</f>
        <v>Deepak Desai</v>
      </c>
      <c r="Q7" t="str">
        <v>Anuradha Murthy</v>
      </c>
      <c r="R7" t="s">
        <v>5494</v>
      </c>
      <c r="X7" t="s">
        <v>5782</v>
      </c>
    </row>
    <row r="8" spans="1:24">
      <c r="E8" s="2" t="s">
        <v>5745</v>
      </c>
      <c r="F8" s="2" t="s">
        <v>5771</v>
      </c>
      <c r="G8" s="181" t="s">
        <v>5771</v>
      </c>
      <c r="H8" s="70" t="s">
        <v>5422</v>
      </c>
      <c r="I8" s="2" t="s">
        <v>5417</v>
      </c>
      <c r="J8" s="2" t="str">
        <f>VLOOKUP(E8,'[1]HRBP Tagging'!$A:$D,4,0)</f>
        <v>Sara</v>
      </c>
      <c r="K8" s="2" t="str">
        <f>VLOOKUP($E8,'[2]AM Client'!$A:$F,6,0)</f>
        <v>Services</v>
      </c>
      <c r="L8" s="2" t="s">
        <v>5418</v>
      </c>
      <c r="M8" t="str">
        <f>VLOOKUP(E8,'[2]AM Client'!$B:$C,2,0)</f>
        <v>Deepak Desai</v>
      </c>
      <c r="Q8" t="str">
        <v>Deepak Desai Non IT</v>
      </c>
      <c r="R8" t="s">
        <v>238</v>
      </c>
      <c r="X8" t="s">
        <v>5783</v>
      </c>
    </row>
    <row r="9" spans="1:24">
      <c r="A9" s="97"/>
      <c r="C9" t="s">
        <v>45</v>
      </c>
      <c r="E9" s="23" t="s">
        <v>163</v>
      </c>
      <c r="F9" s="2" t="s">
        <v>5778</v>
      </c>
      <c r="G9" s="153" t="s">
        <v>160</v>
      </c>
      <c r="H9" s="165" t="s">
        <v>160</v>
      </c>
      <c r="I9" s="2" t="s">
        <v>5416</v>
      </c>
      <c r="J9" s="2" t="str">
        <f>VLOOKUP(E9,'[1]HRBP Tagging'!$A:$D,4,0)</f>
        <v>Samrita /Sree Swetha</v>
      </c>
      <c r="K9" s="2" t="str">
        <f>VLOOKUP($E9,'[2]AM Client'!$A:$F,6,0)</f>
        <v>ITES</v>
      </c>
      <c r="L9" s="2" t="s">
        <v>27</v>
      </c>
      <c r="M9" t="str">
        <f>VLOOKUP(E9,'[2]AM Client'!$B:$C,2,0)</f>
        <v>Jawad Ulla Khan Non IT</v>
      </c>
      <c r="Q9">
        <v>0</v>
      </c>
      <c r="R9" t="s">
        <v>5418</v>
      </c>
      <c r="X9" t="s">
        <v>5687</v>
      </c>
    </row>
    <row r="10" spans="1:24">
      <c r="C10" s="97"/>
      <c r="E10" s="19" t="s">
        <v>5078</v>
      </c>
      <c r="F10" s="2" t="s">
        <v>44</v>
      </c>
      <c r="G10" s="167" t="s">
        <v>5784</v>
      </c>
      <c r="H10" s="70" t="s">
        <v>1983</v>
      </c>
      <c r="I10" s="2" t="s">
        <v>5425</v>
      </c>
      <c r="J10" s="2" t="str">
        <f>VLOOKUP(E10,'[1]HRBP Tagging'!$A:$D,4,0)</f>
        <v>Meenu Amit Kumar</v>
      </c>
      <c r="K10" s="2" t="str">
        <f>VLOOKUP($E10,'[2]AM Client'!$A:$F,6,0)</f>
        <v>Captive</v>
      </c>
      <c r="L10" s="2" t="s">
        <v>44</v>
      </c>
      <c r="M10" t="str">
        <f>VLOOKUP(E10,'[2]AM Client'!$B:$C,2,0)</f>
        <v>Sadhna Shukla</v>
      </c>
      <c r="Q10" t="str">
        <v>Prathap Sagar</v>
      </c>
      <c r="R10" t="s">
        <v>5773</v>
      </c>
      <c r="X10" t="s">
        <v>5785</v>
      </c>
    </row>
    <row r="11" spans="1:24">
      <c r="E11" s="21" t="s">
        <v>5695</v>
      </c>
      <c r="F11" s="114" t="s">
        <v>5771</v>
      </c>
      <c r="G11" s="166" t="s">
        <v>5433</v>
      </c>
      <c r="H11" s="23" t="s">
        <v>5786</v>
      </c>
      <c r="I11" s="2" t="s">
        <v>5430</v>
      </c>
      <c r="J11" s="2" t="str">
        <f>VLOOKUP(E11,'[1]HRBP Tagging'!$A:$D,4,0)</f>
        <v>sara</v>
      </c>
      <c r="K11" s="2" t="str">
        <f>VLOOKUP($E11,'[2]AM Client'!$A:$F,6,0)</f>
        <v>SOW Captive</v>
      </c>
      <c r="L11" s="2" t="s">
        <v>5773</v>
      </c>
      <c r="M11" t="str">
        <f>VLOOKUP(E11,'[2]AM Client'!$B:$C,2,0)</f>
        <v>Deepak Desai</v>
      </c>
      <c r="Q11" t="str">
        <v>Anuradha Murthy Non IT</v>
      </c>
      <c r="X11" t="s">
        <v>5787</v>
      </c>
    </row>
    <row r="12" spans="1:24">
      <c r="C12" t="s">
        <v>5788</v>
      </c>
      <c r="E12" s="2" t="s">
        <v>2167</v>
      </c>
      <c r="F12" s="2" t="s">
        <v>45</v>
      </c>
      <c r="G12" s="153" t="s">
        <v>45</v>
      </c>
      <c r="H12" s="23" t="s">
        <v>5789</v>
      </c>
      <c r="I12" s="2" t="s">
        <v>5425</v>
      </c>
      <c r="J12" s="2" t="str">
        <f>VLOOKUP(E12,'[1]HRBP Tagging'!$A:$D,4,0)</f>
        <v>Shobha Mishra</v>
      </c>
      <c r="K12" s="2" t="str">
        <f>VLOOKUP($E12,'[2]AM Client'!$A:$F,6,0)</f>
        <v>Captive</v>
      </c>
      <c r="L12" s="2" t="s">
        <v>45</v>
      </c>
      <c r="M12" t="str">
        <f>VLOOKUP(E12,'[2]AM Client'!$B:$C,2,0)</f>
        <v>Mher</v>
      </c>
      <c r="Q12" t="str">
        <v>Kiran Gowda</v>
      </c>
      <c r="R12" t="s">
        <v>5773</v>
      </c>
      <c r="X12" t="s">
        <v>5790</v>
      </c>
    </row>
    <row r="13" spans="1:24">
      <c r="E13" s="50" t="s">
        <v>5717</v>
      </c>
      <c r="F13" s="2" t="s">
        <v>5665</v>
      </c>
      <c r="G13" s="153" t="s">
        <v>5791</v>
      </c>
      <c r="H13" s="23" t="s">
        <v>5792</v>
      </c>
      <c r="I13" s="2" t="s">
        <v>5423</v>
      </c>
      <c r="J13" s="2" t="str">
        <f>VLOOKUP(E13,'[1]HRBP Tagging'!$A:$D,4,0)</f>
        <v>sara</v>
      </c>
      <c r="K13" s="2" t="str">
        <f>VLOOKUP($E13,'[2]AM Client'!$A:$F,6,0)</f>
        <v>Services</v>
      </c>
      <c r="L13" s="2" t="s">
        <v>5714</v>
      </c>
      <c r="M13" t="str">
        <f>VLOOKUP(E13,'[2]AM Client'!$B:$C,2,0)</f>
        <v>Aashis Ranjan</v>
      </c>
      <c r="Q13" t="str">
        <v>Mher</v>
      </c>
      <c r="X13" t="s">
        <v>5793</v>
      </c>
    </row>
    <row r="14" spans="1:24">
      <c r="C14" t="s">
        <v>25</v>
      </c>
      <c r="E14" s="19" t="s">
        <v>517</v>
      </c>
      <c r="F14" s="2" t="s">
        <v>44</v>
      </c>
      <c r="G14" s="181" t="s">
        <v>5784</v>
      </c>
      <c r="H14" s="70" t="s">
        <v>1983</v>
      </c>
      <c r="I14" s="2" t="s">
        <v>5425</v>
      </c>
      <c r="J14" s="2" t="str">
        <f>VLOOKUP(E14,'[1]HRBP Tagging'!$A:$D,4,0)</f>
        <v>Shobha Mishra</v>
      </c>
      <c r="K14" s="2" t="e">
        <f>VLOOKUP($E14,'[2]AM Client'!$A:$F,6,0)</f>
        <v>#N/A</v>
      </c>
      <c r="L14" s="2" t="s">
        <v>44</v>
      </c>
      <c r="M14" t="e">
        <f>VLOOKUP(E14,'[2]AM Client'!$B:$C,2,0)</f>
        <v>#N/A</v>
      </c>
      <c r="Q14">
        <v>0</v>
      </c>
      <c r="X14" t="s">
        <v>5794</v>
      </c>
    </row>
    <row r="15" spans="1:24">
      <c r="C15" t="s">
        <v>4881</v>
      </c>
      <c r="E15" s="21" t="s">
        <v>4320</v>
      </c>
      <c r="F15" s="2" t="s">
        <v>5778</v>
      </c>
      <c r="G15" s="153" t="s">
        <v>27</v>
      </c>
      <c r="H15" s="165" t="s">
        <v>160</v>
      </c>
      <c r="I15" s="2" t="s">
        <v>5437</v>
      </c>
      <c r="J15" s="2" t="str">
        <f>VLOOKUP(E15,'[1]HRBP Tagging'!$A:$D,4,0)</f>
        <v>Sara</v>
      </c>
      <c r="K15" s="2" t="s">
        <v>5781</v>
      </c>
      <c r="L15" s="2" t="s">
        <v>5780</v>
      </c>
      <c r="M15" t="str">
        <f>VLOOKUP(E15,'[2]AM Client'!$B:$C,2,0)</f>
        <v>Jawad Ulla Khan Non IT</v>
      </c>
      <c r="R15" t="s">
        <v>5418</v>
      </c>
      <c r="X15" t="s">
        <v>5795</v>
      </c>
    </row>
    <row r="16" spans="1:24">
      <c r="C16" t="s">
        <v>5427</v>
      </c>
      <c r="E16" s="2" t="s">
        <v>5278</v>
      </c>
      <c r="F16" s="2" t="s">
        <v>45</v>
      </c>
      <c r="G16" s="167" t="s">
        <v>45</v>
      </c>
      <c r="H16" s="23" t="s">
        <v>5789</v>
      </c>
      <c r="I16" s="2" t="s">
        <v>5425</v>
      </c>
      <c r="J16" s="2" t="str">
        <f>VLOOKUP(E16,'[1]HRBP Tagging'!$A:$D,4,0)</f>
        <v>Shobha Mishra</v>
      </c>
      <c r="K16" s="2" t="str">
        <f>VLOOKUP($E16,'[2]AM Client'!$A:$F,6,0)</f>
        <v>Captive</v>
      </c>
      <c r="L16" s="2" t="s">
        <v>45</v>
      </c>
      <c r="M16" t="str">
        <f>VLOOKUP(E16,'[2]AM Client'!$B:$C,2,0)</f>
        <v>Mher</v>
      </c>
      <c r="X16" t="s">
        <v>5796</v>
      </c>
    </row>
    <row r="17" spans="3:24">
      <c r="C17" t="s">
        <v>5772</v>
      </c>
      <c r="E17" s="2" t="s">
        <v>5255</v>
      </c>
      <c r="F17" s="2" t="s">
        <v>45</v>
      </c>
      <c r="G17" s="153" t="s">
        <v>45</v>
      </c>
      <c r="H17" s="23" t="s">
        <v>5789</v>
      </c>
      <c r="I17" s="2" t="s">
        <v>5425</v>
      </c>
      <c r="J17" s="2" t="str">
        <f>VLOOKUP(E17,'[1]HRBP Tagging'!$A:$D,4,0)</f>
        <v>Shobha Mishra</v>
      </c>
      <c r="K17" s="2" t="str">
        <f>VLOOKUP($E17,'[2]AM Client'!$A:$F,6,0)</f>
        <v>Captive</v>
      </c>
      <c r="L17" s="2" t="s">
        <v>45</v>
      </c>
      <c r="M17" t="str">
        <f>VLOOKUP(E17,'[2]AM Client'!$B:$C,2,0)</f>
        <v>Mher</v>
      </c>
      <c r="Q17" s="2" t="s">
        <v>5483</v>
      </c>
      <c r="R17" t="s">
        <v>5494</v>
      </c>
      <c r="X17" t="s">
        <v>5797</v>
      </c>
    </row>
    <row r="18" spans="3:24">
      <c r="C18" t="s">
        <v>5432</v>
      </c>
      <c r="E18" s="23" t="s">
        <v>5292</v>
      </c>
      <c r="F18" s="2" t="s">
        <v>5780</v>
      </c>
      <c r="G18" s="153" t="s">
        <v>5798</v>
      </c>
      <c r="H18" s="23"/>
      <c r="I18" s="2" t="s">
        <v>5420</v>
      </c>
      <c r="J18" s="2" t="str">
        <f>VLOOKUP(E18,'[1]HRBP Tagging'!$A:$D,4,0)</f>
        <v>Sultana M</v>
      </c>
      <c r="K18" s="2" t="str">
        <f>VLOOKUP($E18,'[2]AM Client'!$A:$F,6,0)</f>
        <v>Captive</v>
      </c>
      <c r="L18" s="2" t="s">
        <v>5771</v>
      </c>
      <c r="M18" t="str">
        <f>VLOOKUP(E18,'[2]AM Client'!$B:$C,2,0)</f>
        <v>Anuradha Murthy</v>
      </c>
      <c r="Q18" s="2" t="s">
        <v>5480</v>
      </c>
      <c r="R18" t="s">
        <v>5494</v>
      </c>
      <c r="X18" t="s">
        <v>53</v>
      </c>
    </row>
    <row r="19" spans="3:24">
      <c r="C19" t="s">
        <v>5433</v>
      </c>
      <c r="E19" s="23" t="s">
        <v>5689</v>
      </c>
      <c r="F19" s="2" t="s">
        <v>5780</v>
      </c>
      <c r="G19" s="153" t="s">
        <v>5798</v>
      </c>
      <c r="H19" s="23" t="s">
        <v>683</v>
      </c>
      <c r="I19" s="2" t="s">
        <v>5420</v>
      </c>
      <c r="J19" s="2" t="str">
        <f>VLOOKUP(E19,'[1]HRBP Tagging'!$A:$D,4,0)</f>
        <v>Sultana M</v>
      </c>
      <c r="K19" s="2" t="str">
        <f>VLOOKUP($E19,'[2]AM Client'!$A:$F,6,0)</f>
        <v>ITES</v>
      </c>
      <c r="L19" s="2" t="s">
        <v>5771</v>
      </c>
      <c r="M19" t="str">
        <f>VLOOKUP(E19,'[2]AM Client'!$B:$C,2,0)</f>
        <v>Anuradha Murthy Non IT</v>
      </c>
    </row>
    <row r="20" spans="3:24">
      <c r="C20" t="s">
        <v>5434</v>
      </c>
      <c r="E20" s="50" t="s">
        <v>5724</v>
      </c>
      <c r="F20" s="2" t="s">
        <v>5665</v>
      </c>
      <c r="G20" s="153" t="s">
        <v>5791</v>
      </c>
      <c r="H20" s="23" t="s">
        <v>5424</v>
      </c>
      <c r="I20" s="2" t="s">
        <v>5423</v>
      </c>
      <c r="J20" s="2" t="str">
        <f>VLOOKUP(E20,'[1]HRBP Tagging'!$A:$D,4,0)</f>
        <v>sara</v>
      </c>
      <c r="K20" s="2" t="str">
        <f>VLOOKUP($E20,'[2]AM Client'!$A:$F,6,0)</f>
        <v>Services</v>
      </c>
      <c r="L20" s="2" t="s">
        <v>5714</v>
      </c>
      <c r="M20" t="str">
        <f>VLOOKUP(E20,'[2]AM Client'!$B:$C,2,0)</f>
        <v>Aashis Ranjan</v>
      </c>
    </row>
    <row r="21" spans="3:24">
      <c r="C21" t="s">
        <v>33</v>
      </c>
      <c r="E21" s="21" t="s">
        <v>5532</v>
      </c>
      <c r="F21" s="2" t="s">
        <v>5780</v>
      </c>
      <c r="G21" s="176" t="s">
        <v>5798</v>
      </c>
      <c r="H21" s="23" t="s">
        <v>683</v>
      </c>
      <c r="I21" s="2" t="s">
        <v>5437</v>
      </c>
      <c r="J21" s="2" t="str">
        <f>VLOOKUP(E21,'[1]HRBP Tagging'!$A:$D,4,0)</f>
        <v>Sultana M</v>
      </c>
      <c r="K21" s="2" t="str">
        <f>VLOOKUP($E21,'[2]AM Client'!$A:$F,6,0)</f>
        <v>Captive</v>
      </c>
      <c r="L21" s="2" t="s">
        <v>5780</v>
      </c>
      <c r="M21" t="str">
        <f>VLOOKUP(E21,'[2]AM Client'!$B:$C,2,0)</f>
        <v>Anuradha Murthy</v>
      </c>
    </row>
    <row r="22" spans="3:24">
      <c r="E22" s="23" t="s">
        <v>5524</v>
      </c>
      <c r="F22" s="114" t="s">
        <v>5771</v>
      </c>
      <c r="G22" s="165" t="s">
        <v>5432</v>
      </c>
      <c r="H22" s="70" t="s">
        <v>5786</v>
      </c>
      <c r="I22" s="2" t="s">
        <v>5430</v>
      </c>
      <c r="J22" s="2" t="str">
        <f>VLOOKUP(E22,'[1]HRBP Tagging'!$A:$D,4,0)</f>
        <v>Sultana M</v>
      </c>
      <c r="K22" s="2" t="str">
        <f>VLOOKUP($E22,'[2]AM Client'!$A:$F,6,0)</f>
        <v>Services</v>
      </c>
      <c r="L22" s="2" t="s">
        <v>5773</v>
      </c>
      <c r="M22" t="str">
        <f>VLOOKUP(E22,'[2]AM Client'!$B:$C,2,0)</f>
        <v>Deepak Desai</v>
      </c>
    </row>
    <row r="23" spans="3:24">
      <c r="C23" t="s">
        <v>5429</v>
      </c>
      <c r="E23" s="2" t="s">
        <v>5799</v>
      </c>
      <c r="F23" s="2" t="s">
        <v>5771</v>
      </c>
      <c r="G23" s="153" t="s">
        <v>5800</v>
      </c>
      <c r="H23" s="2" t="s">
        <v>5800</v>
      </c>
      <c r="I23" s="2" t="s">
        <v>5425</v>
      </c>
      <c r="J23" s="2" t="str">
        <f>VLOOKUP(E23,'[1]HRBP Tagging'!$A:$D,4,0)</f>
        <v>Shobha Mishra</v>
      </c>
      <c r="K23" s="2" t="str">
        <f>VLOOKUP($E23,'[2]AM Client'!$A:$F,6,0)</f>
        <v>Captive</v>
      </c>
      <c r="L23" s="2" t="s">
        <v>44</v>
      </c>
      <c r="M23" t="str">
        <f>VLOOKUP(E23,'[2]AM Client'!$B:$C,2,0)</f>
        <v>Deepak Desai</v>
      </c>
    </row>
    <row r="24" spans="3:24">
      <c r="E24" s="114" t="s">
        <v>5701</v>
      </c>
      <c r="F24" s="114" t="s">
        <v>5771</v>
      </c>
      <c r="G24" s="137" t="s">
        <v>5434</v>
      </c>
      <c r="H24" s="50" t="s">
        <v>5801</v>
      </c>
      <c r="I24" s="2" t="s">
        <v>5430</v>
      </c>
      <c r="J24" s="2" t="str">
        <f>VLOOKUP(E24,'[1]HRBP Tagging'!$A:$D,4,0)</f>
        <v>Sultana M</v>
      </c>
      <c r="K24" s="114" t="s">
        <v>5802</v>
      </c>
      <c r="L24" s="114" t="s">
        <v>5773</v>
      </c>
      <c r="M24" t="str">
        <f>VLOOKUP(E24,'[2]AM Client'!$B:$C,2,0)</f>
        <v>Deepak Desai</v>
      </c>
    </row>
    <row r="25" spans="3:24">
      <c r="E25" s="2" t="s">
        <v>5754</v>
      </c>
      <c r="F25" s="2" t="s">
        <v>44</v>
      </c>
      <c r="G25" s="153" t="s">
        <v>5803</v>
      </c>
      <c r="H25" s="2" t="s">
        <v>5427</v>
      </c>
      <c r="I25" s="2" t="s">
        <v>5425</v>
      </c>
      <c r="J25" s="2" t="str">
        <f>VLOOKUP(E25,'[1]HRBP Tagging'!$A:$D,4,0)</f>
        <v>Shobha Mishra</v>
      </c>
      <c r="K25" s="2" t="str">
        <f>VLOOKUP($E25,'[2]AM Client'!$A:$F,6,0)</f>
        <v>Captive</v>
      </c>
      <c r="L25" s="2" t="s">
        <v>44</v>
      </c>
      <c r="M25" t="str">
        <f>VLOOKUP(E25,'[2]AM Client'!$B:$C,2,0)</f>
        <v>Sadhna Shukla</v>
      </c>
    </row>
    <row r="26" spans="3:24">
      <c r="E26" s="23" t="s">
        <v>5527</v>
      </c>
      <c r="F26" s="114" t="s">
        <v>5771</v>
      </c>
      <c r="G26" s="153" t="s">
        <v>5432</v>
      </c>
      <c r="H26" s="70" t="s">
        <v>5804</v>
      </c>
      <c r="I26" s="2" t="s">
        <v>5430</v>
      </c>
      <c r="J26" s="2" t="str">
        <f>VLOOKUP(E26,'[1]HRBP Tagging'!$A:$D,4,0)</f>
        <v>Sara</v>
      </c>
      <c r="K26" s="2" t="str">
        <f>VLOOKUP($E26,'[2]AM Client'!$A:$F,6,0)</f>
        <v>Services</v>
      </c>
      <c r="L26" s="2" t="s">
        <v>5773</v>
      </c>
      <c r="M26" t="str">
        <f>VLOOKUP(E26,'[2]AM Client'!$B:$C,2,0)</f>
        <v>Deepak Desai</v>
      </c>
    </row>
    <row r="27" spans="3:24">
      <c r="C27" t="s">
        <v>5805</v>
      </c>
      <c r="E27" s="19" t="s">
        <v>5356</v>
      </c>
      <c r="F27" s="2" t="s">
        <v>44</v>
      </c>
      <c r="G27" s="153" t="s">
        <v>5784</v>
      </c>
      <c r="H27" s="70" t="s">
        <v>1983</v>
      </c>
      <c r="I27" s="2" t="s">
        <v>5425</v>
      </c>
      <c r="J27" s="2" t="str">
        <f>VLOOKUP(E27,'[1]HRBP Tagging'!$A:$D,4,0)</f>
        <v>Suman Singh</v>
      </c>
      <c r="K27" s="2" t="str">
        <f>VLOOKUP($E27,'[2]AM Client'!$A:$F,6,0)</f>
        <v>SOW Captive</v>
      </c>
      <c r="L27" s="2" t="s">
        <v>44</v>
      </c>
      <c r="M27" t="str">
        <f>VLOOKUP(E27,'[2]AM Client'!$B:$C,2,0)</f>
        <v>Sadhna Shukla</v>
      </c>
    </row>
    <row r="28" spans="3:24">
      <c r="C28" t="s">
        <v>5806</v>
      </c>
      <c r="E28" s="2" t="s">
        <v>5743</v>
      </c>
      <c r="F28" s="2" t="s">
        <v>44</v>
      </c>
      <c r="G28" s="153" t="s">
        <v>5784</v>
      </c>
      <c r="H28" s="70" t="s">
        <v>1983</v>
      </c>
      <c r="I28" s="2" t="s">
        <v>5425</v>
      </c>
      <c r="J28" s="2" t="str">
        <f>VLOOKUP(E28,'[1]HRBP Tagging'!$A:$D,4,0)</f>
        <v>Suman Singh</v>
      </c>
      <c r="K28" s="2" t="str">
        <f>VLOOKUP($E28,'[2]AM Client'!$A:$F,6,0)</f>
        <v>SOW Captive</v>
      </c>
      <c r="L28" s="2" t="s">
        <v>44</v>
      </c>
      <c r="M28" t="str">
        <f>VLOOKUP(E28,'[2]AM Client'!$B:$C,2,0)</f>
        <v>Sadhna Shukla</v>
      </c>
    </row>
    <row r="29" spans="3:24">
      <c r="E29" s="19" t="s">
        <v>5570</v>
      </c>
      <c r="F29" s="114" t="s">
        <v>5771</v>
      </c>
      <c r="G29" s="153"/>
      <c r="H29" s="70" t="s">
        <v>5807</v>
      </c>
      <c r="I29" s="2" t="s">
        <v>5430</v>
      </c>
      <c r="J29" s="2" t="str">
        <f>VLOOKUP(E29,'[1]HRBP Tagging'!$A:$D,4,0)</f>
        <v>Meenu Amit Kumar</v>
      </c>
      <c r="K29" s="2" t="str">
        <f>VLOOKUP($E29,'[2]AM Client'!$A:$F,6,0)</f>
        <v>Captive</v>
      </c>
      <c r="L29" s="2" t="s">
        <v>5773</v>
      </c>
      <c r="M29" t="str">
        <f>VLOOKUP(E29,'[2]AM Client'!$B:$C,2,0)</f>
        <v>Deepak Desai</v>
      </c>
    </row>
    <row r="30" spans="3:24">
      <c r="E30" s="2" t="s">
        <v>5808</v>
      </c>
      <c r="F30" s="114" t="s">
        <v>5771</v>
      </c>
      <c r="G30" s="153" t="s">
        <v>5432</v>
      </c>
      <c r="H30" s="70" t="s">
        <v>5807</v>
      </c>
      <c r="I30" s="2" t="s">
        <v>5430</v>
      </c>
      <c r="J30" s="2" t="str">
        <f>VLOOKUP(E30,'[1]HRBP Tagging'!$A:$D,4,0)</f>
        <v>sara</v>
      </c>
      <c r="K30" s="2" t="str">
        <f>VLOOKUP($E30,'[2]AM Client'!$A:$F,6,0)</f>
        <v>Services</v>
      </c>
      <c r="L30" s="2" t="s">
        <v>5773</v>
      </c>
      <c r="M30" t="str">
        <f>VLOOKUP(E30,'[2]AM Client'!$B:$C,2,0)</f>
        <v>Deepak Desai</v>
      </c>
    </row>
    <row r="31" spans="3:24">
      <c r="E31" s="2" t="s">
        <v>5809</v>
      </c>
      <c r="F31" s="114" t="s">
        <v>5771</v>
      </c>
      <c r="G31" s="153" t="s">
        <v>5432</v>
      </c>
      <c r="H31" s="70" t="s">
        <v>5807</v>
      </c>
      <c r="I31" s="2" t="s">
        <v>5430</v>
      </c>
      <c r="J31" s="2" t="str">
        <f>VLOOKUP(E31,'[1]HRBP Tagging'!$A:$D,4,0)</f>
        <v>sara</v>
      </c>
      <c r="K31" s="2" t="str">
        <f>VLOOKUP($E31,'[2]AM Client'!$A:$F,6,0)</f>
        <v>Services</v>
      </c>
      <c r="L31" s="2" t="s">
        <v>5773</v>
      </c>
      <c r="M31" t="str">
        <f>VLOOKUP(E31,'[2]AM Client'!$B:$C,2,0)</f>
        <v>Deepak Desai</v>
      </c>
    </row>
    <row r="32" spans="3:24">
      <c r="E32" s="114" t="s">
        <v>5810</v>
      </c>
      <c r="F32" s="114" t="s">
        <v>5771</v>
      </c>
      <c r="G32" s="153" t="s">
        <v>5432</v>
      </c>
      <c r="H32" s="2" t="s">
        <v>5807</v>
      </c>
      <c r="I32" s="2" t="s">
        <v>5430</v>
      </c>
      <c r="J32" s="2" t="str">
        <f>VLOOKUP(E32,'[1]HRBP Tagging'!$A:$D,4,0)</f>
        <v>sara</v>
      </c>
      <c r="K32" s="2" t="str">
        <f>VLOOKUP($E32,'[2]AM Client'!$A:$F,6,0)</f>
        <v>Services</v>
      </c>
      <c r="L32" s="2" t="s">
        <v>5773</v>
      </c>
      <c r="M32" t="str">
        <f>VLOOKUP(E32,'[2]AM Client'!$B:$C,2,0)</f>
        <v>Deepak Desai</v>
      </c>
    </row>
    <row r="33" spans="5:13">
      <c r="E33" s="2" t="s">
        <v>5811</v>
      </c>
      <c r="F33" s="114" t="s">
        <v>5771</v>
      </c>
      <c r="G33" s="153" t="s">
        <v>5432</v>
      </c>
      <c r="H33" s="23" t="s">
        <v>5424</v>
      </c>
      <c r="I33" s="2" t="s">
        <v>5430</v>
      </c>
      <c r="J33" s="2" t="str">
        <f>VLOOKUP(E33,'[1]HRBP Tagging'!$A:$D,4,0)</f>
        <v>sara</v>
      </c>
      <c r="K33" s="2" t="str">
        <f>VLOOKUP($E33,'[2]AM Client'!$A:$F,6,0)</f>
        <v>Services</v>
      </c>
      <c r="L33" s="2" t="s">
        <v>5773</v>
      </c>
      <c r="M33" t="str">
        <f>VLOOKUP(E33,'[2]AM Client'!$B:$C,2,0)</f>
        <v>Deepak Desai</v>
      </c>
    </row>
    <row r="34" spans="5:13">
      <c r="E34" s="2" t="s">
        <v>5755</v>
      </c>
      <c r="F34" s="2" t="s">
        <v>44</v>
      </c>
      <c r="G34" s="153" t="s">
        <v>5803</v>
      </c>
      <c r="H34" s="2" t="s">
        <v>1983</v>
      </c>
      <c r="I34" s="2" t="s">
        <v>5425</v>
      </c>
      <c r="J34" s="2" t="str">
        <f>VLOOKUP(E34,'[1]HRBP Tagging'!$A:$D,4,0)</f>
        <v>Shobha Mishra</v>
      </c>
      <c r="K34" s="2" t="str">
        <f>VLOOKUP($E34,'[2]AM Client'!$A:$F,6,0)</f>
        <v>Captive</v>
      </c>
      <c r="L34" s="2" t="s">
        <v>44</v>
      </c>
      <c r="M34" t="str">
        <f>VLOOKUP(E34,'[2]AM Client'!$B:$C,2,0)</f>
        <v>Sadhna Shukla</v>
      </c>
    </row>
    <row r="35" spans="5:13">
      <c r="E35" s="23" t="s">
        <v>85</v>
      </c>
      <c r="F35" s="2" t="s">
        <v>5780</v>
      </c>
      <c r="G35" s="166" t="s">
        <v>5812</v>
      </c>
      <c r="H35" s="23"/>
      <c r="I35" s="2" t="s">
        <v>5437</v>
      </c>
      <c r="J35" s="2" t="str">
        <f>VLOOKUP(E35,'[1]HRBP Tagging'!$A:$D,4,0)</f>
        <v>Sultana M</v>
      </c>
      <c r="K35" s="2" t="str">
        <f>VLOOKUP($E35,'[2]AM Client'!$A:$F,6,0)</f>
        <v>Captive</v>
      </c>
      <c r="L35" s="2" t="s">
        <v>5780</v>
      </c>
      <c r="M35" t="str">
        <f>VLOOKUP(E35,'[2]AM Client'!$B:$C,2,0)</f>
        <v>Anuradha Murthy</v>
      </c>
    </row>
    <row r="36" spans="5:13">
      <c r="E36" s="23" t="s">
        <v>5568</v>
      </c>
      <c r="F36" s="2" t="s">
        <v>5780</v>
      </c>
      <c r="G36" s="177" t="s">
        <v>5813</v>
      </c>
      <c r="H36" s="2" t="s">
        <v>5780</v>
      </c>
      <c r="I36" s="2" t="s">
        <v>5437</v>
      </c>
      <c r="J36" s="2" t="str">
        <f>VLOOKUP(E36,'[1]HRBP Tagging'!$A:$D,4,0)</f>
        <v>Meenu Amit Kumar</v>
      </c>
      <c r="K36" s="2" t="str">
        <f>VLOOKUP($E36,'[2]AM Client'!$A:$F,6,0)</f>
        <v>Captive</v>
      </c>
      <c r="L36" s="2" t="s">
        <v>5780</v>
      </c>
      <c r="M36" t="str">
        <f>VLOOKUP(E36,'[2]AM Client'!$B:$C,2,0)</f>
        <v>Anuradha Murthy</v>
      </c>
    </row>
    <row r="37" spans="5:13">
      <c r="E37" s="2" t="s">
        <v>5741</v>
      </c>
      <c r="F37" s="2" t="s">
        <v>5778</v>
      </c>
      <c r="G37" s="153" t="s">
        <v>160</v>
      </c>
      <c r="H37" s="166" t="s">
        <v>160</v>
      </c>
      <c r="I37" s="2" t="s">
        <v>5416</v>
      </c>
      <c r="J37" s="2" t="str">
        <f>VLOOKUP(E37,'[1]HRBP Tagging'!$A:$D,4,0)</f>
        <v>Sara</v>
      </c>
      <c r="K37" s="2" t="str">
        <f>VLOOKUP($E37,'[2]AM Client'!$A:$F,6,0)</f>
        <v>ITES</v>
      </c>
      <c r="L37" s="2" t="s">
        <v>27</v>
      </c>
      <c r="M37" t="str">
        <f>VLOOKUP(E37,'[2]AM Client'!$B:$C,2,0)</f>
        <v>Jawad Ulla Khan Non IT</v>
      </c>
    </row>
    <row r="38" spans="5:13">
      <c r="E38" s="2" t="s">
        <v>2341</v>
      </c>
      <c r="F38" s="2" t="s">
        <v>45</v>
      </c>
      <c r="G38" s="167" t="s">
        <v>45</v>
      </c>
      <c r="H38" s="23" t="s">
        <v>5789</v>
      </c>
      <c r="I38" s="2" t="s">
        <v>5425</v>
      </c>
      <c r="J38" s="2" t="str">
        <f>VLOOKUP(E38,'[1]HRBP Tagging'!$A:$D,4,0)</f>
        <v>Meenu Amit Kumar</v>
      </c>
      <c r="K38" s="2" t="str">
        <f>VLOOKUP($E38,'[2]AM Client'!$A:$F,6,0)</f>
        <v>Captive</v>
      </c>
      <c r="L38" s="2" t="s">
        <v>45</v>
      </c>
      <c r="M38" t="str">
        <f>VLOOKUP(E38,'[2]AM Client'!$B:$C,2,0)</f>
        <v>Mher</v>
      </c>
    </row>
    <row r="39" spans="5:13">
      <c r="E39" s="50" t="s">
        <v>5722</v>
      </c>
      <c r="F39" s="2" t="s">
        <v>5665</v>
      </c>
      <c r="G39" s="153" t="s">
        <v>5791</v>
      </c>
      <c r="H39" s="23" t="s">
        <v>5424</v>
      </c>
      <c r="I39" s="2" t="s">
        <v>5423</v>
      </c>
      <c r="J39" s="2" t="str">
        <f>VLOOKUP(E39,'[1]HRBP Tagging'!$A:$D,4,0)</f>
        <v>sara</v>
      </c>
      <c r="K39" s="2" t="str">
        <f>VLOOKUP($E39,'[2]AM Client'!$A:$F,6,0)</f>
        <v>Services</v>
      </c>
      <c r="L39" s="2" t="s">
        <v>5714</v>
      </c>
      <c r="M39" t="str">
        <f>VLOOKUP(E39,'[2]AM Client'!$B:$C,2,0)</f>
        <v>Aashis Ranjan</v>
      </c>
    </row>
    <row r="40" spans="5:13">
      <c r="E40" s="21" t="s">
        <v>1096</v>
      </c>
      <c r="F40" s="2" t="s">
        <v>5780</v>
      </c>
      <c r="G40" s="166" t="s">
        <v>5812</v>
      </c>
      <c r="H40" s="23" t="s">
        <v>683</v>
      </c>
      <c r="I40" s="2" t="s">
        <v>5437</v>
      </c>
      <c r="J40" s="2" t="str">
        <f>VLOOKUP(E40,'[1]HRBP Tagging'!$A:$D,4,0)</f>
        <v>Sultana M</v>
      </c>
      <c r="K40" s="2" t="str">
        <f>VLOOKUP($E40,'[2]AM Client'!$A:$F,6,0)</f>
        <v>Captive</v>
      </c>
      <c r="L40" s="2" t="s">
        <v>5780</v>
      </c>
      <c r="M40" t="str">
        <f>VLOOKUP(E40,'[2]AM Client'!$B:$C,2,0)</f>
        <v>Anuradha Murthy</v>
      </c>
    </row>
    <row r="41" spans="5:13">
      <c r="E41" s="21" t="s">
        <v>5517</v>
      </c>
      <c r="F41" s="2" t="s">
        <v>5780</v>
      </c>
      <c r="G41" s="166" t="s">
        <v>5812</v>
      </c>
      <c r="H41" s="23" t="s">
        <v>683</v>
      </c>
      <c r="I41" s="2" t="s">
        <v>5437</v>
      </c>
      <c r="J41" s="2" t="str">
        <f>VLOOKUP(E41,'[1]HRBP Tagging'!$A:$D,4,0)</f>
        <v>Sultana M</v>
      </c>
      <c r="K41" s="2" t="str">
        <f>VLOOKUP($E41,'[2]AM Client'!$A:$F,6,0)</f>
        <v>Captive</v>
      </c>
      <c r="L41" s="2" t="s">
        <v>5780</v>
      </c>
      <c r="M41" t="str">
        <f>VLOOKUP(E41,'[2]AM Client'!$B:$C,2,0)</f>
        <v>Anuradha Murthy</v>
      </c>
    </row>
    <row r="42" spans="5:13">
      <c r="E42" s="21" t="s">
        <v>3861</v>
      </c>
      <c r="F42" s="114" t="s">
        <v>5814</v>
      </c>
      <c r="G42" s="153" t="s">
        <v>5432</v>
      </c>
      <c r="H42" s="23"/>
      <c r="I42" s="2" t="s">
        <v>5430</v>
      </c>
      <c r="J42" s="2" t="str">
        <f>VLOOKUP(E42,'[1]HRBP Tagging'!$A:$D,4,0)</f>
        <v>Sara</v>
      </c>
      <c r="K42" s="2" t="str">
        <f>VLOOKUP($E42,'[2]AM Client'!$A:$F,6,0)</f>
        <v>ITES</v>
      </c>
      <c r="L42" s="2" t="s">
        <v>5773</v>
      </c>
      <c r="M42" t="str">
        <f>VLOOKUP(E42,'[2]AM Client'!$B:$C,2,0)</f>
        <v>Deepak Desai Non IT</v>
      </c>
    </row>
    <row r="43" spans="5:13">
      <c r="E43" s="2" t="s">
        <v>5613</v>
      </c>
      <c r="F43" s="114" t="s">
        <v>5771</v>
      </c>
      <c r="G43" s="153" t="s">
        <v>5432</v>
      </c>
      <c r="H43" s="70" t="s">
        <v>5786</v>
      </c>
      <c r="I43" s="114" t="s">
        <v>5771</v>
      </c>
      <c r="J43" s="2" t="str">
        <f>VLOOKUP(E43,'[1]HRBP Tagging'!$A:$D,4,0)</f>
        <v>Sultana M</v>
      </c>
      <c r="K43" s="2" t="str">
        <f>VLOOKUP($E43,'[2]AM Client'!$A:$F,6,0)</f>
        <v>Captive</v>
      </c>
      <c r="L43" s="2" t="s">
        <v>5773</v>
      </c>
      <c r="M43" t="str">
        <f>VLOOKUP(E43,'[2]AM Client'!$B:$C,2,0)</f>
        <v>Deepak Desai</v>
      </c>
    </row>
    <row r="44" spans="5:13">
      <c r="E44" s="2" t="s">
        <v>5815</v>
      </c>
      <c r="F44" s="2" t="s">
        <v>44</v>
      </c>
      <c r="G44" s="153" t="s">
        <v>5784</v>
      </c>
      <c r="H44" s="2" t="s">
        <v>1983</v>
      </c>
      <c r="I44" s="2" t="s">
        <v>5425</v>
      </c>
      <c r="J44" s="2" t="str">
        <f>VLOOKUP(E44,'[1]HRBP Tagging'!$A:$D,4,0)</f>
        <v>Shobha Mishra</v>
      </c>
      <c r="K44" s="2" t="str">
        <f>VLOOKUP($E44,'[2]AM Client'!$A:$F,6,0)</f>
        <v>Captive</v>
      </c>
      <c r="L44" s="2" t="s">
        <v>44</v>
      </c>
      <c r="M44" t="str">
        <f>VLOOKUP(E44,'[2]AM Client'!$B:$C,2,0)</f>
        <v>Sadhna Shukla</v>
      </c>
    </row>
    <row r="45" spans="5:13">
      <c r="E45" s="2" t="s">
        <v>5816</v>
      </c>
      <c r="F45" s="2" t="s">
        <v>5780</v>
      </c>
      <c r="G45" s="176" t="s">
        <v>5798</v>
      </c>
      <c r="H45" s="2" t="s">
        <v>5780</v>
      </c>
      <c r="I45" s="2" t="s">
        <v>5437</v>
      </c>
      <c r="J45" s="2" t="str">
        <f>VLOOKUP(E45,'[1]HRBP Tagging'!$A:$D,4,0)</f>
        <v>Sultana M</v>
      </c>
      <c r="K45" s="2" t="str">
        <f>VLOOKUP($E45,'[2]AM Client'!$A:$F,6,0)</f>
        <v>Services</v>
      </c>
      <c r="L45" s="2" t="s">
        <v>5780</v>
      </c>
      <c r="M45" t="str">
        <f>VLOOKUP(E45,'[2]AM Client'!$B:$C,2,0)</f>
        <v>Anuradha Murthy</v>
      </c>
    </row>
    <row r="46" spans="5:13">
      <c r="E46" s="2" t="s">
        <v>5708</v>
      </c>
      <c r="F46" s="2" t="s">
        <v>45</v>
      </c>
      <c r="G46" s="153" t="s">
        <v>45</v>
      </c>
      <c r="H46" s="23" t="s">
        <v>5789</v>
      </c>
      <c r="I46" s="2" t="s">
        <v>5425</v>
      </c>
      <c r="J46" s="2" t="str">
        <f>VLOOKUP(E46,'[1]HRBP Tagging'!$A:$D,4,0)</f>
        <v>Shobha Mishra</v>
      </c>
      <c r="K46" s="2" t="str">
        <f>VLOOKUP($E46,'[2]AM Client'!$A:$F,6,0)</f>
        <v>SOW Captive</v>
      </c>
      <c r="L46" s="2" t="s">
        <v>45</v>
      </c>
      <c r="M46" t="str">
        <f>VLOOKUP(E46,'[2]AM Client'!$B:$C,2,0)</f>
        <v>Mher</v>
      </c>
    </row>
    <row r="47" spans="5:13">
      <c r="E47" s="2" t="s">
        <v>5761</v>
      </c>
      <c r="F47" s="2" t="s">
        <v>44</v>
      </c>
      <c r="G47" s="153" t="s">
        <v>45</v>
      </c>
      <c r="H47" s="23" t="s">
        <v>5789</v>
      </c>
      <c r="I47" s="2" t="s">
        <v>5425</v>
      </c>
      <c r="J47" s="2" t="str">
        <f>VLOOKUP(E47,'[1]HRBP Tagging'!$A:$D,4,0)</f>
        <v>Shobha Mishra</v>
      </c>
      <c r="K47" s="2" t="str">
        <f>VLOOKUP($E47,'[2]AM Client'!$A:$F,6,0)</f>
        <v>Captive</v>
      </c>
      <c r="L47" s="2" t="s">
        <v>45</v>
      </c>
      <c r="M47" t="str">
        <f>VLOOKUP(E47,'[2]AM Client'!$B:$C,2,0)</f>
        <v>Sadhna Shukla</v>
      </c>
    </row>
    <row r="48" spans="5:13">
      <c r="E48" s="2" t="s">
        <v>5612</v>
      </c>
      <c r="F48" s="2" t="s">
        <v>5771</v>
      </c>
      <c r="G48" s="153" t="s">
        <v>25</v>
      </c>
      <c r="H48" s="23" t="s">
        <v>683</v>
      </c>
      <c r="I48" s="2" t="s">
        <v>5420</v>
      </c>
      <c r="J48" s="2" t="str">
        <f>VLOOKUP(E48,'[1]HRBP Tagging'!$A:$D,4,0)</f>
        <v>Sultana M</v>
      </c>
      <c r="K48" s="2" t="str">
        <f>VLOOKUP($E48,'[2]AM Client'!$A:$F,6,0)</f>
        <v>Captive</v>
      </c>
      <c r="L48" s="2" t="s">
        <v>5771</v>
      </c>
      <c r="M48" t="str">
        <f>VLOOKUP(E48,'[2]AM Client'!$B:$C,2,0)</f>
        <v>Deepak Desai</v>
      </c>
    </row>
    <row r="49" spans="4:13">
      <c r="E49" s="2" t="s">
        <v>5609</v>
      </c>
      <c r="F49" s="2" t="s">
        <v>44</v>
      </c>
      <c r="G49" s="153" t="s">
        <v>5784</v>
      </c>
      <c r="H49" s="70" t="s">
        <v>1983</v>
      </c>
      <c r="I49" s="2" t="s">
        <v>5425</v>
      </c>
      <c r="J49" s="2" t="str">
        <f>VLOOKUP(E49,'[1]HRBP Tagging'!$A:$D,4,0)</f>
        <v>Shobha Mishra</v>
      </c>
      <c r="K49" s="2" t="str">
        <f>VLOOKUP($E49,'[2]AM Client'!$A:$F,6,0)</f>
        <v>Captive</v>
      </c>
      <c r="L49" s="2" t="s">
        <v>44</v>
      </c>
      <c r="M49" t="str">
        <f>VLOOKUP(E49,'[2]AM Client'!$B:$C,2,0)</f>
        <v>Sadhna Shukla</v>
      </c>
    </row>
    <row r="50" spans="4:13">
      <c r="E50" s="23" t="s">
        <v>4721</v>
      </c>
      <c r="F50" s="2" t="s">
        <v>5780</v>
      </c>
      <c r="G50" s="176" t="s">
        <v>5798</v>
      </c>
      <c r="H50" s="2"/>
      <c r="I50" s="2" t="s">
        <v>5437</v>
      </c>
      <c r="J50" s="2" t="str">
        <f>VLOOKUP(E50,'[1]HRBP Tagging'!$A:$D,4,0)</f>
        <v>Sultana M</v>
      </c>
      <c r="K50" s="2" t="str">
        <f>VLOOKUP($E50,'[2]AM Client'!$A:$F,6,0)</f>
        <v>Captive</v>
      </c>
      <c r="L50" s="2" t="s">
        <v>5780</v>
      </c>
      <c r="M50" t="str">
        <f>VLOOKUP(E50,'[2]AM Client'!$B:$C,2,0)</f>
        <v>Anuradha Murthy</v>
      </c>
    </row>
    <row r="51" spans="4:13">
      <c r="D51" t="s">
        <v>5817</v>
      </c>
      <c r="E51" s="2" t="s">
        <v>4311</v>
      </c>
      <c r="F51" s="2">
        <v>0</v>
      </c>
      <c r="G51" s="153" t="s">
        <v>5818</v>
      </c>
      <c r="H51" s="70" t="s">
        <v>1983</v>
      </c>
      <c r="I51" s="2" t="s">
        <v>5425</v>
      </c>
      <c r="J51" s="2" t="str">
        <f>VLOOKUP(E51,'[1]HRBP Tagging'!$A:$D,4,0)</f>
        <v>Meenu Amit Kumar</v>
      </c>
      <c r="K51" s="2" t="str">
        <f>VLOOKUP($E51,'[2]AM Client'!$A:$F,6,0)</f>
        <v>Services</v>
      </c>
      <c r="L51" s="2" t="s">
        <v>5819</v>
      </c>
      <c r="M51" t="str">
        <f>VLOOKUP(E51,'[2]AM Client'!$B:$C,2,0)</f>
        <v>Others</v>
      </c>
    </row>
    <row r="52" spans="4:13">
      <c r="E52" s="2" t="s">
        <v>5548</v>
      </c>
      <c r="F52" s="2" t="s">
        <v>5780</v>
      </c>
      <c r="G52" s="166" t="s">
        <v>5812</v>
      </c>
      <c r="H52" s="23" t="s">
        <v>683</v>
      </c>
      <c r="I52" s="2" t="s">
        <v>5437</v>
      </c>
      <c r="J52" s="2" t="str">
        <f>VLOOKUP(E52,'[1]HRBP Tagging'!$A:$D,4,0)</f>
        <v>Sultana M</v>
      </c>
      <c r="K52" s="2" t="str">
        <f>VLOOKUP($E52,'[2]AM Client'!$A:$F,6,0)</f>
        <v>Captive</v>
      </c>
      <c r="L52" s="2" t="s">
        <v>5780</v>
      </c>
      <c r="M52" t="str">
        <f>VLOOKUP(E52,'[2]AM Client'!$B:$C,2,0)</f>
        <v>Deepak Desai</v>
      </c>
    </row>
    <row r="53" spans="4:13">
      <c r="E53" s="114" t="s">
        <v>5734</v>
      </c>
      <c r="F53" s="114" t="s">
        <v>5771</v>
      </c>
      <c r="G53" s="137" t="s">
        <v>25</v>
      </c>
      <c r="H53" s="50" t="s">
        <v>5801</v>
      </c>
      <c r="I53" s="2" t="s">
        <v>5430</v>
      </c>
      <c r="J53" s="2" t="str">
        <f>VLOOKUP(E53,'[1]HRBP Tagging'!$A:$D,4,0)</f>
        <v>sara</v>
      </c>
      <c r="K53" s="114" t="s">
        <v>5781</v>
      </c>
      <c r="L53" s="2" t="s">
        <v>5773</v>
      </c>
      <c r="M53" t="str">
        <f>VLOOKUP(E53,'[2]AM Client'!$B:$C,2,0)</f>
        <v>Deepak Desai</v>
      </c>
    </row>
    <row r="54" spans="4:13">
      <c r="E54" s="2" t="s">
        <v>5711</v>
      </c>
      <c r="F54" s="2" t="s">
        <v>5771</v>
      </c>
      <c r="G54" s="153" t="s">
        <v>5791</v>
      </c>
      <c r="H54" s="23" t="s">
        <v>5424</v>
      </c>
      <c r="I54" s="2" t="s">
        <v>5423</v>
      </c>
      <c r="J54" s="2" t="str">
        <f>VLOOKUP(E54,'[1]HRBP Tagging'!$A:$D,4,0)</f>
        <v>sara</v>
      </c>
      <c r="K54" s="2" t="str">
        <f>VLOOKUP($E54,'[2]AM Client'!$A:$F,6,0)</f>
        <v>Services</v>
      </c>
      <c r="L54" s="2" t="s">
        <v>5714</v>
      </c>
      <c r="M54" t="str">
        <f>VLOOKUP(E54,'[2]AM Client'!$B:$C,2,0)</f>
        <v>Deepak Desai</v>
      </c>
    </row>
    <row r="55" spans="4:13">
      <c r="E55" s="2" t="s">
        <v>5726</v>
      </c>
      <c r="F55" s="2" t="s">
        <v>94</v>
      </c>
      <c r="G55" s="153" t="s">
        <v>5791</v>
      </c>
      <c r="H55" s="23" t="s">
        <v>5424</v>
      </c>
      <c r="I55" s="2" t="s">
        <v>5423</v>
      </c>
      <c r="J55" s="2" t="str">
        <f>VLOOKUP(E55,'[1]HRBP Tagging'!$A:$D,4,0)</f>
        <v>Sara</v>
      </c>
      <c r="K55" s="2" t="str">
        <f>VLOOKUP($E55,'[2]AM Client'!$A:$F,6,0)</f>
        <v>Services</v>
      </c>
      <c r="L55" s="2" t="s">
        <v>5714</v>
      </c>
      <c r="M55" t="str">
        <f>VLOOKUP(E55,'[2]AM Client'!$B:$C,2,0)</f>
        <v>Prathap Sagar</v>
      </c>
    </row>
    <row r="56" spans="4:13">
      <c r="E56" s="2" t="s">
        <v>5820</v>
      </c>
      <c r="F56" s="114" t="s">
        <v>5771</v>
      </c>
      <c r="G56" s="153" t="s">
        <v>5791</v>
      </c>
      <c r="H56" s="2"/>
      <c r="I56" s="114" t="s">
        <v>5821</v>
      </c>
      <c r="J56" s="2" t="e">
        <f>VLOOKUP(E56,'[1]HRBP Tagging'!$A:$D,4,0)</f>
        <v>#N/A</v>
      </c>
      <c r="K56" s="2">
        <f>VLOOKUP($E56,'[2]AM Client'!$A:$F,6,0)</f>
        <v>0</v>
      </c>
      <c r="L56" s="114" t="s">
        <v>5773</v>
      </c>
      <c r="M56" t="str">
        <f>VLOOKUP(E56,'[2]AM Client'!$B:$C,2,0)</f>
        <v>Deepak Desai</v>
      </c>
    </row>
    <row r="57" spans="4:13">
      <c r="E57" s="2" t="s">
        <v>5822</v>
      </c>
      <c r="F57" s="114" t="s">
        <v>5771</v>
      </c>
      <c r="G57" s="153" t="s">
        <v>5791</v>
      </c>
      <c r="H57" s="2"/>
      <c r="I57" s="114" t="s">
        <v>5821</v>
      </c>
      <c r="J57" s="2" t="e">
        <f>VLOOKUP(E57,'[1]HRBP Tagging'!$A:$D,4,0)</f>
        <v>#N/A</v>
      </c>
      <c r="K57" s="2">
        <f>VLOOKUP($E57,'[2]AM Client'!$A:$F,6,0)</f>
        <v>0</v>
      </c>
      <c r="L57" s="114" t="s">
        <v>5773</v>
      </c>
      <c r="M57" t="str">
        <f>VLOOKUP(E57,'[2]AM Client'!$B:$C,2,0)</f>
        <v>Deepak Desai</v>
      </c>
    </row>
    <row r="58" spans="4:13">
      <c r="E58" s="2" t="s">
        <v>5823</v>
      </c>
      <c r="F58" s="114" t="s">
        <v>5771</v>
      </c>
      <c r="G58" s="153" t="s">
        <v>5791</v>
      </c>
      <c r="H58" s="2"/>
      <c r="I58" s="114" t="s">
        <v>5821</v>
      </c>
      <c r="J58" s="2" t="e">
        <f>VLOOKUP(E58,'[1]HRBP Tagging'!$A:$D,4,0)</f>
        <v>#N/A</v>
      </c>
      <c r="K58" s="2">
        <f>VLOOKUP($E58,'[2]AM Client'!$A:$F,6,0)</f>
        <v>0</v>
      </c>
      <c r="L58" s="114" t="s">
        <v>5773</v>
      </c>
      <c r="M58" t="str">
        <f>VLOOKUP(E58,'[2]AM Client'!$B:$C,2,0)</f>
        <v>Deepak Desai</v>
      </c>
    </row>
    <row r="59" spans="4:13">
      <c r="E59" s="2" t="s">
        <v>5824</v>
      </c>
      <c r="F59" s="114" t="s">
        <v>5771</v>
      </c>
      <c r="G59" s="153" t="s">
        <v>5791</v>
      </c>
      <c r="H59" s="2"/>
      <c r="I59" s="114" t="s">
        <v>5821</v>
      </c>
      <c r="J59" s="2" t="e">
        <f>VLOOKUP(E59,'[1]HRBP Tagging'!$A:$D,4,0)</f>
        <v>#N/A</v>
      </c>
      <c r="K59" s="2">
        <f>VLOOKUP($E59,'[2]AM Client'!$A:$F,6,0)</f>
        <v>0</v>
      </c>
      <c r="L59" s="114" t="s">
        <v>5773</v>
      </c>
      <c r="M59" t="str">
        <f>VLOOKUP(E59,'[2]AM Client'!$B:$C,2,0)</f>
        <v>Deepak Desai</v>
      </c>
    </row>
    <row r="60" spans="4:13">
      <c r="E60" s="2" t="s">
        <v>5825</v>
      </c>
      <c r="F60" s="114" t="s">
        <v>5771</v>
      </c>
      <c r="G60" s="153" t="s">
        <v>5791</v>
      </c>
      <c r="H60" s="2"/>
      <c r="I60" s="114" t="s">
        <v>5821</v>
      </c>
      <c r="J60" s="2" t="e">
        <f>VLOOKUP(E60,'[1]HRBP Tagging'!$A:$D,4,0)</f>
        <v>#N/A</v>
      </c>
      <c r="K60" s="2">
        <f>VLOOKUP($E60,'[2]AM Client'!$A:$F,6,0)</f>
        <v>0</v>
      </c>
      <c r="L60" s="114" t="s">
        <v>5773</v>
      </c>
      <c r="M60" t="str">
        <f>VLOOKUP(E60,'[2]AM Client'!$B:$C,2,0)</f>
        <v>Deepak Desai</v>
      </c>
    </row>
    <row r="61" spans="4:13">
      <c r="E61" s="2" t="s">
        <v>5826</v>
      </c>
      <c r="F61" s="114" t="s">
        <v>5771</v>
      </c>
      <c r="G61" s="153" t="s">
        <v>5791</v>
      </c>
      <c r="H61" s="2"/>
      <c r="I61" s="114" t="s">
        <v>5821</v>
      </c>
      <c r="J61" s="2" t="e">
        <f>VLOOKUP(E61,'[1]HRBP Tagging'!$A:$D,4,0)</f>
        <v>#N/A</v>
      </c>
      <c r="K61" s="2">
        <f>VLOOKUP($E61,'[2]AM Client'!$A:$F,6,0)</f>
        <v>0</v>
      </c>
      <c r="L61" s="114" t="s">
        <v>5773</v>
      </c>
      <c r="M61" t="str">
        <f>VLOOKUP(E61,'[2]AM Client'!$B:$C,2,0)</f>
        <v>Deepak Desai</v>
      </c>
    </row>
    <row r="62" spans="4:13">
      <c r="E62" s="2" t="s">
        <v>5827</v>
      </c>
      <c r="F62" s="114" t="s">
        <v>5771</v>
      </c>
      <c r="G62" s="153" t="s">
        <v>5791</v>
      </c>
      <c r="H62" s="2"/>
      <c r="I62" s="114" t="s">
        <v>5821</v>
      </c>
      <c r="J62" s="2" t="e">
        <f>VLOOKUP(E62,'[1]HRBP Tagging'!$A:$D,4,0)</f>
        <v>#N/A</v>
      </c>
      <c r="K62" s="2">
        <f>VLOOKUP($E62,'[2]AM Client'!$A:$F,6,0)</f>
        <v>0</v>
      </c>
      <c r="L62" s="114" t="s">
        <v>5773</v>
      </c>
      <c r="M62" t="str">
        <f>VLOOKUP(E62,'[2]AM Client'!$B:$C,2,0)</f>
        <v>Deepak Desai</v>
      </c>
    </row>
    <row r="63" spans="4:13">
      <c r="E63" s="2" t="s">
        <v>5828</v>
      </c>
      <c r="F63" s="114" t="s">
        <v>5771</v>
      </c>
      <c r="G63" s="153" t="s">
        <v>5791</v>
      </c>
      <c r="H63" s="2"/>
      <c r="I63" s="114" t="s">
        <v>5821</v>
      </c>
      <c r="J63" s="2" t="e">
        <f>VLOOKUP(E63,'[1]HRBP Tagging'!$A:$D,4,0)</f>
        <v>#N/A</v>
      </c>
      <c r="K63" s="2"/>
      <c r="L63" s="114"/>
      <c r="M63" t="str">
        <f>VLOOKUP(E63,'[2]AM Client'!$B:$C,2,0)</f>
        <v>Deepak Desai</v>
      </c>
    </row>
    <row r="64" spans="4:13">
      <c r="E64" s="21" t="s">
        <v>106</v>
      </c>
      <c r="F64" s="114" t="s">
        <v>5771</v>
      </c>
      <c r="G64" s="153" t="s">
        <v>5818</v>
      </c>
      <c r="H64" s="70" t="s">
        <v>5479</v>
      </c>
      <c r="I64" s="2" t="s">
        <v>5430</v>
      </c>
      <c r="J64" s="2" t="str">
        <f>VLOOKUP(E64,'[1]HRBP Tagging'!$A:$D,4,0)</f>
        <v>Sara</v>
      </c>
      <c r="K64" s="2" t="str">
        <f>VLOOKUP($E64,'[2]AM Client'!$A:$F,6,0)</f>
        <v>Services</v>
      </c>
      <c r="L64" s="2" t="s">
        <v>5773</v>
      </c>
      <c r="M64" t="str">
        <f>VLOOKUP(E64,'[2]AM Client'!$B:$C,2,0)</f>
        <v>Deepak Desai</v>
      </c>
    </row>
    <row r="65" spans="3:13">
      <c r="E65" s="2" t="s">
        <v>5700</v>
      </c>
      <c r="F65" s="114" t="s">
        <v>5771</v>
      </c>
      <c r="G65" s="153" t="s">
        <v>5818</v>
      </c>
      <c r="H65" s="70" t="s">
        <v>5479</v>
      </c>
      <c r="I65" s="2" t="s">
        <v>5430</v>
      </c>
      <c r="J65" s="2" t="str">
        <f>VLOOKUP(E65,'[1]HRBP Tagging'!$A:$D,4,0)</f>
        <v>Sara</v>
      </c>
      <c r="K65" s="2" t="str">
        <f>VLOOKUP($E65,'[2]AM Client'!$A:$F,6,0)</f>
        <v>Services</v>
      </c>
      <c r="L65" s="2" t="s">
        <v>5773</v>
      </c>
      <c r="M65" t="str">
        <f>VLOOKUP(E65,'[2]AM Client'!$B:$C,2,0)</f>
        <v>Deepak Desai</v>
      </c>
    </row>
    <row r="66" spans="3:13">
      <c r="E66" s="21" t="s">
        <v>5543</v>
      </c>
      <c r="F66" s="114" t="s">
        <v>5771</v>
      </c>
      <c r="G66" s="153" t="s">
        <v>5818</v>
      </c>
      <c r="H66" s="70" t="s">
        <v>5479</v>
      </c>
      <c r="I66" s="2" t="s">
        <v>5430</v>
      </c>
      <c r="J66" s="2" t="str">
        <f>VLOOKUP(E66,'[1]HRBP Tagging'!$A:$D,4,0)</f>
        <v>Sara</v>
      </c>
      <c r="K66" s="2" t="str">
        <f>VLOOKUP($E66,'[2]AM Client'!$A:$F,6,0)</f>
        <v>Services</v>
      </c>
      <c r="L66" s="2" t="s">
        <v>5773</v>
      </c>
      <c r="M66" t="str">
        <f>VLOOKUP(E66,'[2]AM Client'!$B:$C,2,0)</f>
        <v>Deepak Desai</v>
      </c>
    </row>
    <row r="67" spans="3:13">
      <c r="E67" s="21" t="s">
        <v>976</v>
      </c>
      <c r="F67" s="114" t="s">
        <v>5771</v>
      </c>
      <c r="G67" s="153" t="s">
        <v>5818</v>
      </c>
      <c r="H67" s="70" t="s">
        <v>5479</v>
      </c>
      <c r="I67" s="2" t="s">
        <v>5430</v>
      </c>
      <c r="J67" s="2" t="str">
        <f>VLOOKUP(E67,'[1]HRBP Tagging'!$A:$D,4,0)</f>
        <v>Sara</v>
      </c>
      <c r="K67" s="2" t="str">
        <f>VLOOKUP($E67,'[2]AM Client'!$A:$F,6,0)</f>
        <v>Services</v>
      </c>
      <c r="L67" s="2" t="s">
        <v>5773</v>
      </c>
      <c r="M67" t="str">
        <f>VLOOKUP(E67,'[2]AM Client'!$B:$C,2,0)</f>
        <v>Deepak Desai</v>
      </c>
    </row>
    <row r="68" spans="3:13">
      <c r="E68" s="175" t="s">
        <v>5738</v>
      </c>
      <c r="F68" s="2" t="s">
        <v>94</v>
      </c>
      <c r="G68" s="182"/>
      <c r="H68" s="23"/>
      <c r="I68" s="2" t="s">
        <v>5417</v>
      </c>
      <c r="J68" s="2" t="str">
        <f>VLOOKUP(E68,'[1]HRBP Tagging'!$A:$D,4,0)</f>
        <v>Sara</v>
      </c>
      <c r="K68" s="2" t="str">
        <f>VLOOKUP($E68,'[2]AM Client'!$A:$F,6,0)</f>
        <v>Services</v>
      </c>
      <c r="L68" s="2" t="s">
        <v>5418</v>
      </c>
      <c r="M68" t="str">
        <f>VLOOKUP(E68,'[2]AM Client'!$B:$C,2,0)</f>
        <v>Prathap Sagar</v>
      </c>
    </row>
    <row r="69" spans="3:13">
      <c r="E69" s="21" t="s">
        <v>5728</v>
      </c>
      <c r="F69" s="114" t="s">
        <v>5771</v>
      </c>
      <c r="G69" s="153"/>
      <c r="H69" s="23" t="s">
        <v>5422</v>
      </c>
      <c r="I69" s="2" t="s">
        <v>5430</v>
      </c>
      <c r="J69" s="2" t="str">
        <f>VLOOKUP(E69,'[1]HRBP Tagging'!$A:$D,4,0)</f>
        <v>sara</v>
      </c>
      <c r="K69" s="2" t="str">
        <f>VLOOKUP($E69,'[2]AM Client'!$A:$F,6,0)</f>
        <v>Services</v>
      </c>
      <c r="L69" s="2" t="s">
        <v>5773</v>
      </c>
      <c r="M69" t="str">
        <f>VLOOKUP(E69,'[2]AM Client'!$B:$C,2,0)</f>
        <v>Deepak Desai</v>
      </c>
    </row>
    <row r="70" spans="3:13">
      <c r="E70" s="2" t="s">
        <v>5732</v>
      </c>
      <c r="F70" s="2" t="s">
        <v>5771</v>
      </c>
      <c r="G70" s="153"/>
      <c r="H70" s="23" t="s">
        <v>5422</v>
      </c>
      <c r="I70" s="2" t="s">
        <v>5420</v>
      </c>
      <c r="J70" s="2" t="str">
        <f>VLOOKUP(E70,'[1]HRBP Tagging'!$A:$D,4,0)</f>
        <v>sara</v>
      </c>
      <c r="K70" s="2" t="str">
        <f>VLOOKUP($E70,'[2]AM Client'!$A:$F,6,0)</f>
        <v>Services</v>
      </c>
      <c r="L70" s="2" t="s">
        <v>5773</v>
      </c>
      <c r="M70" t="str">
        <f>VLOOKUP(E70,'[2]AM Client'!$B:$C,2,0)</f>
        <v>Deepak Desai</v>
      </c>
    </row>
    <row r="71" spans="3:13">
      <c r="E71" s="2" t="s">
        <v>5829</v>
      </c>
      <c r="F71" s="114" t="s">
        <v>5771</v>
      </c>
      <c r="G71" s="153"/>
      <c r="H71" s="2" t="s">
        <v>5422</v>
      </c>
      <c r="I71" s="2" t="s">
        <v>5430</v>
      </c>
      <c r="J71" s="2" t="str">
        <f>VLOOKUP(E71,'[1]HRBP Tagging'!$A:$D,4,0)</f>
        <v>sara</v>
      </c>
      <c r="K71" s="2" t="str">
        <f>VLOOKUP($E71,'[2]AM Client'!$A:$F,6,0)</f>
        <v>ITES</v>
      </c>
      <c r="L71" s="2" t="s">
        <v>5773</v>
      </c>
      <c r="M71" t="str">
        <f>VLOOKUP(E71,'[2]AM Client'!$B:$C,2,0)</f>
        <v>Deepak Desai</v>
      </c>
    </row>
    <row r="72" spans="3:13">
      <c r="E72" s="23" t="s">
        <v>1364</v>
      </c>
      <c r="F72" s="2" t="s">
        <v>5771</v>
      </c>
      <c r="G72" s="137" t="s">
        <v>160</v>
      </c>
      <c r="H72" s="166"/>
      <c r="I72" s="153" t="s">
        <v>5416</v>
      </c>
      <c r="J72" s="2" t="str">
        <f>VLOOKUP(E72,'[1]HRBP Tagging'!$A:$D,4,0)</f>
        <v>Meenu Amit Kumar</v>
      </c>
      <c r="K72" s="153" t="s">
        <v>5781</v>
      </c>
      <c r="L72" s="2" t="s">
        <v>5819</v>
      </c>
      <c r="M72" t="str">
        <f>VLOOKUP(E72,'[2]AM Client'!$B:$C,2,0)</f>
        <v>Deepak Desai</v>
      </c>
    </row>
    <row r="73" spans="3:13">
      <c r="C73" t="s">
        <v>118</v>
      </c>
      <c r="E73" s="2" t="s">
        <v>5830</v>
      </c>
      <c r="F73" s="2" t="s">
        <v>94</v>
      </c>
      <c r="G73" s="153" t="s">
        <v>232</v>
      </c>
      <c r="H73" s="2" t="s">
        <v>5492</v>
      </c>
      <c r="I73" s="2" t="s">
        <v>5417</v>
      </c>
      <c r="J73" s="2" t="str">
        <f>VLOOKUP(E73,'[1]HRBP Tagging'!$A:$D,4,0)</f>
        <v>Sara</v>
      </c>
      <c r="K73" s="2" t="str">
        <f>VLOOKUP($E73,'[2]AM Client'!$A:$F,6,0)</f>
        <v>Services</v>
      </c>
      <c r="L73" s="2" t="s">
        <v>5418</v>
      </c>
      <c r="M73" t="str">
        <f>VLOOKUP(E73,'[2]AM Client'!$B:$C,2,0)</f>
        <v>Prathap Sagar</v>
      </c>
    </row>
    <row r="74" spans="3:13">
      <c r="E74" s="2" t="s">
        <v>5831</v>
      </c>
      <c r="F74" s="2" t="s">
        <v>44</v>
      </c>
      <c r="G74" s="153" t="s">
        <v>5803</v>
      </c>
      <c r="H74" s="70" t="s">
        <v>5449</v>
      </c>
      <c r="I74" s="2" t="s">
        <v>5425</v>
      </c>
      <c r="J74" s="2">
        <f>VLOOKUP(E74,'[1]HRBP Tagging'!$A:$D,4,0)</f>
        <v>0</v>
      </c>
      <c r="K74" s="2" t="str">
        <f>VLOOKUP($E74,'[2]AM Client'!$A:$F,6,0)</f>
        <v>Captive</v>
      </c>
      <c r="L74" s="2" t="s">
        <v>44</v>
      </c>
      <c r="M74" t="str">
        <f>VLOOKUP(E74,'[2]AM Client'!$B:$C,2,0)</f>
        <v>Sadhna Shukla</v>
      </c>
    </row>
    <row r="75" spans="3:13" s="79" customFormat="1">
      <c r="C75" t="s">
        <v>5428</v>
      </c>
      <c r="D75"/>
      <c r="E75" s="23" t="s">
        <v>227</v>
      </c>
      <c r="F75" s="2" t="s">
        <v>94</v>
      </c>
      <c r="G75" s="154" t="s">
        <v>232</v>
      </c>
      <c r="H75" s="70" t="s">
        <v>5832</v>
      </c>
      <c r="I75" s="2" t="s">
        <v>5417</v>
      </c>
      <c r="J75" s="2" t="str">
        <f>VLOOKUP(E75,'[1]HRBP Tagging'!$A:$D,4,0)</f>
        <v>Sara</v>
      </c>
      <c r="K75" s="2" t="str">
        <f>VLOOKUP($E75,'[2]AM Client'!$A:$F,6,0)</f>
        <v>Services</v>
      </c>
      <c r="L75" s="2" t="s">
        <v>5418</v>
      </c>
      <c r="M75" t="str">
        <f>VLOOKUP(E75,'[2]AM Client'!$B:$C,2,0)</f>
        <v>Prathap Sagar</v>
      </c>
    </row>
    <row r="76" spans="3:13">
      <c r="E76" s="2" t="s">
        <v>5555</v>
      </c>
      <c r="F76" s="2" t="s">
        <v>5780</v>
      </c>
      <c r="G76" s="153" t="s">
        <v>392</v>
      </c>
      <c r="H76" s="2" t="s">
        <v>5788</v>
      </c>
      <c r="I76" s="2" t="s">
        <v>5437</v>
      </c>
      <c r="J76" s="2" t="str">
        <f>VLOOKUP(E76,'[1]HRBP Tagging'!$A:$D,4,0)</f>
        <v>Meenu Amit Kumar</v>
      </c>
      <c r="K76" s="2" t="str">
        <f>VLOOKUP($E76,'[2]AM Client'!$A:$F,6,0)</f>
        <v>Captive</v>
      </c>
      <c r="L76" s="2" t="s">
        <v>5780</v>
      </c>
      <c r="M76" t="str">
        <f>VLOOKUP(E76,'[2]AM Client'!$B:$C,2,0)</f>
        <v>Anuradha Murthy</v>
      </c>
    </row>
    <row r="77" spans="3:13">
      <c r="C77" t="s">
        <v>1030</v>
      </c>
      <c r="E77" s="2" t="s">
        <v>5549</v>
      </c>
      <c r="F77" s="2" t="s">
        <v>94</v>
      </c>
      <c r="G77" s="154" t="s">
        <v>232</v>
      </c>
      <c r="H77" s="70" t="s">
        <v>5832</v>
      </c>
      <c r="I77" s="2" t="s">
        <v>5417</v>
      </c>
      <c r="J77" s="2" t="str">
        <f>VLOOKUP(E77,'[1]HRBP Tagging'!$A:$D,4,0)</f>
        <v>Sara</v>
      </c>
      <c r="K77" s="2" t="str">
        <f>VLOOKUP($E77,'[2]AM Client'!$A:$F,6,0)</f>
        <v>Services</v>
      </c>
      <c r="L77" s="2" t="s">
        <v>5418</v>
      </c>
      <c r="M77" t="str">
        <f>VLOOKUP(E77,'[2]AM Client'!$B:$C,2,0)</f>
        <v>Prathap Sagar</v>
      </c>
    </row>
    <row r="78" spans="3:13">
      <c r="E78" s="2" t="s">
        <v>5833</v>
      </c>
      <c r="F78" s="2" t="s">
        <v>5780</v>
      </c>
      <c r="G78" s="153" t="s">
        <v>392</v>
      </c>
      <c r="H78" s="23" t="s">
        <v>5449</v>
      </c>
      <c r="I78" s="2" t="s">
        <v>5437</v>
      </c>
      <c r="J78" s="2" t="str">
        <f>VLOOKUP(E78,'[1]HRBP Tagging'!$A:$D,4,0)</f>
        <v>Sultana M</v>
      </c>
      <c r="K78" s="2" t="s">
        <v>5834</v>
      </c>
      <c r="L78" s="2" t="s">
        <v>5780</v>
      </c>
      <c r="M78" t="str">
        <f>VLOOKUP(E78,'[2]AM Client'!$B:$C,2,0)</f>
        <v>Anuradha Murthy</v>
      </c>
    </row>
    <row r="79" spans="3:13">
      <c r="C79" s="97"/>
      <c r="E79" s="2" t="s">
        <v>5835</v>
      </c>
      <c r="F79" s="2" t="s">
        <v>94</v>
      </c>
      <c r="G79" s="181" t="s">
        <v>232</v>
      </c>
      <c r="H79" s="2"/>
      <c r="I79" s="2"/>
      <c r="J79" s="2"/>
      <c r="K79" s="2"/>
      <c r="L79" s="2"/>
      <c r="M79" t="s">
        <v>5771</v>
      </c>
    </row>
    <row r="80" spans="3:13">
      <c r="E80" s="174" t="s">
        <v>2727</v>
      </c>
      <c r="F80" s="175" t="s">
        <v>5665</v>
      </c>
      <c r="G80" s="153"/>
      <c r="H80" s="165"/>
      <c r="I80" s="2" t="s">
        <v>5430</v>
      </c>
      <c r="J80" s="2" t="str">
        <f>VLOOKUP(E80,'[1]HRBP Tagging'!$A:$D,4,0)</f>
        <v>Sultana M</v>
      </c>
      <c r="K80" s="2" t="str">
        <f>VLOOKUP($E80,'[2]AM Client'!$A:$F,6,0)</f>
        <v>Services</v>
      </c>
      <c r="L80" s="2" t="s">
        <v>5773</v>
      </c>
      <c r="M80" t="str">
        <f>VLOOKUP(E80,'[2]AM Client'!$B:$C,2,0)</f>
        <v>None</v>
      </c>
    </row>
    <row r="81" spans="3:13">
      <c r="E81" s="21" t="s">
        <v>5836</v>
      </c>
      <c r="F81" s="114" t="s">
        <v>5771</v>
      </c>
      <c r="G81" s="167" t="s">
        <v>5433</v>
      </c>
      <c r="H81" s="23" t="s">
        <v>5473</v>
      </c>
      <c r="I81" s="2" t="s">
        <v>5430</v>
      </c>
      <c r="J81" s="2" t="str">
        <f>VLOOKUP(E81,'[1]HRBP Tagging'!$A:$D,4,0)</f>
        <v>sara</v>
      </c>
      <c r="K81" s="2" t="str">
        <f>VLOOKUP($E81,'[2]AM Client'!$A:$F,6,0)</f>
        <v>SOW Captive</v>
      </c>
      <c r="L81" s="2" t="s">
        <v>5773</v>
      </c>
      <c r="M81" t="str">
        <f>VLOOKUP(E81,'[2]AM Client'!$B:$C,2,0)</f>
        <v>Deepak Desai</v>
      </c>
    </row>
    <row r="82" spans="3:13">
      <c r="E82" s="21" t="s">
        <v>5511</v>
      </c>
      <c r="F82" s="114" t="s">
        <v>5771</v>
      </c>
      <c r="G82" s="153" t="s">
        <v>5433</v>
      </c>
      <c r="H82" s="23" t="s">
        <v>5473</v>
      </c>
      <c r="I82" s="2" t="s">
        <v>5430</v>
      </c>
      <c r="J82" s="2" t="str">
        <f>VLOOKUP(E82,'[1]HRBP Tagging'!$A:$D,4,0)</f>
        <v>sara</v>
      </c>
      <c r="K82" s="2" t="str">
        <f>VLOOKUP($E82,'[2]AM Client'!$A:$F,6,0)</f>
        <v>SOW Captive</v>
      </c>
      <c r="L82" s="2" t="s">
        <v>5773</v>
      </c>
      <c r="M82" t="str">
        <f>VLOOKUP(E82,'[2]AM Client'!$B:$C,2,0)</f>
        <v>Deepak Desai</v>
      </c>
    </row>
    <row r="83" spans="3:13">
      <c r="E83" s="19" t="s">
        <v>5837</v>
      </c>
      <c r="F83" s="2" t="s">
        <v>5780</v>
      </c>
      <c r="G83" s="176" t="s">
        <v>5798</v>
      </c>
      <c r="H83" s="2" t="s">
        <v>5780</v>
      </c>
      <c r="I83" s="2" t="s">
        <v>5437</v>
      </c>
      <c r="J83" s="2" t="str">
        <f>VLOOKUP(E83,'[1]HRBP Tagging'!$A:$D,4,0)</f>
        <v>Sultana M</v>
      </c>
      <c r="K83" s="2" t="str">
        <f>VLOOKUP($E83,'[2]AM Client'!$A:$F,6,0)</f>
        <v>Services</v>
      </c>
      <c r="L83" s="2" t="s">
        <v>5780</v>
      </c>
      <c r="M83" t="str">
        <f>VLOOKUP(E83,'[2]AM Client'!$B:$C,2,0)</f>
        <v>Anuradha Murthy</v>
      </c>
    </row>
    <row r="84" spans="3:13">
      <c r="E84" s="2" t="s">
        <v>360</v>
      </c>
      <c r="F84" s="2" t="s">
        <v>45</v>
      </c>
      <c r="G84" s="153" t="s">
        <v>5838</v>
      </c>
      <c r="H84" s="23" t="s">
        <v>5789</v>
      </c>
      <c r="I84" s="2" t="s">
        <v>5425</v>
      </c>
      <c r="J84" s="2" t="str">
        <f>VLOOKUP(E84,'[1]HRBP Tagging'!$A:$D,4,0)</f>
        <v>Ashik</v>
      </c>
      <c r="K84" s="2" t="str">
        <f>VLOOKUP($E84,'[2]AM Client'!$A:$F,6,0)</f>
        <v>ITES</v>
      </c>
      <c r="L84" s="2" t="s">
        <v>45</v>
      </c>
      <c r="M84" t="str">
        <f>VLOOKUP(E84,'[2]AM Client'!$B:$C,2,0)</f>
        <v>Mher Non IT</v>
      </c>
    </row>
    <row r="85" spans="3:13">
      <c r="E85" s="2" t="s">
        <v>5839</v>
      </c>
      <c r="F85" s="2" t="s">
        <v>45</v>
      </c>
      <c r="G85" s="153" t="s">
        <v>5838</v>
      </c>
      <c r="H85" s="2" t="s">
        <v>5789</v>
      </c>
      <c r="I85" s="2" t="s">
        <v>5425</v>
      </c>
      <c r="J85" s="2" t="str">
        <f>VLOOKUP(E85,'[1]HRBP Tagging'!$A:$D,4,0)</f>
        <v>Ashik</v>
      </c>
      <c r="K85" s="2" t="str">
        <f>VLOOKUP($E85,'[2]AM Client'!$A:$F,6,0)</f>
        <v>Captive</v>
      </c>
      <c r="L85" s="2" t="s">
        <v>45</v>
      </c>
      <c r="M85" t="str">
        <f>VLOOKUP(E85,'[2]AM Client'!$B:$C,2,0)</f>
        <v>Mher</v>
      </c>
    </row>
    <row r="86" spans="3:13">
      <c r="E86" s="21" t="s">
        <v>744</v>
      </c>
      <c r="F86" s="114" t="s">
        <v>5771</v>
      </c>
      <c r="G86" s="153" t="s">
        <v>5433</v>
      </c>
      <c r="H86" s="23" t="s">
        <v>5473</v>
      </c>
      <c r="I86" s="2" t="s">
        <v>5430</v>
      </c>
      <c r="J86" s="2" t="str">
        <f>VLOOKUP(E86,'[1]HRBP Tagging'!$A:$D,4,0)</f>
        <v>Ravipalli Naresh Kumar</v>
      </c>
      <c r="K86" s="2" t="str">
        <f>VLOOKUP($E86,'[2]AM Client'!$A:$F,6,0)</f>
        <v>SOW Captive</v>
      </c>
      <c r="L86" s="2" t="s">
        <v>5773</v>
      </c>
      <c r="M86" t="str">
        <f>VLOOKUP(E86,'[2]AM Client'!$B:$C,2,0)</f>
        <v>Deepak Desai</v>
      </c>
    </row>
    <row r="87" spans="3:13">
      <c r="E87" s="21" t="s">
        <v>4081</v>
      </c>
      <c r="F87" s="114" t="s">
        <v>5771</v>
      </c>
      <c r="G87" s="153" t="s">
        <v>5433</v>
      </c>
      <c r="H87" s="23" t="s">
        <v>5473</v>
      </c>
      <c r="I87" s="2" t="s">
        <v>5430</v>
      </c>
      <c r="J87" s="2" t="str">
        <f>VLOOKUP(E87,'[1]HRBP Tagging'!$A:$D,4,0)</f>
        <v>sara</v>
      </c>
      <c r="K87" s="2" t="str">
        <f>VLOOKUP($E87,'[2]AM Client'!$A:$F,6,0)</f>
        <v>SOW Captive</v>
      </c>
      <c r="L87" s="2" t="s">
        <v>5773</v>
      </c>
      <c r="M87" t="str">
        <f>VLOOKUP(E87,'[2]AM Client'!$B:$C,2,0)</f>
        <v>Deepak Desai</v>
      </c>
    </row>
    <row r="88" spans="3:13">
      <c r="C88" s="5"/>
      <c r="E88" s="2" t="s">
        <v>5840</v>
      </c>
      <c r="F88" s="2" t="s">
        <v>44</v>
      </c>
      <c r="G88" s="153" t="s">
        <v>5429</v>
      </c>
      <c r="H88" s="2" t="s">
        <v>118</v>
      </c>
      <c r="I88" s="2" t="s">
        <v>5425</v>
      </c>
      <c r="J88" s="2" t="str">
        <f>VLOOKUP(E88,'[1]HRBP Tagging'!$A:$D,4,0)</f>
        <v>Shobha Mishra</v>
      </c>
      <c r="K88" s="2" t="str">
        <f>VLOOKUP($E88,'[2]AM Client'!$A:$F,6,0)</f>
        <v>Captive</v>
      </c>
      <c r="L88" s="2" t="s">
        <v>44</v>
      </c>
      <c r="M88" t="str">
        <f>VLOOKUP(E88,'[2]AM Client'!$B:$C,2,0)</f>
        <v>Sadhna Shukla</v>
      </c>
    </row>
    <row r="89" spans="3:13">
      <c r="E89" s="2" t="s">
        <v>189</v>
      </c>
      <c r="F89" s="2" t="s">
        <v>45</v>
      </c>
      <c r="G89" s="153" t="s">
        <v>45</v>
      </c>
      <c r="H89" s="23" t="s">
        <v>5789</v>
      </c>
      <c r="I89" s="2" t="s">
        <v>5425</v>
      </c>
      <c r="J89" s="2" t="str">
        <f>VLOOKUP(E89,'[1]HRBP Tagging'!$A:$D,4,0)</f>
        <v>Meenu Amit Kumar</v>
      </c>
      <c r="K89" s="2" t="str">
        <f>VLOOKUP($E89,'[2]AM Client'!$A:$F,6,0)</f>
        <v>SOW Captive</v>
      </c>
      <c r="L89" s="2" t="s">
        <v>45</v>
      </c>
      <c r="M89" t="str">
        <f>VLOOKUP(E89,'[2]AM Client'!$B:$C,2,0)</f>
        <v>Mher</v>
      </c>
    </row>
    <row r="90" spans="3:13">
      <c r="E90" s="21" t="s">
        <v>5591</v>
      </c>
      <c r="F90" s="114" t="s">
        <v>5771</v>
      </c>
      <c r="G90" s="167" t="s">
        <v>5433</v>
      </c>
      <c r="H90" s="23" t="s">
        <v>5473</v>
      </c>
      <c r="I90" s="2" t="s">
        <v>5430</v>
      </c>
      <c r="J90" s="2" t="str">
        <f>VLOOKUP(E90,'[1]HRBP Tagging'!$A:$D,4,0)</f>
        <v>sara</v>
      </c>
      <c r="K90" s="2" t="str">
        <f>VLOOKUP($E90,'[2]AM Client'!$A:$F,6,0)</f>
        <v>SOW Captive</v>
      </c>
      <c r="L90" s="2" t="s">
        <v>5773</v>
      </c>
      <c r="M90" t="str">
        <f>VLOOKUP(E90,'[2]AM Client'!$B:$C,2,0)</f>
        <v>Deepak Desai</v>
      </c>
    </row>
    <row r="91" spans="3:13">
      <c r="E91" s="2" t="s">
        <v>322</v>
      </c>
      <c r="F91" s="2" t="s">
        <v>45</v>
      </c>
      <c r="G91" s="153" t="s">
        <v>45</v>
      </c>
      <c r="H91" s="23" t="s">
        <v>5789</v>
      </c>
      <c r="I91" s="2" t="s">
        <v>5425</v>
      </c>
      <c r="J91" s="2" t="str">
        <f>VLOOKUP(E91,'[1]HRBP Tagging'!$A:$D,4,0)</f>
        <v>Shobha Mishra</v>
      </c>
      <c r="K91" s="2" t="str">
        <f>VLOOKUP($E91,'[2]AM Client'!$A:$F,6,0)</f>
        <v>Captive</v>
      </c>
      <c r="L91" s="2" t="s">
        <v>45</v>
      </c>
      <c r="M91" t="str">
        <f>VLOOKUP(E91,'[2]AM Client'!$B:$C,2,0)</f>
        <v>Mher</v>
      </c>
    </row>
    <row r="92" spans="3:13">
      <c r="E92" s="2" t="s">
        <v>5750</v>
      </c>
      <c r="F92" s="114" t="s">
        <v>5771</v>
      </c>
      <c r="G92" s="153" t="s">
        <v>5433</v>
      </c>
      <c r="H92" s="23" t="s">
        <v>5473</v>
      </c>
      <c r="I92" s="2" t="s">
        <v>5430</v>
      </c>
      <c r="J92" s="2" t="str">
        <f>VLOOKUP(E92,'[1]HRBP Tagging'!$A:$D,4,0)</f>
        <v>sara</v>
      </c>
      <c r="K92" s="2" t="str">
        <f>VLOOKUP($E92,'[2]AM Client'!$A:$F,6,0)</f>
        <v>SOW Captive</v>
      </c>
      <c r="L92" s="2" t="s">
        <v>5773</v>
      </c>
      <c r="M92" t="str">
        <f>VLOOKUP(E92,'[2]AM Client'!$B:$C,2,0)</f>
        <v>Deepak Desai</v>
      </c>
    </row>
    <row r="93" spans="3:13">
      <c r="E93" s="21" t="s">
        <v>859</v>
      </c>
      <c r="F93" s="114" t="s">
        <v>45</v>
      </c>
      <c r="G93" s="153" t="s">
        <v>5433</v>
      </c>
      <c r="H93" s="23" t="s">
        <v>5473</v>
      </c>
      <c r="I93" s="2" t="s">
        <v>5430</v>
      </c>
      <c r="J93" s="2" t="str">
        <f>VLOOKUP(E93,'[1]HRBP Tagging'!$A:$D,4,0)</f>
        <v>Ravipalli Naresh Kumar</v>
      </c>
      <c r="K93" s="2" t="str">
        <f>VLOOKUP($E93,'[2]AM Client'!$A:$F,6,0)</f>
        <v>SOW Captive</v>
      </c>
      <c r="L93" s="2" t="s">
        <v>5773</v>
      </c>
      <c r="M93" t="str">
        <f>VLOOKUP(E93,'[2]AM Client'!$B:$C,2,0)</f>
        <v>Mher</v>
      </c>
    </row>
    <row r="94" spans="3:13">
      <c r="E94" s="2" t="s">
        <v>5680</v>
      </c>
      <c r="F94" s="2" t="s">
        <v>5780</v>
      </c>
      <c r="G94" s="177" t="s">
        <v>5813</v>
      </c>
      <c r="H94" s="2" t="s">
        <v>5780</v>
      </c>
      <c r="I94" s="2" t="s">
        <v>5437</v>
      </c>
      <c r="J94" s="2" t="str">
        <f>VLOOKUP(E94,'[1]HRBP Tagging'!$A:$D,4,0)</f>
        <v>Sultana M</v>
      </c>
      <c r="K94" s="2" t="str">
        <f>VLOOKUP($E94,'[2]AM Client'!$A:$F,6,0)</f>
        <v>Services</v>
      </c>
      <c r="L94" s="2" t="s">
        <v>5780</v>
      </c>
      <c r="M94" t="str">
        <f>VLOOKUP(E94,'[2]AM Client'!$B:$C,2,0)</f>
        <v>Anuradha Murthy</v>
      </c>
    </row>
    <row r="95" spans="3:13">
      <c r="E95" s="2" t="s">
        <v>5651</v>
      </c>
      <c r="F95" s="2" t="s">
        <v>5665</v>
      </c>
      <c r="G95" s="153" t="s">
        <v>5791</v>
      </c>
      <c r="H95" s="23" t="s">
        <v>5424</v>
      </c>
      <c r="I95" s="2" t="s">
        <v>5423</v>
      </c>
      <c r="J95" s="2" t="str">
        <f>VLOOKUP(E95,'[1]HRBP Tagging'!$A:$D,4,0)</f>
        <v>Not Assigned</v>
      </c>
      <c r="K95" s="2" t="str">
        <f>VLOOKUP($E95,'[2]AM Client'!$A:$F,6,0)</f>
        <v>Services</v>
      </c>
      <c r="L95" s="2" t="s">
        <v>5714</v>
      </c>
      <c r="M95" t="str">
        <f>VLOOKUP(E95,'[2]AM Client'!$B:$C,2,0)</f>
        <v>Ashok shastry</v>
      </c>
    </row>
    <row r="96" spans="3:13">
      <c r="E96" s="21" t="s">
        <v>5589</v>
      </c>
      <c r="F96" s="114" t="s">
        <v>5771</v>
      </c>
      <c r="G96" s="153" t="s">
        <v>5433</v>
      </c>
      <c r="H96" s="23" t="s">
        <v>5473</v>
      </c>
      <c r="I96" s="2" t="s">
        <v>5430</v>
      </c>
      <c r="J96" s="2" t="str">
        <f>VLOOKUP(E96,'[1]HRBP Tagging'!$A:$D,4,0)</f>
        <v>Ravipalli Naresh Kumar</v>
      </c>
      <c r="K96" s="2" t="str">
        <f>VLOOKUP($E96,'[2]AM Client'!$A:$F,6,0)</f>
        <v>SOW Captive</v>
      </c>
      <c r="L96" s="167" t="s">
        <v>5773</v>
      </c>
      <c r="M96" t="str">
        <f>VLOOKUP(E96,'[2]AM Client'!$B:$C,2,0)</f>
        <v>Deepak Desai</v>
      </c>
    </row>
    <row r="97" spans="3:13">
      <c r="E97" s="2" t="s">
        <v>5841</v>
      </c>
      <c r="F97" s="114" t="s">
        <v>5771</v>
      </c>
      <c r="G97" s="153" t="s">
        <v>5433</v>
      </c>
      <c r="H97" s="23" t="s">
        <v>5473</v>
      </c>
      <c r="I97" s="2" t="s">
        <v>5430</v>
      </c>
      <c r="J97" s="2" t="str">
        <f>VLOOKUP(E97,'[1]HRBP Tagging'!$A:$D,4,0)</f>
        <v>sara</v>
      </c>
      <c r="K97" s="2" t="str">
        <f>VLOOKUP($E97,'[2]AM Client'!$A:$F,6,0)</f>
        <v>SOW Captive</v>
      </c>
      <c r="L97" s="167" t="s">
        <v>5773</v>
      </c>
      <c r="M97" t="str">
        <f>VLOOKUP(E97,'[2]AM Client'!$B:$C,2,0)</f>
        <v>Deepak Desai</v>
      </c>
    </row>
    <row r="98" spans="3:13">
      <c r="E98" s="21" t="s">
        <v>5842</v>
      </c>
      <c r="F98" s="114" t="s">
        <v>5771</v>
      </c>
      <c r="G98" s="153" t="s">
        <v>5433</v>
      </c>
      <c r="H98" s="23" t="s">
        <v>5473</v>
      </c>
      <c r="I98" s="2" t="s">
        <v>5430</v>
      </c>
      <c r="J98" s="2" t="str">
        <f>VLOOKUP(E98,'[1]HRBP Tagging'!$A:$D,4,0)</f>
        <v>sara</v>
      </c>
      <c r="K98" s="2" t="str">
        <f>VLOOKUP($E98,'[2]AM Client'!$A:$F,6,0)</f>
        <v>SOW Captive</v>
      </c>
      <c r="L98" s="167" t="s">
        <v>5773</v>
      </c>
      <c r="M98" t="str">
        <f>VLOOKUP(E98,'[2]AM Client'!$B:$C,2,0)</f>
        <v>Deepak Desai</v>
      </c>
    </row>
    <row r="99" spans="3:13">
      <c r="E99" s="21" t="s">
        <v>4169</v>
      </c>
      <c r="F99" s="114" t="s">
        <v>5771</v>
      </c>
      <c r="G99" s="153" t="s">
        <v>5433</v>
      </c>
      <c r="H99" s="23" t="s">
        <v>5473</v>
      </c>
      <c r="I99" s="2" t="s">
        <v>5430</v>
      </c>
      <c r="J99" s="2" t="str">
        <f>VLOOKUP(E99,'[1]HRBP Tagging'!$A:$D,4,0)</f>
        <v>Ravipalli Naresh Kumar</v>
      </c>
      <c r="K99" s="2" t="str">
        <f>VLOOKUP($E99,'[2]AM Client'!$A:$F,6,0)</f>
        <v>SOW Captive</v>
      </c>
      <c r="L99" s="167" t="s">
        <v>5773</v>
      </c>
      <c r="M99" t="str">
        <f>VLOOKUP(E99,'[2]AM Client'!$B:$C,2,0)</f>
        <v>Deepak Desai</v>
      </c>
    </row>
    <row r="100" spans="3:13">
      <c r="E100" s="2" t="s">
        <v>1740</v>
      </c>
      <c r="F100" s="2" t="s">
        <v>45</v>
      </c>
      <c r="G100" s="181" t="s">
        <v>45</v>
      </c>
      <c r="H100" s="23" t="s">
        <v>5789</v>
      </c>
      <c r="I100" s="2" t="s">
        <v>5425</v>
      </c>
      <c r="J100" s="2" t="str">
        <f>VLOOKUP(E100,'[1]HRBP Tagging'!$A:$D,4,0)</f>
        <v>Shobha Mishra</v>
      </c>
      <c r="K100" s="2" t="str">
        <f>VLOOKUP($E100,'[2]AM Client'!$A:$F,6,0)</f>
        <v>Captive</v>
      </c>
      <c r="L100" s="2" t="s">
        <v>45</v>
      </c>
      <c r="M100" t="str">
        <f>VLOOKUP(E100,'[2]AM Client'!$B:$C,2,0)</f>
        <v>Mher</v>
      </c>
    </row>
    <row r="101" spans="3:13">
      <c r="E101" s="23" t="s">
        <v>70</v>
      </c>
      <c r="F101" s="2" t="s">
        <v>5778</v>
      </c>
      <c r="G101" s="153" t="s">
        <v>36</v>
      </c>
      <c r="H101" s="166" t="s">
        <v>36</v>
      </c>
      <c r="I101" s="2" t="s">
        <v>5416</v>
      </c>
      <c r="J101" s="2" t="str">
        <f>VLOOKUP(E101,'[1]HRBP Tagging'!$A:$D,4,0)</f>
        <v>Lavanya</v>
      </c>
      <c r="K101" s="2" t="str">
        <f>VLOOKUP($E101,'[2]AM Client'!$A:$F,6,0)</f>
        <v>ITES</v>
      </c>
      <c r="L101" s="2" t="s">
        <v>27</v>
      </c>
      <c r="M101" t="str">
        <f>VLOOKUP(E101,'[2]AM Client'!$B:$C,2,0)</f>
        <v>Jawad Ulla Khan Non IT</v>
      </c>
    </row>
    <row r="102" spans="3:13">
      <c r="E102" s="23" t="s">
        <v>5593</v>
      </c>
      <c r="F102" s="2" t="s">
        <v>5778</v>
      </c>
      <c r="G102" s="153" t="s">
        <v>36</v>
      </c>
      <c r="H102" s="166" t="s">
        <v>36</v>
      </c>
      <c r="I102" s="2" t="s">
        <v>5416</v>
      </c>
      <c r="J102" s="2" t="str">
        <f>VLOOKUP(E102,'[1]HRBP Tagging'!$A:$D,4,0)</f>
        <v>Lavanya</v>
      </c>
      <c r="K102" s="2" t="str">
        <f>VLOOKUP($E102,'[2]AM Client'!$A:$F,6,0)</f>
        <v>ITES</v>
      </c>
      <c r="L102" s="2" t="s">
        <v>27</v>
      </c>
      <c r="M102" t="str">
        <f>VLOOKUP(E102,'[2]AM Client'!$B:$C,2,0)</f>
        <v>Jawad Ulla Khan Non IT</v>
      </c>
    </row>
    <row r="103" spans="3:13">
      <c r="E103" s="23" t="s">
        <v>5595</v>
      </c>
      <c r="F103" s="2" t="s">
        <v>5778</v>
      </c>
      <c r="G103" s="153" t="s">
        <v>36</v>
      </c>
      <c r="H103" s="166" t="s">
        <v>36</v>
      </c>
      <c r="I103" s="2" t="s">
        <v>5416</v>
      </c>
      <c r="J103" s="2" t="str">
        <f>VLOOKUP(E103,'[1]HRBP Tagging'!$A:$D,4,0)</f>
        <v>Lavanya</v>
      </c>
      <c r="K103" s="2" t="str">
        <f>VLOOKUP($E103,'[2]AM Client'!$A:$F,6,0)</f>
        <v>ITES</v>
      </c>
      <c r="L103" s="2" t="s">
        <v>27</v>
      </c>
      <c r="M103" t="str">
        <f>VLOOKUP(E103,'[2]AM Client'!$B:$C,2,0)</f>
        <v>Jawad Ulla Khan Non IT</v>
      </c>
    </row>
    <row r="104" spans="3:13">
      <c r="E104" s="23" t="s">
        <v>5763</v>
      </c>
      <c r="F104" s="2" t="s">
        <v>5778</v>
      </c>
      <c r="G104" s="153" t="s">
        <v>36</v>
      </c>
      <c r="H104" s="166" t="s">
        <v>36</v>
      </c>
      <c r="I104" s="2" t="s">
        <v>5416</v>
      </c>
      <c r="J104" s="2" t="str">
        <f>VLOOKUP(E104,'[1]HRBP Tagging'!$A:$D,4,0)</f>
        <v>Lavanya</v>
      </c>
      <c r="K104" s="2" t="str">
        <f>VLOOKUP($E104,'[2]AM Client'!$A:$F,6,0)</f>
        <v>ITES</v>
      </c>
      <c r="L104" s="2" t="s">
        <v>27</v>
      </c>
      <c r="M104" t="str">
        <f>VLOOKUP(E104,'[2]AM Client'!$B:$C,2,0)</f>
        <v>Jawad Ulla Khan Non IT</v>
      </c>
    </row>
    <row r="105" spans="3:13">
      <c r="E105" s="184" t="s">
        <v>5843</v>
      </c>
      <c r="F105" s="114" t="s">
        <v>5771</v>
      </c>
      <c r="G105" s="167" t="s">
        <v>5433</v>
      </c>
      <c r="H105" s="23" t="s">
        <v>118</v>
      </c>
      <c r="I105" s="2" t="s">
        <v>5430</v>
      </c>
      <c r="J105" s="2" t="str">
        <f>VLOOKUP(E105,'[1]HRBP Tagging'!$A:$D,4,0)</f>
        <v>sara</v>
      </c>
      <c r="K105" s="2" t="str">
        <f>VLOOKUP($E105,'[2]AM Client'!$A:$F,6,0)</f>
        <v>Captive</v>
      </c>
      <c r="L105" s="2" t="s">
        <v>5771</v>
      </c>
      <c r="M105" t="str">
        <f>VLOOKUP(E105,'[2]AM Client'!$B:$C,2,0)</f>
        <v>Deepak Desai</v>
      </c>
    </row>
    <row r="106" spans="3:13">
      <c r="E106" s="2" t="s">
        <v>5753</v>
      </c>
      <c r="F106" s="2" t="s">
        <v>44</v>
      </c>
      <c r="G106" s="153" t="s">
        <v>5803</v>
      </c>
      <c r="H106" s="23"/>
      <c r="I106" s="2" t="s">
        <v>5425</v>
      </c>
      <c r="J106" s="2" t="str">
        <f>VLOOKUP(E106,'[1]HRBP Tagging'!$A:$D,4,0)</f>
        <v>Shobha Mishra</v>
      </c>
      <c r="K106" s="2" t="str">
        <f>VLOOKUP($E106,'[2]AM Client'!$A:$F,6,0)</f>
        <v>Captive</v>
      </c>
      <c r="L106" s="2" t="s">
        <v>44</v>
      </c>
      <c r="M106" t="str">
        <f>VLOOKUP(E106,'[2]AM Client'!$B:$C,2,0)</f>
        <v>Sadhna Shukla</v>
      </c>
    </row>
    <row r="107" spans="3:13">
      <c r="C107" t="s">
        <v>36</v>
      </c>
      <c r="E107" s="23" t="s">
        <v>3844</v>
      </c>
      <c r="F107" s="2" t="s">
        <v>5771</v>
      </c>
      <c r="G107" s="153" t="s">
        <v>33</v>
      </c>
      <c r="H107" s="23"/>
      <c r="I107" s="2" t="s">
        <v>5417</v>
      </c>
      <c r="J107" s="2" t="str">
        <f>VLOOKUP(E107,'[1]HRBP Tagging'!$A:$D,4,0)</f>
        <v>Sara</v>
      </c>
      <c r="K107" s="2" t="str">
        <f>VLOOKUP($E107,'[2]AM Client'!$A:$F,6,0)</f>
        <v>Services</v>
      </c>
      <c r="L107" s="2" t="s">
        <v>5418</v>
      </c>
      <c r="M107" t="str">
        <f>VLOOKUP(E107,'[2]AM Client'!$B:$C,2,0)</f>
        <v>Deepak Desai</v>
      </c>
    </row>
    <row r="108" spans="3:13">
      <c r="E108" s="2" t="s">
        <v>5546</v>
      </c>
      <c r="F108" s="2" t="s">
        <v>5771</v>
      </c>
      <c r="G108" s="153" t="s">
        <v>33</v>
      </c>
      <c r="H108" s="70"/>
      <c r="I108" s="2" t="s">
        <v>5420</v>
      </c>
      <c r="J108" s="2" t="str">
        <f>VLOOKUP(E108,'[1]HRBP Tagging'!$A:$D,4,0)</f>
        <v>Sultana M</v>
      </c>
      <c r="K108" s="2" t="str">
        <f>VLOOKUP($E108,'[2]AM Client'!$A:$F,6,0)</f>
        <v>Captive</v>
      </c>
      <c r="L108" s="2" t="s">
        <v>5771</v>
      </c>
      <c r="M108" t="str">
        <f>VLOOKUP(E108,'[2]AM Client'!$B:$C,2,0)</f>
        <v>Deepak Desai</v>
      </c>
    </row>
    <row r="109" spans="3:13">
      <c r="C109" t="s">
        <v>5466</v>
      </c>
      <c r="E109" s="21" t="s">
        <v>1890</v>
      </c>
      <c r="F109" s="2" t="s">
        <v>5771</v>
      </c>
      <c r="G109" s="153" t="s">
        <v>33</v>
      </c>
      <c r="H109" s="70"/>
      <c r="I109" s="2" t="s">
        <v>5420</v>
      </c>
      <c r="J109" s="2" t="str">
        <f>VLOOKUP(E109,'[1]HRBP Tagging'!$A:$D,4,0)</f>
        <v>Sultana M</v>
      </c>
      <c r="K109" s="2" t="str">
        <f>VLOOKUP($E109,'[2]AM Client'!$A:$F,6,0)</f>
        <v>Captive</v>
      </c>
      <c r="L109" s="2" t="s">
        <v>5771</v>
      </c>
      <c r="M109" t="str">
        <f>VLOOKUP(E109,'[2]AM Client'!$B:$C,2,0)</f>
        <v>Deepak Desai</v>
      </c>
    </row>
    <row r="110" spans="3:13">
      <c r="E110" s="19" t="s">
        <v>5521</v>
      </c>
      <c r="F110" s="2" t="s">
        <v>5771</v>
      </c>
      <c r="G110" s="153" t="s">
        <v>33</v>
      </c>
      <c r="H110" s="23" t="s">
        <v>683</v>
      </c>
      <c r="I110" s="2" t="s">
        <v>5420</v>
      </c>
      <c r="J110" s="2" t="str">
        <f>VLOOKUP(E110,'[1]HRBP Tagging'!$A:$D,4,0)</f>
        <v>Sultana M</v>
      </c>
      <c r="K110" s="2" t="str">
        <f>VLOOKUP($E110,'[2]AM Client'!$A:$F,6,0)</f>
        <v>SOW Captive</v>
      </c>
      <c r="L110" s="2" t="s">
        <v>5771</v>
      </c>
      <c r="M110" t="str">
        <f>VLOOKUP(E110,'[2]AM Client'!$B:$C,2,0)</f>
        <v>Deepak Desai</v>
      </c>
    </row>
    <row r="111" spans="3:13">
      <c r="E111" s="21" t="s">
        <v>5625</v>
      </c>
      <c r="F111" s="2" t="s">
        <v>5780</v>
      </c>
      <c r="G111" s="176" t="s">
        <v>5798</v>
      </c>
      <c r="H111" s="23" t="s">
        <v>683</v>
      </c>
      <c r="I111" s="2" t="s">
        <v>5420</v>
      </c>
      <c r="J111" s="2" t="str">
        <f>VLOOKUP(E111,'[1]HRBP Tagging'!$A:$D,4,0)</f>
        <v>Sultana M</v>
      </c>
      <c r="K111" s="2" t="str">
        <f>VLOOKUP($E111,'[2]AM Client'!$A:$F,6,0)</f>
        <v>Captive</v>
      </c>
      <c r="L111" s="2" t="s">
        <v>5771</v>
      </c>
      <c r="M111" t="str">
        <f>VLOOKUP(E111,'[2]AM Client'!$B:$C,2,0)</f>
        <v>Deepak Desai</v>
      </c>
    </row>
    <row r="112" spans="3:13">
      <c r="E112" s="23" t="s">
        <v>126</v>
      </c>
      <c r="F112" s="2" t="s">
        <v>5771</v>
      </c>
      <c r="G112" s="153" t="s">
        <v>33</v>
      </c>
      <c r="H112" s="2"/>
      <c r="I112" s="2" t="s">
        <v>5416</v>
      </c>
      <c r="J112" s="2" t="str">
        <f>VLOOKUP(E112,'[1]HRBP Tagging'!$A:$D,4,0)</f>
        <v>Sultana M</v>
      </c>
      <c r="K112" s="2" t="str">
        <f>VLOOKUP($E112,'[2]AM Client'!$A:$F,6,0)</f>
        <v>Services</v>
      </c>
      <c r="L112" s="2" t="s">
        <v>5819</v>
      </c>
      <c r="M112" t="str">
        <f>VLOOKUP(E112,'[2]AM Client'!$B:$C,2,0)</f>
        <v>Deepak Desai</v>
      </c>
    </row>
    <row r="113" spans="5:13">
      <c r="E113" s="21" t="s">
        <v>458</v>
      </c>
      <c r="F113" s="2" t="s">
        <v>5771</v>
      </c>
      <c r="G113" s="153" t="s">
        <v>33</v>
      </c>
      <c r="H113" s="23" t="s">
        <v>683</v>
      </c>
      <c r="I113" s="2" t="s">
        <v>5420</v>
      </c>
      <c r="J113" s="2" t="str">
        <f>VLOOKUP(E113,'[1]HRBP Tagging'!$A:$D,4,0)</f>
        <v>Sultana M</v>
      </c>
      <c r="K113" s="2" t="str">
        <f>VLOOKUP($E113,'[2]AM Client'!$A:$F,6,0)</f>
        <v>Captive</v>
      </c>
      <c r="L113" s="2" t="s">
        <v>5771</v>
      </c>
      <c r="M113" t="str">
        <f>VLOOKUP(E113,'[2]AM Client'!$B:$C,2,0)</f>
        <v>Deepak Desai</v>
      </c>
    </row>
    <row r="114" spans="5:13">
      <c r="E114" s="2" t="s">
        <v>5520</v>
      </c>
      <c r="F114" s="2" t="s">
        <v>5771</v>
      </c>
      <c r="G114" s="153" t="s">
        <v>33</v>
      </c>
      <c r="H114" s="23" t="s">
        <v>683</v>
      </c>
      <c r="I114" s="2" t="s">
        <v>5420</v>
      </c>
      <c r="J114" s="2" t="str">
        <f>VLOOKUP(E114,'[1]HRBP Tagging'!$A:$D,4,0)</f>
        <v>Sultana M</v>
      </c>
      <c r="K114" s="2" t="str">
        <f>VLOOKUP($E114,'[2]AM Client'!$A:$F,6,0)</f>
        <v>Captive</v>
      </c>
      <c r="L114" s="2" t="s">
        <v>5771</v>
      </c>
      <c r="M114" t="str">
        <f>VLOOKUP(E114,'[2]AM Client'!$B:$C,2,0)</f>
        <v>Deepak Desai</v>
      </c>
    </row>
    <row r="115" spans="5:13">
      <c r="E115" s="21" t="s">
        <v>3764</v>
      </c>
      <c r="F115" s="2" t="s">
        <v>5771</v>
      </c>
      <c r="G115" s="153" t="s">
        <v>33</v>
      </c>
      <c r="H115" s="23"/>
      <c r="I115" s="2" t="s">
        <v>5420</v>
      </c>
      <c r="J115" s="2" t="str">
        <f>VLOOKUP(E115,'[1]HRBP Tagging'!$A:$D,4,0)</f>
        <v>Sultana M</v>
      </c>
      <c r="K115" s="2" t="str">
        <f>VLOOKUP($E115,'[2]AM Client'!$A:$F,6,0)</f>
        <v>Captive</v>
      </c>
      <c r="L115" s="2" t="s">
        <v>5771</v>
      </c>
      <c r="M115" t="str">
        <f>VLOOKUP(E115,'[2]AM Client'!$B:$C,2,0)</f>
        <v>Deepak Desai</v>
      </c>
    </row>
    <row r="116" spans="5:13">
      <c r="E116" s="21" t="s">
        <v>3818</v>
      </c>
      <c r="F116" s="2" t="s">
        <v>5814</v>
      </c>
      <c r="G116" s="153" t="s">
        <v>33</v>
      </c>
      <c r="H116" s="23"/>
      <c r="I116" s="2" t="s">
        <v>5420</v>
      </c>
      <c r="J116" s="2" t="str">
        <f>VLOOKUP(E116,'[1]HRBP Tagging'!$A:$D,4,0)</f>
        <v>Sultana M</v>
      </c>
      <c r="K116" s="2" t="str">
        <f>VLOOKUP($E116,'[2]AM Client'!$A:$F,6,0)</f>
        <v>ITES</v>
      </c>
      <c r="L116" s="2" t="s">
        <v>5771</v>
      </c>
      <c r="M116" t="str">
        <f>VLOOKUP(E116,'[2]AM Client'!$B:$C,2,0)</f>
        <v>Deepak Desai Non IT</v>
      </c>
    </row>
    <row r="117" spans="5:13">
      <c r="E117" s="21" t="s">
        <v>5735</v>
      </c>
      <c r="F117" s="2" t="s">
        <v>5771</v>
      </c>
      <c r="G117" s="153" t="s">
        <v>33</v>
      </c>
      <c r="H117" s="70"/>
      <c r="I117" s="2" t="s">
        <v>5417</v>
      </c>
      <c r="J117" s="2" t="str">
        <f>VLOOKUP(E117,'[1]HRBP Tagging'!$A:$D,4,0)</f>
        <v>Meenu Amit Kumar</v>
      </c>
      <c r="K117" s="2" t="str">
        <f>VLOOKUP($E117,'[2]AM Client'!$A:$F,6,0)</f>
        <v>Services</v>
      </c>
      <c r="L117" s="2" t="s">
        <v>5418</v>
      </c>
      <c r="M117" t="str">
        <f>VLOOKUP(E117,'[2]AM Client'!$B:$C,2,0)</f>
        <v>Deepak Desai</v>
      </c>
    </row>
    <row r="118" spans="5:13">
      <c r="E118" s="23" t="s">
        <v>313</v>
      </c>
      <c r="F118" s="2" t="s">
        <v>5814</v>
      </c>
      <c r="G118" s="153" t="s">
        <v>33</v>
      </c>
      <c r="H118" s="23" t="s">
        <v>5488</v>
      </c>
      <c r="I118" s="2" t="s">
        <v>5417</v>
      </c>
      <c r="J118" s="2" t="str">
        <f>VLOOKUP(E118,'[1]HRBP Tagging'!$A:$D,4,0)</f>
        <v>Sara</v>
      </c>
      <c r="K118" s="2" t="s">
        <v>5802</v>
      </c>
      <c r="L118" s="2" t="s">
        <v>5418</v>
      </c>
      <c r="M118" t="str">
        <f>VLOOKUP(E118,'[2]AM Client'!$B:$C,2,0)</f>
        <v>Deepak Desai Non IT</v>
      </c>
    </row>
    <row r="119" spans="5:13">
      <c r="E119" s="2" t="s">
        <v>5844</v>
      </c>
      <c r="F119" s="114" t="s">
        <v>5771</v>
      </c>
      <c r="G119" s="153" t="s">
        <v>33</v>
      </c>
      <c r="H119" s="23" t="s">
        <v>683</v>
      </c>
      <c r="I119" s="2" t="s">
        <v>5430</v>
      </c>
      <c r="J119" s="2" t="str">
        <f>VLOOKUP(E119,'[1]HRBP Tagging'!$A:$D,4,0)</f>
        <v>Sultana M</v>
      </c>
      <c r="K119" s="2" t="str">
        <f>VLOOKUP($E119,'[2]AM Client'!$A:$F,6,0)</f>
        <v>Captive</v>
      </c>
      <c r="L119" s="2" t="s">
        <v>5773</v>
      </c>
      <c r="M119" t="str">
        <f>VLOOKUP(E119,'[2]AM Client'!$B:$C,2,0)</f>
        <v>Deepak Desai</v>
      </c>
    </row>
    <row r="120" spans="5:13">
      <c r="E120" s="2" t="s">
        <v>5845</v>
      </c>
      <c r="F120" s="114" t="s">
        <v>5771</v>
      </c>
      <c r="G120" s="153" t="s">
        <v>33</v>
      </c>
      <c r="H120" s="2"/>
      <c r="I120" s="2"/>
      <c r="J120" s="2" t="e">
        <f>VLOOKUP(E120,'[1]HRBP Tagging'!$A:$D,4,0)</f>
        <v>#N/A</v>
      </c>
      <c r="K120" s="2" t="str">
        <f>VLOOKUP($E120,'[2]AM Client'!$A:$F,6,0)</f>
        <v>Captive</v>
      </c>
      <c r="L120" s="114" t="s">
        <v>5846</v>
      </c>
      <c r="M120" t="str">
        <f>VLOOKUP(E120,'[2]AM Client'!$B:$C,2,0)</f>
        <v>Deepak Desai</v>
      </c>
    </row>
    <row r="121" spans="5:13">
      <c r="E121" s="2" t="s">
        <v>5847</v>
      </c>
      <c r="F121" s="114" t="s">
        <v>5771</v>
      </c>
      <c r="G121" s="153" t="s">
        <v>5771</v>
      </c>
      <c r="H121" s="2"/>
      <c r="I121" s="2" t="s">
        <v>5430</v>
      </c>
      <c r="J121" s="2" t="str">
        <f>VLOOKUP(E121,'[1]HRBP Tagging'!$A:$D,4,0)</f>
        <v>sara</v>
      </c>
      <c r="K121" s="2" t="str">
        <f>VLOOKUP($E121,'[2]AM Client'!$A:$F,6,0)</f>
        <v>Services</v>
      </c>
      <c r="L121" s="2" t="s">
        <v>5773</v>
      </c>
      <c r="M121" t="str">
        <f>VLOOKUP(E121,'[2]AM Client'!$B:$C,2,0)</f>
        <v>Deepak Desai</v>
      </c>
    </row>
    <row r="122" spans="5:13">
      <c r="E122" s="2" t="s">
        <v>5698</v>
      </c>
      <c r="F122" s="114" t="s">
        <v>5780</v>
      </c>
      <c r="G122" s="153" t="s">
        <v>5780</v>
      </c>
      <c r="H122" s="70"/>
      <c r="I122" s="2" t="s">
        <v>5430</v>
      </c>
      <c r="J122" s="2" t="str">
        <f>VLOOKUP(E122,'[1]HRBP Tagging'!$A:$D,4,0)</f>
        <v>sara</v>
      </c>
      <c r="K122" s="2" t="str">
        <f>VLOOKUP($E122,'[2]AM Client'!$A:$F,6,0)</f>
        <v>Captive</v>
      </c>
      <c r="L122" s="2" t="s">
        <v>5773</v>
      </c>
      <c r="M122" t="str">
        <f>VLOOKUP(E122,'[2]AM Client'!$B:$C,2,0)</f>
        <v>Anuradha Murthy</v>
      </c>
    </row>
    <row r="123" spans="5:13">
      <c r="E123" s="19" t="s">
        <v>1831</v>
      </c>
      <c r="F123" s="2" t="s">
        <v>5780</v>
      </c>
      <c r="G123" s="153" t="s">
        <v>392</v>
      </c>
      <c r="H123" s="2" t="s">
        <v>5848</v>
      </c>
      <c r="I123" s="2" t="s">
        <v>5437</v>
      </c>
      <c r="J123" s="2" t="str">
        <f>VLOOKUP(E123,'[1]HRBP Tagging'!$A:$D,4,0)</f>
        <v>Sultana M</v>
      </c>
      <c r="K123" s="2" t="str">
        <f>VLOOKUP($E123,'[2]AM Client'!$A:$F,6,0)</f>
        <v>Captive</v>
      </c>
      <c r="L123" s="2" t="s">
        <v>5780</v>
      </c>
      <c r="M123" t="str">
        <f>VLOOKUP(E123,'[2]AM Client'!$B:$C,2,0)</f>
        <v>Anuradha Murthy</v>
      </c>
    </row>
    <row r="124" spans="5:13">
      <c r="E124" s="19" t="s">
        <v>5702</v>
      </c>
      <c r="F124" s="2" t="s">
        <v>5780</v>
      </c>
      <c r="G124" s="153" t="s">
        <v>392</v>
      </c>
      <c r="H124" s="2" t="s">
        <v>5848</v>
      </c>
      <c r="I124" s="2" t="s">
        <v>5437</v>
      </c>
      <c r="J124" s="2" t="str">
        <f>VLOOKUP(E124,'[1]HRBP Tagging'!$A:$D,4,0)</f>
        <v>Sultana M</v>
      </c>
      <c r="K124" s="2" t="str">
        <f>VLOOKUP($E124,'[2]AM Client'!$A:$F,6,0)</f>
        <v>Captive</v>
      </c>
      <c r="L124" s="2" t="s">
        <v>5780</v>
      </c>
      <c r="M124" t="str">
        <f>VLOOKUP(E124,'[2]AM Client'!$B:$C,2,0)</f>
        <v>Anuradha Murthy</v>
      </c>
    </row>
    <row r="125" spans="5:13">
      <c r="E125" s="2" t="s">
        <v>5692</v>
      </c>
      <c r="F125" s="2" t="s">
        <v>44</v>
      </c>
      <c r="G125" s="181" t="s">
        <v>5784</v>
      </c>
      <c r="H125" s="70" t="s">
        <v>1983</v>
      </c>
      <c r="I125" s="2" t="s">
        <v>5425</v>
      </c>
      <c r="J125" s="2" t="str">
        <f>VLOOKUP(E125,'[1]HRBP Tagging'!$A:$D,4,0)</f>
        <v>Shobha Mishra</v>
      </c>
      <c r="K125" s="2" t="str">
        <f>VLOOKUP($E125,'[2]AM Client'!$A:$F,6,0)</f>
        <v>Captive</v>
      </c>
      <c r="L125" s="2" t="s">
        <v>44</v>
      </c>
      <c r="M125" t="str">
        <f>VLOOKUP(E125,'[2]AM Client'!$B:$C,2,0)</f>
        <v>Sadhna Shukla</v>
      </c>
    </row>
    <row r="126" spans="5:13">
      <c r="E126" s="23" t="s">
        <v>1893</v>
      </c>
      <c r="F126" s="2" t="s">
        <v>5778</v>
      </c>
      <c r="G126" s="137" t="s">
        <v>36</v>
      </c>
      <c r="H126" s="166" t="s">
        <v>36</v>
      </c>
      <c r="I126" s="2" t="s">
        <v>5416</v>
      </c>
      <c r="J126" s="2" t="str">
        <f>VLOOKUP(E126,'[1]HRBP Tagging'!$A:$D,4,0)</f>
        <v>Lavanya</v>
      </c>
      <c r="K126" s="2" t="s">
        <v>5781</v>
      </c>
      <c r="L126" s="2" t="s">
        <v>27</v>
      </c>
      <c r="M126" t="str">
        <f>VLOOKUP(E126,'[2]AM Client'!$B:$C,2,0)</f>
        <v>Deepak Desai</v>
      </c>
    </row>
    <row r="127" spans="5:13">
      <c r="E127" s="23" t="s">
        <v>2019</v>
      </c>
      <c r="F127" s="2" t="s">
        <v>5778</v>
      </c>
      <c r="G127" s="137" t="s">
        <v>160</v>
      </c>
      <c r="H127" s="166" t="s">
        <v>36</v>
      </c>
      <c r="I127" s="2" t="s">
        <v>5416</v>
      </c>
      <c r="J127" s="2" t="str">
        <f>VLOOKUP(E127,'[1]HRBP Tagging'!$A:$D,4,0)</f>
        <v>Lavanya</v>
      </c>
      <c r="K127" s="2" t="s">
        <v>5781</v>
      </c>
      <c r="L127" s="2" t="s">
        <v>27</v>
      </c>
      <c r="M127" t="str">
        <f>VLOOKUP(E127,'[2]AM Client'!$B:$C,2,0)</f>
        <v>Deepak Desai Non IT</v>
      </c>
    </row>
    <row r="128" spans="5:13">
      <c r="E128" s="2" t="s">
        <v>5683</v>
      </c>
      <c r="F128" s="2" t="s">
        <v>94</v>
      </c>
      <c r="G128" s="173" t="s">
        <v>1030</v>
      </c>
      <c r="H128" s="70" t="s">
        <v>5488</v>
      </c>
      <c r="I128" s="2" t="s">
        <v>5417</v>
      </c>
      <c r="J128" s="2" t="str">
        <f>VLOOKUP(E128,'[1]HRBP Tagging'!$A:$D,4,0)</f>
        <v>Sara</v>
      </c>
      <c r="K128" s="2" t="str">
        <f>VLOOKUP($E128,'[2]AM Client'!$A:$F,6,0)</f>
        <v>Services</v>
      </c>
      <c r="L128" s="2" t="s">
        <v>5418</v>
      </c>
      <c r="M128" t="str">
        <f>VLOOKUP(E128,'[2]AM Client'!$B:$C,2,0)</f>
        <v>Prathap Sagar</v>
      </c>
    </row>
    <row r="129" spans="3:13">
      <c r="E129" s="2" t="s">
        <v>5849</v>
      </c>
      <c r="F129" s="2" t="s">
        <v>5771</v>
      </c>
      <c r="H129" s="23"/>
      <c r="I129" s="2" t="s">
        <v>5430</v>
      </c>
      <c r="J129" s="2" t="str">
        <f>VLOOKUP(E129,'[1]HRBP Tagging'!$A:$D,4,0)</f>
        <v>sara</v>
      </c>
      <c r="K129" s="2" t="str">
        <f>VLOOKUP($E129,'[2]AM Client'!$A:$F,6,0)</f>
        <v>Captive</v>
      </c>
      <c r="L129" s="2" t="s">
        <v>5773</v>
      </c>
      <c r="M129" t="str">
        <f>VLOOKUP(E129,'[2]AM Client'!$B:$C,2,0)</f>
        <v>Deepak Desai</v>
      </c>
    </row>
    <row r="130" spans="3:13">
      <c r="E130" s="21" t="s">
        <v>5635</v>
      </c>
      <c r="F130" s="2" t="s">
        <v>5778</v>
      </c>
      <c r="G130" s="153" t="s">
        <v>5818</v>
      </c>
      <c r="H130" s="165"/>
      <c r="I130" s="2" t="s">
        <v>5416</v>
      </c>
      <c r="J130" s="2" t="str">
        <f>VLOOKUP(E130,'[1]HRBP Tagging'!$A:$D,4,0)</f>
        <v>Meenu Amit Kumar</v>
      </c>
      <c r="K130" s="2" t="str">
        <f>VLOOKUP($E130,'[2]AM Client'!$A:$F,6,0)</f>
        <v>Captive</v>
      </c>
      <c r="L130" s="2" t="s">
        <v>5819</v>
      </c>
      <c r="M130" t="str">
        <f>VLOOKUP(E130,'[2]AM Client'!$B:$C,2,0)</f>
        <v>Jawad Ulla Khan Non IT</v>
      </c>
    </row>
    <row r="131" spans="3:13">
      <c r="E131" s="23" t="s">
        <v>1357</v>
      </c>
      <c r="F131" s="2" t="s">
        <v>5780</v>
      </c>
      <c r="G131" s="166" t="s">
        <v>5812</v>
      </c>
      <c r="H131" s="23" t="s">
        <v>683</v>
      </c>
      <c r="I131" s="2" t="s">
        <v>5437</v>
      </c>
      <c r="J131" s="2" t="str">
        <f>VLOOKUP(E131,'[1]HRBP Tagging'!$A:$D,4,0)</f>
        <v>Sultana M</v>
      </c>
      <c r="K131" s="2" t="str">
        <f>VLOOKUP($E131,'[2]AM Client'!$A:$F,6,0)</f>
        <v>Captive</v>
      </c>
      <c r="L131" s="2" t="s">
        <v>5780</v>
      </c>
      <c r="M131" t="str">
        <f>VLOOKUP(E131,'[2]AM Client'!$B:$C,2,0)</f>
        <v>Anuradha Murthy</v>
      </c>
    </row>
    <row r="132" spans="3:13">
      <c r="E132" s="2" t="s">
        <v>5573</v>
      </c>
      <c r="F132" s="114" t="s">
        <v>5771</v>
      </c>
      <c r="G132" s="153" t="s">
        <v>5434</v>
      </c>
      <c r="H132" s="70"/>
      <c r="I132" s="2" t="s">
        <v>5430</v>
      </c>
      <c r="J132" s="2" t="str">
        <f>VLOOKUP(E132,'[1]HRBP Tagging'!$A:$D,4,0)</f>
        <v>Sara</v>
      </c>
      <c r="K132" s="2" t="str">
        <f>VLOOKUP($E132,'[2]AM Client'!$A:$F,6,0)</f>
        <v>Captive</v>
      </c>
      <c r="L132" s="2" t="s">
        <v>5773</v>
      </c>
      <c r="M132" t="str">
        <f>VLOOKUP(E132,'[2]AM Client'!$B:$C,2,0)</f>
        <v>Deepak Desai</v>
      </c>
    </row>
    <row r="133" spans="3:13">
      <c r="E133" s="2" t="s">
        <v>5751</v>
      </c>
      <c r="F133" s="114" t="s">
        <v>5771</v>
      </c>
      <c r="G133" s="153" t="s">
        <v>5434</v>
      </c>
      <c r="H133" s="70"/>
      <c r="I133" s="2" t="s">
        <v>5430</v>
      </c>
      <c r="J133" s="2" t="str">
        <f>VLOOKUP(E133,'[1]HRBP Tagging'!$A:$D,4,0)</f>
        <v>sara</v>
      </c>
      <c r="K133" s="2" t="str">
        <f>VLOOKUP($E133,'[2]AM Client'!$A:$F,6,0)</f>
        <v>Services</v>
      </c>
      <c r="L133" s="2" t="s">
        <v>5773</v>
      </c>
      <c r="M133" t="str">
        <f>VLOOKUP(E133,'[2]AM Client'!$B:$C,2,0)</f>
        <v>Deepak Desai</v>
      </c>
    </row>
    <row r="134" spans="3:13">
      <c r="E134" s="2" t="s">
        <v>5697</v>
      </c>
      <c r="F134" s="114" t="s">
        <v>5771</v>
      </c>
      <c r="G134" s="153" t="s">
        <v>5434</v>
      </c>
      <c r="H134" s="70" t="s">
        <v>5458</v>
      </c>
      <c r="I134" s="2" t="s">
        <v>5430</v>
      </c>
      <c r="J134" s="2" t="str">
        <f>VLOOKUP(E134,'[1]HRBP Tagging'!$A:$D,4,0)</f>
        <v>sara</v>
      </c>
      <c r="K134" s="2" t="str">
        <f>VLOOKUP($E134,'[2]AM Client'!$A:$F,6,0)</f>
        <v>Services</v>
      </c>
      <c r="L134" s="2" t="s">
        <v>5773</v>
      </c>
      <c r="M134" t="str">
        <f>VLOOKUP(E134,'[2]AM Client'!$B:$C,2,0)</f>
        <v>Deepak Desai</v>
      </c>
    </row>
    <row r="135" spans="3:13">
      <c r="E135" s="23" t="s">
        <v>149</v>
      </c>
      <c r="F135" s="114" t="s">
        <v>5771</v>
      </c>
      <c r="G135" s="153" t="s">
        <v>5434</v>
      </c>
      <c r="H135" s="23"/>
      <c r="I135" s="2" t="s">
        <v>5430</v>
      </c>
      <c r="J135" s="2" t="str">
        <f>VLOOKUP(E135,'[1]HRBP Tagging'!$A:$D,4,0)</f>
        <v>Meenu Amit Kumar</v>
      </c>
      <c r="K135" s="2" t="str">
        <f>VLOOKUP($E135,'[2]AM Client'!$A:$F,6,0)</f>
        <v>Captive</v>
      </c>
      <c r="L135" s="2" t="s">
        <v>5773</v>
      </c>
      <c r="M135" t="str">
        <f>VLOOKUP(E135,'[2]AM Client'!$B:$C,2,0)</f>
        <v>Deepak Desai</v>
      </c>
    </row>
    <row r="136" spans="3:13">
      <c r="E136" s="23" t="s">
        <v>878</v>
      </c>
      <c r="F136" s="114" t="s">
        <v>5771</v>
      </c>
      <c r="G136" s="153" t="s">
        <v>5434</v>
      </c>
      <c r="H136" s="23"/>
      <c r="I136" s="2" t="s">
        <v>5430</v>
      </c>
      <c r="J136" s="2" t="str">
        <f>VLOOKUP(E136,'[1]HRBP Tagging'!$A:$D,4,0)</f>
        <v>Sultana M</v>
      </c>
      <c r="K136" s="2" t="str">
        <f>VLOOKUP($E136,'[2]AM Client'!$A:$F,6,0)</f>
        <v>Captive</v>
      </c>
      <c r="L136" s="2" t="s">
        <v>5773</v>
      </c>
      <c r="M136" t="str">
        <f>VLOOKUP(E136,'[2]AM Client'!$B:$C,2,0)</f>
        <v>Deepak Desai</v>
      </c>
    </row>
    <row r="137" spans="3:13">
      <c r="E137" s="23" t="s">
        <v>2324</v>
      </c>
      <c r="F137" s="2" t="s">
        <v>44</v>
      </c>
      <c r="G137" s="181" t="s">
        <v>5803</v>
      </c>
      <c r="H137" s="32"/>
      <c r="I137" s="2" t="s">
        <v>5425</v>
      </c>
      <c r="J137" s="2" t="str">
        <f>VLOOKUP(E137,'[1]HRBP Tagging'!$A:$D,4,0)</f>
        <v>Shobha Mishra</v>
      </c>
      <c r="K137" s="2" t="str">
        <f>VLOOKUP($E137,'[2]AM Client'!$A:$F,6,0)</f>
        <v>Captive</v>
      </c>
      <c r="L137" s="2" t="s">
        <v>44</v>
      </c>
      <c r="M137" t="str">
        <f>VLOOKUP(E137,'[2]AM Client'!$B:$C,2,0)</f>
        <v>Sadhna Shukla</v>
      </c>
    </row>
    <row r="138" spans="3:13">
      <c r="E138" s="2" t="s">
        <v>5757</v>
      </c>
      <c r="F138" s="2" t="s">
        <v>5778</v>
      </c>
      <c r="G138" s="153" t="s">
        <v>27</v>
      </c>
      <c r="H138" s="166" t="s">
        <v>160</v>
      </c>
      <c r="I138" s="2" t="s">
        <v>5416</v>
      </c>
      <c r="J138" s="2" t="str">
        <f>VLOOKUP(E138,'[1]HRBP Tagging'!$A:$D,4,0)</f>
        <v>Chandana TP/Yashashwini</v>
      </c>
      <c r="K138" s="2" t="str">
        <f>VLOOKUP($E138,'[2]AM Client'!$A:$F,6,0)</f>
        <v>ITES</v>
      </c>
      <c r="L138" s="2" t="s">
        <v>27</v>
      </c>
      <c r="M138" t="str">
        <f>VLOOKUP(E138,'[2]AM Client'!$B:$C,2,0)</f>
        <v>Jawad Ulla Khan Non IT</v>
      </c>
    </row>
    <row r="139" spans="3:13">
      <c r="E139" s="2" t="s">
        <v>5760</v>
      </c>
      <c r="F139" s="2" t="s">
        <v>5778</v>
      </c>
      <c r="G139" s="153" t="s">
        <v>27</v>
      </c>
      <c r="H139" s="166" t="s">
        <v>160</v>
      </c>
      <c r="I139" s="2" t="s">
        <v>5416</v>
      </c>
      <c r="J139" s="2" t="str">
        <f>VLOOKUP(E139,'[1]HRBP Tagging'!$A:$D,4,0)</f>
        <v>Chandana TP/Yashashwini</v>
      </c>
      <c r="K139" s="2" t="str">
        <f>VLOOKUP($E139,'[2]AM Client'!$A:$F,6,0)</f>
        <v>ITES</v>
      </c>
      <c r="L139" s="2" t="s">
        <v>27</v>
      </c>
      <c r="M139" t="str">
        <f>VLOOKUP(E139,'[2]AM Client'!$B:$C,2,0)</f>
        <v>Jawad Ulla Khan Non IT</v>
      </c>
    </row>
    <row r="140" spans="3:13">
      <c r="E140" s="2" t="s">
        <v>5850</v>
      </c>
      <c r="F140" s="2" t="s">
        <v>5780</v>
      </c>
      <c r="G140" s="167" t="s">
        <v>5780</v>
      </c>
      <c r="H140" s="2"/>
      <c r="I140" s="2" t="s">
        <v>5437</v>
      </c>
      <c r="J140" s="2" t="str">
        <f>VLOOKUP(E140,'[1]HRBP Tagging'!$A:$D,4,0)</f>
        <v>Sultana M</v>
      </c>
      <c r="K140" s="2" t="s">
        <v>5802</v>
      </c>
      <c r="L140" s="2" t="s">
        <v>5780</v>
      </c>
      <c r="M140" t="str">
        <f>VLOOKUP(E140,'[2]AM Client'!$B:$C,2,0)</f>
        <v>Anuradha Murthy</v>
      </c>
    </row>
    <row r="141" spans="3:13">
      <c r="E141" s="2" t="s">
        <v>182</v>
      </c>
      <c r="F141" s="2" t="s">
        <v>45</v>
      </c>
      <c r="G141" s="153" t="s">
        <v>5838</v>
      </c>
      <c r="H141" s="23" t="s">
        <v>5789</v>
      </c>
      <c r="I141" s="2" t="s">
        <v>5425</v>
      </c>
      <c r="J141" s="2" t="str">
        <f>VLOOKUP(E141,'[1]HRBP Tagging'!$A:$D,4,0)</f>
        <v>Shobha Mishra</v>
      </c>
      <c r="K141" s="2" t="str">
        <f>VLOOKUP($E141,'[2]AM Client'!$A:$F,6,0)</f>
        <v>Captive</v>
      </c>
      <c r="L141" s="2" t="s">
        <v>45</v>
      </c>
      <c r="M141" t="str">
        <f>VLOOKUP(E141,'[2]AM Client'!$B:$C,2,0)</f>
        <v>Mher</v>
      </c>
    </row>
    <row r="142" spans="3:13">
      <c r="E142" s="23" t="s">
        <v>5646</v>
      </c>
      <c r="F142" s="2" t="s">
        <v>5780</v>
      </c>
      <c r="G142" s="177" t="s">
        <v>5813</v>
      </c>
      <c r="H142" s="2" t="s">
        <v>5780</v>
      </c>
      <c r="I142" s="2" t="s">
        <v>5437</v>
      </c>
      <c r="J142" s="2" t="str">
        <f>VLOOKUP(E142,'[1]HRBP Tagging'!$A:$D,4,0)</f>
        <v>Sara</v>
      </c>
      <c r="K142" s="2" t="str">
        <f>VLOOKUP($E142,'[2]AM Client'!$A:$F,6,0)</f>
        <v>Services</v>
      </c>
      <c r="L142" s="2" t="s">
        <v>5780</v>
      </c>
      <c r="M142" t="str">
        <f>VLOOKUP(E142,'[2]AM Client'!$B:$C,2,0)</f>
        <v>Deepak Desai</v>
      </c>
    </row>
    <row r="143" spans="3:13">
      <c r="C143" t="s">
        <v>5431</v>
      </c>
      <c r="E143" s="2" t="s">
        <v>5851</v>
      </c>
      <c r="F143" s="2" t="s">
        <v>5771</v>
      </c>
      <c r="G143" s="153" t="s">
        <v>4881</v>
      </c>
      <c r="H143" s="2"/>
      <c r="I143" s="2" t="s">
        <v>5417</v>
      </c>
      <c r="J143" s="2" t="str">
        <f>VLOOKUP(E143,'[1]HRBP Tagging'!$A:$D,4,0)</f>
        <v>Sara</v>
      </c>
      <c r="K143" s="2" t="str">
        <f>VLOOKUP($E143,'[2]AM Client'!$A:$F,6,0)</f>
        <v>Services</v>
      </c>
      <c r="L143" s="2" t="s">
        <v>5418</v>
      </c>
      <c r="M143" t="str">
        <f>VLOOKUP(E143,'[2]AM Client'!$B:$C,2,0)</f>
        <v>Deepak Desai</v>
      </c>
    </row>
    <row r="144" spans="3:13">
      <c r="E144" s="2" t="s">
        <v>5852</v>
      </c>
      <c r="F144" s="2" t="s">
        <v>5780</v>
      </c>
      <c r="G144" s="166" t="s">
        <v>5812</v>
      </c>
      <c r="H144" s="2" t="s">
        <v>5848</v>
      </c>
      <c r="I144" s="2" t="s">
        <v>5437</v>
      </c>
      <c r="J144" s="2" t="str">
        <f>VLOOKUP(E144,'[1]HRBP Tagging'!$A:$D,4,0)</f>
        <v>Sultana M</v>
      </c>
      <c r="K144" s="2" t="str">
        <f>VLOOKUP($E144,'[2]AM Client'!$A:$F,6,0)</f>
        <v>Captive</v>
      </c>
      <c r="L144" s="2" t="s">
        <v>5780</v>
      </c>
      <c r="M144" t="str">
        <f>VLOOKUP(E144,'[2]AM Client'!$B:$C,2,0)</f>
        <v>Anuradha Murthy</v>
      </c>
    </row>
    <row r="145" spans="2:13">
      <c r="B145" s="19"/>
      <c r="E145" s="2" t="s">
        <v>5654</v>
      </c>
      <c r="F145" s="2" t="s">
        <v>5780</v>
      </c>
      <c r="G145" s="166" t="s">
        <v>5812</v>
      </c>
      <c r="H145" s="2" t="s">
        <v>5848</v>
      </c>
      <c r="I145" s="2" t="s">
        <v>5437</v>
      </c>
      <c r="J145" s="2" t="str">
        <f>VLOOKUP(E145,'[1]HRBP Tagging'!$A:$D,4,0)</f>
        <v>Sultana M</v>
      </c>
      <c r="K145" s="2" t="s">
        <v>5802</v>
      </c>
      <c r="L145" s="2" t="s">
        <v>5780</v>
      </c>
      <c r="M145" t="str">
        <f>VLOOKUP(E145,'[2]AM Client'!$B:$C,2,0)</f>
        <v>Anuradha Murthy</v>
      </c>
    </row>
    <row r="146" spans="2:13">
      <c r="B146" s="2"/>
      <c r="E146" s="2" t="s">
        <v>5519</v>
      </c>
      <c r="F146" s="2" t="s">
        <v>5853</v>
      </c>
      <c r="G146" s="166" t="s">
        <v>5812</v>
      </c>
      <c r="H146" s="2" t="s">
        <v>5848</v>
      </c>
      <c r="I146" s="2" t="s">
        <v>5437</v>
      </c>
      <c r="J146" s="2" t="str">
        <f>VLOOKUP(E146,'[1]HRBP Tagging'!$A:$D,4,0)</f>
        <v>Sultana M</v>
      </c>
      <c r="K146" s="2" t="str">
        <f>VLOOKUP($E146,'[2]AM Client'!$A:$F,6,0)</f>
        <v>ITES</v>
      </c>
      <c r="L146" s="2" t="s">
        <v>5780</v>
      </c>
      <c r="M146" t="str">
        <f>VLOOKUP(E146,'[2]AM Client'!$B:$C,2,0)</f>
        <v>Anuradha Murthy Non IT</v>
      </c>
    </row>
    <row r="147" spans="2:13">
      <c r="E147" s="174" t="s">
        <v>3610</v>
      </c>
      <c r="F147" s="2" t="s">
        <v>5778</v>
      </c>
      <c r="G147" s="153" t="s">
        <v>5434</v>
      </c>
      <c r="H147" s="165"/>
      <c r="I147" s="2" t="s">
        <v>5416</v>
      </c>
      <c r="J147" s="2" t="str">
        <f>VLOOKUP(E147,'[1]HRBP Tagging'!$A:$D,4,0)</f>
        <v>Sultana M</v>
      </c>
      <c r="K147" s="2" t="str">
        <f>VLOOKUP($E147,'[2]AM Client'!$A:$F,6,0)</f>
        <v>Services</v>
      </c>
      <c r="L147" s="2" t="s">
        <v>5819</v>
      </c>
      <c r="M147" t="str">
        <f>VLOOKUP(E147,'[2]AM Client'!$B:$C,2,0)</f>
        <v>Jawad Ulla Khan Non IT</v>
      </c>
    </row>
    <row r="148" spans="2:13">
      <c r="E148" s="2" t="s">
        <v>5704</v>
      </c>
      <c r="F148" s="2" t="s">
        <v>5778</v>
      </c>
      <c r="G148" s="153" t="s">
        <v>5434</v>
      </c>
      <c r="H148" s="165"/>
      <c r="I148" s="2" t="s">
        <v>5416</v>
      </c>
      <c r="J148" s="2" t="str">
        <f>VLOOKUP(E148,'[1]HRBP Tagging'!$A:$D,4,0)</f>
        <v>Sultana M</v>
      </c>
      <c r="K148" s="2" t="str">
        <f>VLOOKUP($E148,'[2]AM Client'!$A:$F,6,0)</f>
        <v>Services</v>
      </c>
      <c r="L148" s="2" t="s">
        <v>5819</v>
      </c>
      <c r="M148" t="str">
        <f>VLOOKUP(E148,'[2]AM Client'!$B:$C,2,0)</f>
        <v>Jawad Ulla Khan Non IT</v>
      </c>
    </row>
    <row r="149" spans="2:13">
      <c r="E149" s="23" t="s">
        <v>5516</v>
      </c>
      <c r="F149" s="2" t="s">
        <v>5778</v>
      </c>
      <c r="G149" s="2" t="s">
        <v>5854</v>
      </c>
      <c r="H149" s="136" t="s">
        <v>160</v>
      </c>
      <c r="I149" s="2" t="s">
        <v>5420</v>
      </c>
      <c r="J149" s="2" t="str">
        <f>VLOOKUP(E149,'[1]HRBP Tagging'!$A:$D,4,0)</f>
        <v>Sultana M</v>
      </c>
      <c r="K149" s="2" t="str">
        <f>VLOOKUP($E149,'[2]AM Client'!$A:$F,6,0)</f>
        <v>ITES</v>
      </c>
      <c r="L149" s="2" t="s">
        <v>5771</v>
      </c>
      <c r="M149" t="str">
        <f>VLOOKUP(E149,'[2]AM Client'!$B:$C,2,0)</f>
        <v>Jawad Ulla Khan Non IT</v>
      </c>
    </row>
    <row r="150" spans="2:13">
      <c r="C150" s="79"/>
      <c r="E150" s="2" t="s">
        <v>5855</v>
      </c>
      <c r="F150" s="2" t="s">
        <v>5771</v>
      </c>
      <c r="G150" s="167" t="s">
        <v>1030</v>
      </c>
      <c r="H150" s="32" t="s">
        <v>5856</v>
      </c>
      <c r="I150" s="2" t="s">
        <v>5417</v>
      </c>
      <c r="J150" s="2" t="str">
        <f>VLOOKUP(E150,'[1]HRBP Tagging'!$A:$D,4,0)</f>
        <v>Sara</v>
      </c>
      <c r="K150" s="2" t="str">
        <f>VLOOKUP($E150,'[2]AM Client'!$A:$F,6,0)</f>
        <v>Services</v>
      </c>
      <c r="L150" s="2" t="s">
        <v>5418</v>
      </c>
      <c r="M150" t="str">
        <f>VLOOKUP(E150,'[2]AM Client'!$B:$C,2,0)</f>
        <v>Deepak Desai</v>
      </c>
    </row>
    <row r="151" spans="2:13">
      <c r="E151" s="2" t="s">
        <v>5731</v>
      </c>
      <c r="F151" s="2" t="s">
        <v>94</v>
      </c>
      <c r="G151" s="165" t="s">
        <v>4881</v>
      </c>
      <c r="H151" s="70" t="s">
        <v>2380</v>
      </c>
      <c r="I151" s="2" t="s">
        <v>5417</v>
      </c>
      <c r="J151" s="2" t="str">
        <f>VLOOKUP(E151,'[1]HRBP Tagging'!$A:$D,4,0)</f>
        <v>Sara</v>
      </c>
      <c r="K151" s="2" t="str">
        <f>VLOOKUP($E151,'[2]AM Client'!$A:$F,6,0)</f>
        <v>Services</v>
      </c>
      <c r="L151" s="2" t="s">
        <v>5418</v>
      </c>
      <c r="M151" t="str">
        <f>VLOOKUP(E151,'[2]AM Client'!$B:$C,2,0)</f>
        <v>Prathap Sagar</v>
      </c>
    </row>
    <row r="152" spans="2:13">
      <c r="E152" s="2" t="s">
        <v>5740</v>
      </c>
      <c r="F152" s="2" t="s">
        <v>94</v>
      </c>
      <c r="G152" s="153" t="s">
        <v>4881</v>
      </c>
      <c r="H152" s="2" t="s">
        <v>5806</v>
      </c>
      <c r="I152" s="2" t="s">
        <v>5417</v>
      </c>
      <c r="J152" s="2" t="str">
        <f>VLOOKUP(E152,'[1]HRBP Tagging'!$A:$D,4,0)</f>
        <v>Sara</v>
      </c>
      <c r="K152" s="2" t="str">
        <f>VLOOKUP($E152,'[2]AM Client'!$A:$F,6,0)</f>
        <v>Services</v>
      </c>
      <c r="L152" s="2" t="s">
        <v>5418</v>
      </c>
      <c r="M152" t="str">
        <f>VLOOKUP(E152,'[2]AM Client'!$B:$C,2,0)</f>
        <v>Prathap Sagar</v>
      </c>
    </row>
    <row r="153" spans="2:13">
      <c r="E153" s="2" t="s">
        <v>5572</v>
      </c>
      <c r="F153" s="2" t="s">
        <v>94</v>
      </c>
      <c r="G153" s="153" t="s">
        <v>4881</v>
      </c>
      <c r="H153" s="70" t="s">
        <v>5488</v>
      </c>
      <c r="I153" s="2" t="s">
        <v>5417</v>
      </c>
      <c r="J153" s="2" t="str">
        <f>VLOOKUP(E153,'[1]HRBP Tagging'!$A:$D,4,0)</f>
        <v>Sara</v>
      </c>
      <c r="K153" s="2" t="str">
        <f>VLOOKUP($E153,'[2]AM Client'!$A:$F,6,0)</f>
        <v>Services</v>
      </c>
      <c r="L153" s="2" t="s">
        <v>5418</v>
      </c>
      <c r="M153" t="str">
        <f>VLOOKUP(E153,'[2]AM Client'!$B:$C,2,0)</f>
        <v>Prathap Sagar</v>
      </c>
    </row>
    <row r="154" spans="2:13">
      <c r="E154" s="2" t="s">
        <v>4568</v>
      </c>
      <c r="F154" s="2" t="s">
        <v>94</v>
      </c>
      <c r="G154" s="153" t="s">
        <v>4881</v>
      </c>
      <c r="H154" s="23" t="s">
        <v>5488</v>
      </c>
      <c r="I154" s="2" t="s">
        <v>5417</v>
      </c>
      <c r="J154" s="2" t="str">
        <f>VLOOKUP(E154,'[1]HRBP Tagging'!$A:$D,4,0)</f>
        <v>Sara</v>
      </c>
      <c r="K154" s="2" t="str">
        <f>VLOOKUP($E154,'[2]AM Client'!$A:$F,6,0)</f>
        <v>Services</v>
      </c>
      <c r="L154" s="2" t="s">
        <v>5418</v>
      </c>
      <c r="M154" t="str">
        <f>VLOOKUP(E154,'[2]AM Client'!$B:$C,2,0)</f>
        <v>Prathap Sagar</v>
      </c>
    </row>
    <row r="155" spans="2:13">
      <c r="E155" s="23" t="s">
        <v>5694</v>
      </c>
      <c r="F155" s="2" t="s">
        <v>94</v>
      </c>
      <c r="G155" s="153" t="s">
        <v>4881</v>
      </c>
      <c r="H155" s="23" t="s">
        <v>2380</v>
      </c>
      <c r="I155" s="2" t="s">
        <v>5417</v>
      </c>
      <c r="J155" s="2" t="str">
        <f>VLOOKUP(E155,'[1]HRBP Tagging'!$A:$D,4,0)</f>
        <v>Umar</v>
      </c>
      <c r="K155" s="2" t="str">
        <f>VLOOKUP($E155,'[2]AM Client'!$A:$F,6,0)</f>
        <v>Services</v>
      </c>
      <c r="L155" s="2" t="s">
        <v>5418</v>
      </c>
      <c r="M155" t="str">
        <f>VLOOKUP(E155,'[2]AM Client'!$B:$C,2,0)</f>
        <v>Prathap Sagar</v>
      </c>
    </row>
    <row r="156" spans="2:13">
      <c r="E156" s="21" t="s">
        <v>5857</v>
      </c>
      <c r="F156" s="2" t="s">
        <v>5780</v>
      </c>
      <c r="G156" s="166" t="s">
        <v>5812</v>
      </c>
      <c r="H156" s="2"/>
      <c r="I156" s="2"/>
      <c r="J156" s="2" t="str">
        <f>VLOOKUP(E156,'[1]HRBP Tagging'!$A:$D,4,0)</f>
        <v>Not Assigned</v>
      </c>
      <c r="K156" s="2" t="str">
        <f>VLOOKUP($E156,'[2]AM Client'!$A:$F,6,0)</f>
        <v>Services</v>
      </c>
      <c r="L156" s="2" t="s">
        <v>5819</v>
      </c>
      <c r="M156">
        <f>VLOOKUP(E156,'[2]AM Client'!$B:$C,2,0)</f>
        <v>0</v>
      </c>
    </row>
    <row r="157" spans="2:13">
      <c r="B157" s="2"/>
      <c r="E157" s="19" t="s">
        <v>1414</v>
      </c>
      <c r="F157" s="2" t="s">
        <v>44</v>
      </c>
      <c r="G157" s="153" t="s">
        <v>5784</v>
      </c>
      <c r="H157" s="70" t="s">
        <v>5492</v>
      </c>
      <c r="I157" s="2" t="s">
        <v>5425</v>
      </c>
      <c r="J157" s="2" t="str">
        <f>VLOOKUP(E157,'[1]HRBP Tagging'!$A:$D,4,0)</f>
        <v>Shobha Mishra</v>
      </c>
      <c r="K157" s="2" t="str">
        <f>VLOOKUP($E157,'[2]AM Client'!$A:$F,6,0)</f>
        <v>Captive</v>
      </c>
      <c r="L157" s="2" t="s">
        <v>44</v>
      </c>
      <c r="M157" t="str">
        <f>VLOOKUP(E157,'[2]AM Client'!$B:$C,2,0)</f>
        <v>Sadhna Shukla</v>
      </c>
    </row>
    <row r="158" spans="2:13">
      <c r="E158" s="2" t="s">
        <v>5206</v>
      </c>
      <c r="F158" s="2" t="s">
        <v>94</v>
      </c>
      <c r="G158" s="153"/>
      <c r="H158" s="70" t="s">
        <v>5488</v>
      </c>
      <c r="I158" s="113" t="s">
        <v>5425</v>
      </c>
      <c r="J158" s="2" t="str">
        <f>VLOOKUP(E158,'[1]HRBP Tagging'!$A:$D,4,0)</f>
        <v>Umar</v>
      </c>
      <c r="K158" s="2" t="str">
        <f>VLOOKUP($E158,'[2]AM Client'!$A:$F,6,0)</f>
        <v>Services</v>
      </c>
      <c r="L158" s="113" t="s">
        <v>5418</v>
      </c>
      <c r="M158" t="str">
        <f>VLOOKUP(E158,'[2]AM Client'!$B:$C,2,0)</f>
        <v>Prathap Sagar</v>
      </c>
    </row>
    <row r="159" spans="2:13">
      <c r="E159" s="2" t="s">
        <v>5858</v>
      </c>
      <c r="F159" s="2" t="s">
        <v>5780</v>
      </c>
      <c r="G159" s="153" t="s">
        <v>392</v>
      </c>
      <c r="H159" s="2" t="s">
        <v>5780</v>
      </c>
      <c r="I159" s="2" t="s">
        <v>5437</v>
      </c>
      <c r="J159" s="2" t="str">
        <f>VLOOKUP(E159,'[1]HRBP Tagging'!$A:$D,4,0)</f>
        <v>Sultana M</v>
      </c>
      <c r="K159" s="2" t="str">
        <f>VLOOKUP($E159,'[2]AM Client'!$A:$F,6,0)</f>
        <v>Captive</v>
      </c>
      <c r="L159" s="2" t="s">
        <v>5780</v>
      </c>
      <c r="M159" t="str">
        <f>VLOOKUP(E159,'[2]AM Client'!$B:$C,2,0)</f>
        <v>Anuradha Murthy</v>
      </c>
    </row>
    <row r="160" spans="2:13">
      <c r="E160" s="21" t="s">
        <v>5859</v>
      </c>
      <c r="F160" s="2" t="s">
        <v>5780</v>
      </c>
      <c r="G160" s="177" t="s">
        <v>5813</v>
      </c>
      <c r="H160" s="2" t="s">
        <v>5780</v>
      </c>
      <c r="I160" s="2" t="s">
        <v>5437</v>
      </c>
      <c r="J160" s="2" t="str">
        <f>VLOOKUP(E160,'[1]HRBP Tagging'!$A:$D,4,0)</f>
        <v>Sultana M</v>
      </c>
      <c r="K160" s="2" t="str">
        <f>VLOOKUP($E160,'[2]AM Client'!$A:$F,6,0)</f>
        <v>Services</v>
      </c>
      <c r="L160" s="2" t="s">
        <v>5780</v>
      </c>
      <c r="M160" t="str">
        <f>VLOOKUP(E160,'[2]AM Client'!$B:$C,2,0)</f>
        <v>Anuradha Murthy</v>
      </c>
    </row>
    <row r="161" spans="5:13">
      <c r="E161" s="21" t="s">
        <v>3680</v>
      </c>
      <c r="F161" s="2" t="s">
        <v>5780</v>
      </c>
      <c r="G161" s="176" t="s">
        <v>5798</v>
      </c>
      <c r="H161" s="2" t="s">
        <v>5780</v>
      </c>
      <c r="I161" s="2" t="s">
        <v>5437</v>
      </c>
      <c r="J161" s="2" t="str">
        <f>VLOOKUP(E161,'[1]HRBP Tagging'!$A:$D,4,0)</f>
        <v>Sultana M</v>
      </c>
      <c r="K161" s="2" t="str">
        <f>VLOOKUP($E161,'[2]AM Client'!$A:$F,6,0)</f>
        <v>Captive</v>
      </c>
      <c r="L161" s="2" t="s">
        <v>5780</v>
      </c>
      <c r="M161" t="str">
        <f>VLOOKUP(E161,'[2]AM Client'!$B:$C,2,0)</f>
        <v>Anuradha Murthy</v>
      </c>
    </row>
    <row r="162" spans="5:13">
      <c r="E162" s="2" t="s">
        <v>5860</v>
      </c>
      <c r="F162" s="2" t="s">
        <v>5853</v>
      </c>
      <c r="G162" s="176" t="s">
        <v>5798</v>
      </c>
      <c r="H162" s="2" t="s">
        <v>5780</v>
      </c>
      <c r="I162" s="2" t="s">
        <v>5437</v>
      </c>
      <c r="J162" s="2" t="str">
        <f>VLOOKUP(E162,'[1]HRBP Tagging'!$A:$D,4,0)</f>
        <v>Sultana M</v>
      </c>
      <c r="K162" s="2" t="str">
        <f>VLOOKUP($E162,'[2]AM Client'!$A:$F,6,0)</f>
        <v>Services</v>
      </c>
      <c r="L162" s="2" t="s">
        <v>5780</v>
      </c>
      <c r="M162" t="str">
        <f>VLOOKUP(E162,'[2]AM Client'!$B:$C,2,0)</f>
        <v>Anuradha Murthy Non IT</v>
      </c>
    </row>
    <row r="163" spans="5:13">
      <c r="E163" s="2" t="s">
        <v>5861</v>
      </c>
      <c r="F163" s="2" t="s">
        <v>5780</v>
      </c>
      <c r="G163" s="153" t="s">
        <v>5780</v>
      </c>
      <c r="H163" s="2" t="s">
        <v>5780</v>
      </c>
      <c r="I163" s="2" t="s">
        <v>5437</v>
      </c>
      <c r="J163" s="2" t="str">
        <f>VLOOKUP(E163,'[1]HRBP Tagging'!$A:$D,4,0)</f>
        <v>Sultana M</v>
      </c>
      <c r="K163" s="2" t="str">
        <f>VLOOKUP($E163,'[2]AM Client'!$A:$F,6,0)</f>
        <v>Captive</v>
      </c>
      <c r="L163" s="2" t="s">
        <v>5780</v>
      </c>
      <c r="M163" t="str">
        <f>VLOOKUP(E163,'[2]AM Client'!$B:$C,2,0)</f>
        <v>Anuradha Murthy</v>
      </c>
    </row>
    <row r="164" spans="5:13">
      <c r="E164" s="23" t="s">
        <v>218</v>
      </c>
      <c r="F164" s="2" t="s">
        <v>5780</v>
      </c>
      <c r="G164" s="176" t="s">
        <v>5798</v>
      </c>
      <c r="H164" s="23" t="s">
        <v>683</v>
      </c>
      <c r="I164" s="2" t="s">
        <v>5437</v>
      </c>
      <c r="J164" s="2" t="str">
        <f>VLOOKUP(E164,'[1]HRBP Tagging'!$A:$D,4,0)</f>
        <v>Sultana M</v>
      </c>
      <c r="K164" s="2" t="str">
        <f>VLOOKUP($E164,'[2]AM Client'!$A:$F,6,0)</f>
        <v>Captive</v>
      </c>
      <c r="L164" s="2" t="s">
        <v>5780</v>
      </c>
      <c r="M164" t="str">
        <f>VLOOKUP(E164,'[2]AM Client'!$B:$C,2,0)</f>
        <v>Anuradha Murthy</v>
      </c>
    </row>
    <row r="165" spans="5:13">
      <c r="E165" s="2" t="s">
        <v>5540</v>
      </c>
      <c r="F165" s="2" t="s">
        <v>5853</v>
      </c>
      <c r="G165" s="176" t="s">
        <v>5798</v>
      </c>
      <c r="H165" s="23" t="s">
        <v>683</v>
      </c>
      <c r="I165" s="2" t="s">
        <v>5437</v>
      </c>
      <c r="J165" s="2" t="str">
        <f>VLOOKUP(E165,'[1]HRBP Tagging'!$A:$D,4,0)</f>
        <v>Sultana M</v>
      </c>
      <c r="K165" s="2" t="str">
        <f>VLOOKUP($E165,'[2]AM Client'!$A:$F,6,0)</f>
        <v>ITES</v>
      </c>
      <c r="L165" s="2" t="s">
        <v>5780</v>
      </c>
      <c r="M165" t="str">
        <f>VLOOKUP(E165,'[2]AM Client'!$B:$C,2,0)</f>
        <v>Anuradha Murthy Non IT</v>
      </c>
    </row>
    <row r="166" spans="5:13">
      <c r="E166" s="2" t="s">
        <v>203</v>
      </c>
      <c r="F166" s="2" t="s">
        <v>44</v>
      </c>
      <c r="G166" s="153" t="s">
        <v>45</v>
      </c>
      <c r="H166" s="23" t="s">
        <v>5789</v>
      </c>
      <c r="I166" s="2" t="s">
        <v>5425</v>
      </c>
      <c r="J166" s="2" t="str">
        <f>VLOOKUP(E166,'[1]HRBP Tagging'!$A:$D,4,0)</f>
        <v>Shobha Mishra</v>
      </c>
      <c r="K166" s="2" t="str">
        <f>VLOOKUP($E166,'[2]AM Client'!$A:$F,6,0)</f>
        <v>Captive</v>
      </c>
      <c r="L166" s="2" t="s">
        <v>45</v>
      </c>
      <c r="M166" t="str">
        <f>VLOOKUP(E166,'[2]AM Client'!$B:$C,2,0)</f>
        <v>Sadhna Shukla</v>
      </c>
    </row>
    <row r="167" spans="5:13">
      <c r="E167" s="2" t="s">
        <v>5614</v>
      </c>
      <c r="F167" s="2" t="s">
        <v>45</v>
      </c>
      <c r="G167" s="153" t="s">
        <v>45</v>
      </c>
      <c r="H167" s="23" t="s">
        <v>5789</v>
      </c>
      <c r="I167" s="2" t="s">
        <v>5425</v>
      </c>
      <c r="J167" s="2" t="str">
        <f>VLOOKUP(E167,'[1]HRBP Tagging'!$A:$D,4,0)</f>
        <v>Shobha Mishra</v>
      </c>
      <c r="K167" s="2" t="str">
        <f>VLOOKUP($E167,'[2]AM Client'!$A:$F,6,0)</f>
        <v>Services</v>
      </c>
      <c r="L167" s="2" t="s">
        <v>45</v>
      </c>
      <c r="M167" t="str">
        <f>VLOOKUP(E167,'[2]AM Client'!$B:$C,2,0)</f>
        <v>Mher</v>
      </c>
    </row>
    <row r="168" spans="5:13">
      <c r="E168" s="50" t="s">
        <v>5721</v>
      </c>
      <c r="F168" s="2" t="s">
        <v>5665</v>
      </c>
      <c r="G168" s="153" t="s">
        <v>5791</v>
      </c>
      <c r="H168" s="23" t="s">
        <v>5424</v>
      </c>
      <c r="I168" s="2" t="s">
        <v>5423</v>
      </c>
      <c r="J168" s="2" t="str">
        <f>VLOOKUP(E168,'[1]HRBP Tagging'!$A:$D,4,0)</f>
        <v>sara</v>
      </c>
      <c r="K168" s="2" t="str">
        <f>VLOOKUP($E168,'[2]AM Client'!$A:$F,6,0)</f>
        <v>Services</v>
      </c>
      <c r="L168" s="2" t="s">
        <v>5714</v>
      </c>
      <c r="M168" t="str">
        <f>VLOOKUP(E168,'[2]AM Client'!$B:$C,2,0)</f>
        <v>Aashis Ranjan</v>
      </c>
    </row>
    <row r="169" spans="5:13">
      <c r="E169" s="2" t="s">
        <v>5725</v>
      </c>
      <c r="F169" s="2" t="s">
        <v>5665</v>
      </c>
      <c r="G169" s="153" t="s">
        <v>5791</v>
      </c>
      <c r="H169" s="23" t="s">
        <v>5424</v>
      </c>
      <c r="I169" s="2" t="s">
        <v>5423</v>
      </c>
      <c r="J169" s="2" t="str">
        <f>VLOOKUP(E169,'[1]HRBP Tagging'!$A:$D,4,0)</f>
        <v>sara</v>
      </c>
      <c r="K169" s="2" t="str">
        <f>VLOOKUP($E169,'[2]AM Client'!$A:$F,6,0)</f>
        <v>Services</v>
      </c>
      <c r="L169" s="2" t="s">
        <v>5714</v>
      </c>
      <c r="M169" t="str">
        <f>VLOOKUP(E169,'[2]AM Client'!$B:$C,2,0)</f>
        <v>Aashis Ranjan</v>
      </c>
    </row>
    <row r="170" spans="5:13">
      <c r="E170" s="2" t="s">
        <v>5862</v>
      </c>
      <c r="F170" s="2" t="s">
        <v>5771</v>
      </c>
      <c r="G170" s="153" t="s">
        <v>5863</v>
      </c>
      <c r="H170" s="70" t="s">
        <v>5422</v>
      </c>
      <c r="I170" s="2" t="s">
        <v>5417</v>
      </c>
      <c r="J170" s="2" t="str">
        <f>VLOOKUP(E170,'[1]HRBP Tagging'!$A:$D,4,0)</f>
        <v>Sara</v>
      </c>
      <c r="K170" s="2" t="str">
        <f>VLOOKUP($E170,'[2]AM Client'!$A:$F,6,0)</f>
        <v>Services</v>
      </c>
      <c r="L170" s="2" t="s">
        <v>5418</v>
      </c>
      <c r="M170" t="str">
        <f>VLOOKUP(E170,'[2]AM Client'!$B:$C,2,0)</f>
        <v>Deepak Desai</v>
      </c>
    </row>
    <row r="171" spans="5:13">
      <c r="E171" s="2" t="s">
        <v>2077</v>
      </c>
      <c r="F171" s="2" t="s">
        <v>45</v>
      </c>
      <c r="G171" s="153" t="s">
        <v>45</v>
      </c>
      <c r="H171" s="23" t="s">
        <v>5789</v>
      </c>
      <c r="I171" s="2" t="s">
        <v>5425</v>
      </c>
      <c r="J171" s="2" t="str">
        <f>VLOOKUP(E171,'[1]HRBP Tagging'!$A:$D,4,0)</f>
        <v>Shobha Mishra</v>
      </c>
      <c r="K171" s="2" t="str">
        <f>VLOOKUP($E171,'[2]AM Client'!$A:$F,6,0)</f>
        <v>Captive</v>
      </c>
      <c r="L171" s="2" t="s">
        <v>45</v>
      </c>
      <c r="M171" t="str">
        <f>VLOOKUP(E171,'[2]AM Client'!$B:$C,2,0)</f>
        <v>Mher</v>
      </c>
    </row>
    <row r="172" spans="5:13">
      <c r="E172" s="2" t="s">
        <v>5542</v>
      </c>
      <c r="F172" s="2" t="s">
        <v>94</v>
      </c>
      <c r="G172" s="183" t="s">
        <v>5863</v>
      </c>
      <c r="H172" s="32" t="s">
        <v>2380</v>
      </c>
      <c r="I172" s="2" t="s">
        <v>5417</v>
      </c>
      <c r="J172" s="2" t="str">
        <f>VLOOKUP(E172,'[1]HRBP Tagging'!$A:$D,4,0)</f>
        <v>Sara</v>
      </c>
      <c r="K172" s="2" t="str">
        <f>VLOOKUP($E172,'[2]AM Client'!$A:$F,6,0)</f>
        <v>Services</v>
      </c>
      <c r="L172" s="2" t="s">
        <v>5418</v>
      </c>
      <c r="M172" t="str">
        <f>VLOOKUP(E172,'[2]AM Client'!$B:$C,2,0)</f>
        <v>Prathap Sagar</v>
      </c>
    </row>
    <row r="173" spans="5:13">
      <c r="E173" s="2" t="s">
        <v>5756</v>
      </c>
      <c r="F173" s="2" t="s">
        <v>44</v>
      </c>
      <c r="G173" s="153" t="s">
        <v>5803</v>
      </c>
      <c r="H173" s="23" t="s">
        <v>5492</v>
      </c>
      <c r="I173" s="2" t="s">
        <v>5425</v>
      </c>
      <c r="J173" s="2" t="str">
        <f>VLOOKUP(E173,'[1]HRBP Tagging'!$A:$D,4,0)</f>
        <v>Shobha Mishra</v>
      </c>
      <c r="K173" s="2" t="str">
        <f>VLOOKUP($E173,'[2]AM Client'!$A:$F,6,0)</f>
        <v>Captive</v>
      </c>
      <c r="L173" s="2" t="s">
        <v>44</v>
      </c>
      <c r="M173" t="str">
        <f>VLOOKUP(E173,'[2]AM Client'!$B:$C,2,0)</f>
        <v>Sadhna Shukla</v>
      </c>
    </row>
    <row r="174" spans="5:13">
      <c r="E174" s="2" t="s">
        <v>5752</v>
      </c>
      <c r="F174" s="2" t="s">
        <v>94</v>
      </c>
      <c r="G174" s="183" t="s">
        <v>5863</v>
      </c>
      <c r="H174" s="23" t="s">
        <v>2380</v>
      </c>
      <c r="I174" s="2" t="s">
        <v>5417</v>
      </c>
      <c r="J174" s="2" t="str">
        <f>VLOOKUP(E174,'[1]HRBP Tagging'!$A:$D,4,0)</f>
        <v>Sara</v>
      </c>
      <c r="K174" s="2" t="str">
        <f>VLOOKUP($E174,'[2]AM Client'!$A:$F,6,0)</f>
        <v>Services</v>
      </c>
      <c r="L174" s="2" t="s">
        <v>5418</v>
      </c>
      <c r="M174" t="str">
        <f>VLOOKUP(E174,'[2]AM Client'!$B:$C,2,0)</f>
        <v>Prathap Sagar</v>
      </c>
    </row>
    <row r="175" spans="5:13">
      <c r="E175" s="21" t="s">
        <v>5510</v>
      </c>
      <c r="F175" s="2" t="s">
        <v>5780</v>
      </c>
      <c r="G175" s="153" t="s">
        <v>5780</v>
      </c>
      <c r="H175" s="70" t="s">
        <v>5454</v>
      </c>
      <c r="I175" s="2" t="s">
        <v>5420</v>
      </c>
      <c r="J175" s="2" t="str">
        <f>VLOOKUP(E175,'[1]HRBP Tagging'!$A:$D,4,0)</f>
        <v>Sultana M</v>
      </c>
      <c r="K175" s="2" t="str">
        <f>VLOOKUP($E175,'[2]AM Client'!$A:$F,6,0)</f>
        <v>Services</v>
      </c>
      <c r="L175" s="2" t="s">
        <v>5771</v>
      </c>
      <c r="M175" t="str">
        <f>VLOOKUP(E175,'[2]AM Client'!$B:$C,2,0)</f>
        <v>Anuradha Murthy</v>
      </c>
    </row>
    <row r="176" spans="5:13">
      <c r="E176" s="23" t="s">
        <v>5567</v>
      </c>
      <c r="F176" s="2" t="s">
        <v>5780</v>
      </c>
      <c r="G176" s="153" t="s">
        <v>392</v>
      </c>
      <c r="H176" s="2"/>
      <c r="I176" s="2" t="s">
        <v>5437</v>
      </c>
      <c r="J176" s="2" t="str">
        <f>VLOOKUP(E176,'[1]HRBP Tagging'!$A:$D,4,0)</f>
        <v>Sara</v>
      </c>
      <c r="K176" s="2" t="str">
        <f>VLOOKUP($E176,'[2]AM Client'!$A:$F,6,0)</f>
        <v>Services</v>
      </c>
      <c r="L176" s="2" t="s">
        <v>5780</v>
      </c>
      <c r="M176" t="str">
        <f>VLOOKUP(E176,'[2]AM Client'!$B:$C,2,0)</f>
        <v>Anuradha Murthy</v>
      </c>
    </row>
    <row r="177" spans="4:13">
      <c r="E177" s="21" t="s">
        <v>4037</v>
      </c>
      <c r="F177" s="2" t="s">
        <v>5771</v>
      </c>
      <c r="G177" s="183" t="s">
        <v>5863</v>
      </c>
      <c r="H177" s="32"/>
      <c r="I177" s="2" t="s">
        <v>5417</v>
      </c>
      <c r="J177" s="2" t="str">
        <f>VLOOKUP(E177,'[1]HRBP Tagging'!$A:$D,4,0)</f>
        <v>Sara</v>
      </c>
      <c r="K177" s="2" t="str">
        <f>VLOOKUP($E177,'[2]AM Client'!$A:$F,6,0)</f>
        <v>Services</v>
      </c>
      <c r="L177" s="2" t="s">
        <v>5418</v>
      </c>
      <c r="M177" t="str">
        <f>VLOOKUP(E177,'[2]AM Client'!$B:$C,2,0)</f>
        <v>Deepak Desai</v>
      </c>
    </row>
    <row r="178" spans="4:13">
      <c r="E178" s="2" t="s">
        <v>5864</v>
      </c>
      <c r="F178" s="2" t="s">
        <v>5771</v>
      </c>
      <c r="G178" s="183" t="s">
        <v>5863</v>
      </c>
      <c r="H178" s="70" t="s">
        <v>1983</v>
      </c>
      <c r="I178" s="2" t="s">
        <v>5417</v>
      </c>
      <c r="J178" s="2" t="str">
        <f>VLOOKUP(E178,'[1]HRBP Tagging'!$A:$D,4,0)</f>
        <v>Sara</v>
      </c>
      <c r="K178" s="2" t="str">
        <f>VLOOKUP($E178,'[2]AM Client'!$A:$F,6,0)</f>
        <v>Services</v>
      </c>
      <c r="L178" s="2" t="s">
        <v>5418</v>
      </c>
      <c r="M178" t="str">
        <f>VLOOKUP(E178,'[2]AM Client'!$B:$C,2,0)</f>
        <v>Deepak Desai</v>
      </c>
    </row>
    <row r="179" spans="4:13">
      <c r="E179" s="2" t="s">
        <v>5865</v>
      </c>
      <c r="F179" s="2" t="s">
        <v>5771</v>
      </c>
      <c r="G179" s="183" t="s">
        <v>5863</v>
      </c>
      <c r="H179" s="2"/>
      <c r="I179" s="2" t="s">
        <v>5417</v>
      </c>
      <c r="J179" s="2" t="str">
        <f>VLOOKUP(E179,'[1]HRBP Tagging'!$A:$D,4,0)</f>
        <v>Sara</v>
      </c>
      <c r="K179" s="2" t="str">
        <f>VLOOKUP($E179,'[2]AM Client'!$A:$F,6,0)</f>
        <v>Services</v>
      </c>
      <c r="L179" s="2" t="s">
        <v>5418</v>
      </c>
      <c r="M179" t="str">
        <f>VLOOKUP(E179,'[2]AM Client'!$B:$C,2,0)</f>
        <v>Deepak Desai</v>
      </c>
    </row>
    <row r="180" spans="4:13">
      <c r="E180" s="23" t="s">
        <v>5866</v>
      </c>
      <c r="F180" s="2" t="s">
        <v>5780</v>
      </c>
      <c r="G180" s="153" t="s">
        <v>5780</v>
      </c>
      <c r="H180" s="2"/>
      <c r="I180" s="2" t="s">
        <v>5437</v>
      </c>
      <c r="J180" s="2" t="str">
        <f>VLOOKUP(E180,'[1]HRBP Tagging'!$A:$D,4,0)</f>
        <v>Sultana M</v>
      </c>
      <c r="K180" s="2" t="s">
        <v>5867</v>
      </c>
      <c r="L180" s="2" t="s">
        <v>5780</v>
      </c>
      <c r="M180" t="str">
        <f>VLOOKUP(E180,'[2]AM Client'!$B:$C,2,0)</f>
        <v>Anuradha Murthy</v>
      </c>
    </row>
    <row r="181" spans="4:13">
      <c r="E181" s="2" t="s">
        <v>5716</v>
      </c>
      <c r="F181" s="2" t="s">
        <v>5665</v>
      </c>
      <c r="G181" s="153" t="s">
        <v>5791</v>
      </c>
      <c r="H181" s="23" t="s">
        <v>5424</v>
      </c>
      <c r="I181" s="2" t="s">
        <v>5423</v>
      </c>
      <c r="J181" s="2" t="str">
        <f>VLOOKUP(E181,'[1]HRBP Tagging'!$A:$D,4,0)</f>
        <v>sara</v>
      </c>
      <c r="K181" s="2" t="str">
        <f>VLOOKUP($E181,'[2]AM Client'!$A:$F,6,0)</f>
        <v>Services</v>
      </c>
      <c r="L181" s="2" t="s">
        <v>5714</v>
      </c>
      <c r="M181" t="str">
        <f>VLOOKUP(E181,'[2]AM Client'!$B:$C,2,0)</f>
        <v>Aashis Ranjan</v>
      </c>
    </row>
    <row r="182" spans="4:13">
      <c r="E182" s="50" t="s">
        <v>5720</v>
      </c>
      <c r="F182" s="2" t="s">
        <v>5665</v>
      </c>
      <c r="G182" s="153" t="s">
        <v>5791</v>
      </c>
      <c r="H182" s="23" t="s">
        <v>5424</v>
      </c>
      <c r="I182" s="2" t="s">
        <v>5423</v>
      </c>
      <c r="J182" s="2" t="str">
        <f>VLOOKUP(E182,'[1]HRBP Tagging'!$A:$D,4,0)</f>
        <v>sara</v>
      </c>
      <c r="K182" s="2" t="str">
        <f>VLOOKUP($E182,'[2]AM Client'!$A:$F,6,0)</f>
        <v>Captive</v>
      </c>
      <c r="L182" s="2" t="s">
        <v>5714</v>
      </c>
      <c r="M182" t="str">
        <f>VLOOKUP(E182,'[2]AM Client'!$B:$C,2,0)</f>
        <v>Aashis Ranjan</v>
      </c>
    </row>
    <row r="183" spans="4:13">
      <c r="E183" s="19" t="s">
        <v>884</v>
      </c>
      <c r="F183" s="2" t="s">
        <v>44</v>
      </c>
      <c r="G183" s="153" t="s">
        <v>5784</v>
      </c>
      <c r="H183" s="70" t="s">
        <v>1983</v>
      </c>
      <c r="I183" s="2" t="s">
        <v>5425</v>
      </c>
      <c r="J183" s="2" t="str">
        <f>VLOOKUP(E183,'[1]HRBP Tagging'!$A:$D,4,0)</f>
        <v>Shobha Mishra</v>
      </c>
      <c r="K183" s="2" t="str">
        <f>VLOOKUP($E183,'[2]AM Client'!$A:$F,6,0)</f>
        <v>SOW Captive</v>
      </c>
      <c r="L183" s="2" t="s">
        <v>44</v>
      </c>
      <c r="M183" t="str">
        <f>VLOOKUP(E183,'[2]AM Client'!$B:$C,2,0)</f>
        <v>Sadhna Shukla</v>
      </c>
    </row>
    <row r="184" spans="4:13">
      <c r="E184" s="2" t="s">
        <v>5534</v>
      </c>
      <c r="F184" s="2" t="s">
        <v>5771</v>
      </c>
      <c r="G184" s="183" t="s">
        <v>5863</v>
      </c>
      <c r="H184" s="23" t="s">
        <v>5491</v>
      </c>
      <c r="I184" s="2" t="s">
        <v>5417</v>
      </c>
      <c r="J184" s="2" t="str">
        <f>VLOOKUP(E184,'[1]HRBP Tagging'!$A:$D,4,0)</f>
        <v>Sara</v>
      </c>
      <c r="K184" s="2" t="str">
        <f>VLOOKUP($E184,'[2]AM Client'!$A:$F,6,0)</f>
        <v>Services</v>
      </c>
      <c r="L184" s="2" t="s">
        <v>5418</v>
      </c>
      <c r="M184" t="str">
        <f>VLOOKUP(E184,'[2]AM Client'!$B:$C,2,0)</f>
        <v>Deepak Desai</v>
      </c>
    </row>
    <row r="185" spans="4:13">
      <c r="E185" s="2" t="s">
        <v>4196</v>
      </c>
      <c r="F185" s="2" t="s">
        <v>45</v>
      </c>
      <c r="G185" s="153" t="s">
        <v>45</v>
      </c>
      <c r="H185" s="23" t="s">
        <v>5789</v>
      </c>
      <c r="I185" s="2" t="s">
        <v>5425</v>
      </c>
      <c r="J185" s="2" t="str">
        <f>VLOOKUP(E185,'[1]HRBP Tagging'!$A:$D,4,0)</f>
        <v>Shobha Mishra</v>
      </c>
      <c r="K185" s="2" t="str">
        <f>VLOOKUP($E185,'[2]AM Client'!$A:$F,6,0)</f>
        <v>Captive</v>
      </c>
      <c r="L185" s="2" t="s">
        <v>45</v>
      </c>
      <c r="M185" t="str">
        <f>VLOOKUP(E185,'[2]AM Client'!$B:$C,2,0)</f>
        <v>Mher</v>
      </c>
    </row>
    <row r="186" spans="4:13">
      <c r="E186" s="2" t="s">
        <v>144</v>
      </c>
      <c r="F186" s="2" t="s">
        <v>5853</v>
      </c>
      <c r="G186" s="153" t="s">
        <v>5780</v>
      </c>
      <c r="H186" s="70" t="s">
        <v>28</v>
      </c>
      <c r="I186" s="2" t="s">
        <v>5437</v>
      </c>
      <c r="J186" s="2" t="str">
        <f>VLOOKUP(E186,'[1]HRBP Tagging'!$A:$D,4,0)</f>
        <v>Sultana M</v>
      </c>
      <c r="K186" s="2" t="s">
        <v>5781</v>
      </c>
      <c r="L186" s="2" t="s">
        <v>5780</v>
      </c>
      <c r="M186" t="str">
        <f>VLOOKUP(E186,'[2]AM Client'!$B:$C,2,0)</f>
        <v>Anuradha Murthy Non IT</v>
      </c>
    </row>
    <row r="187" spans="4:13">
      <c r="E187" s="21" t="s">
        <v>834</v>
      </c>
      <c r="F187" s="2" t="s">
        <v>5780</v>
      </c>
      <c r="G187" s="153" t="s">
        <v>5780</v>
      </c>
      <c r="H187" s="70"/>
      <c r="I187" s="2" t="s">
        <v>5437</v>
      </c>
      <c r="J187" s="2" t="str">
        <f>VLOOKUP(E187,'[1]HRBP Tagging'!$A:$D,4,0)</f>
        <v>Sultana M</v>
      </c>
      <c r="K187" s="2" t="str">
        <f>VLOOKUP($E187,'[2]AM Client'!$A:$F,6,0)</f>
        <v>Captive</v>
      </c>
      <c r="L187" s="2" t="s">
        <v>5780</v>
      </c>
      <c r="M187" t="str">
        <f>VLOOKUP(E187,'[2]AM Client'!$B:$C,2,0)</f>
        <v>Anuradha Murthy</v>
      </c>
    </row>
    <row r="188" spans="4:13">
      <c r="E188" s="21" t="s">
        <v>4630</v>
      </c>
      <c r="F188" s="2" t="s">
        <v>5780</v>
      </c>
      <c r="G188" s="153" t="s">
        <v>5780</v>
      </c>
      <c r="H188" s="70" t="s">
        <v>28</v>
      </c>
      <c r="I188" s="2" t="s">
        <v>5437</v>
      </c>
      <c r="J188" s="2" t="str">
        <f>VLOOKUP(E188,'[1]HRBP Tagging'!$A:$D,4,0)</f>
        <v>Sultana M</v>
      </c>
      <c r="K188" s="2" t="str">
        <f>VLOOKUP($E188,'[2]AM Client'!$A:$F,6,0)</f>
        <v>Captive</v>
      </c>
      <c r="L188" s="2" t="s">
        <v>5780</v>
      </c>
      <c r="M188" t="str">
        <f>VLOOKUP(E188,'[2]AM Client'!$B:$C,2,0)</f>
        <v>Anuradha Murthy</v>
      </c>
    </row>
    <row r="189" spans="4:13">
      <c r="D189" s="135"/>
      <c r="E189" s="155" t="s">
        <v>5868</v>
      </c>
      <c r="F189" s="2" t="s">
        <v>94</v>
      </c>
      <c r="G189" s="183" t="s">
        <v>5863</v>
      </c>
      <c r="H189" s="2" t="s">
        <v>2380</v>
      </c>
      <c r="I189" s="2" t="s">
        <v>5417</v>
      </c>
      <c r="J189" s="2" t="e">
        <f>VLOOKUP(E189,'[1]HRBP Tagging'!$A:$D,4,0)</f>
        <v>#N/A</v>
      </c>
      <c r="K189" s="2" t="str">
        <f>VLOOKUP($E189,'[2]AM Client'!$A:$F,6,0)</f>
        <v>Services</v>
      </c>
      <c r="L189" s="2" t="s">
        <v>5418</v>
      </c>
      <c r="M189" t="str">
        <f>VLOOKUP(E189,'[2]AM Client'!$B:$C,2,0)</f>
        <v>Prathap Sagar</v>
      </c>
    </row>
    <row r="190" spans="4:13">
      <c r="E190" s="2" t="s">
        <v>714</v>
      </c>
      <c r="F190" s="2" t="s">
        <v>45</v>
      </c>
      <c r="G190" s="166" t="s">
        <v>5869</v>
      </c>
      <c r="H190" s="23" t="s">
        <v>5789</v>
      </c>
      <c r="I190" s="2" t="s">
        <v>5425</v>
      </c>
      <c r="J190" s="2" t="str">
        <f>VLOOKUP(E190,'[1]HRBP Tagging'!$A:$D,4,0)</f>
        <v>Shobha Mishra</v>
      </c>
      <c r="K190" s="2" t="str">
        <f>VLOOKUP($E190,'[2]AM Client'!$A:$F,6,0)</f>
        <v>SOW Captive</v>
      </c>
      <c r="L190" s="2" t="s">
        <v>45</v>
      </c>
      <c r="M190" t="str">
        <f>VLOOKUP(E190,'[2]AM Client'!$B:$C,2,0)</f>
        <v>Mher</v>
      </c>
    </row>
    <row r="191" spans="4:13">
      <c r="E191" s="114" t="s">
        <v>5723</v>
      </c>
      <c r="F191" s="114" t="s">
        <v>5665</v>
      </c>
      <c r="G191" s="137" t="s">
        <v>5434</v>
      </c>
      <c r="H191" s="138" t="e">
        <v>#N/A</v>
      </c>
      <c r="I191" s="2" t="s">
        <v>5423</v>
      </c>
      <c r="J191" s="2" t="str">
        <f>VLOOKUP(E191,'[1]HRBP Tagging'!$A:$D,4,0)</f>
        <v>sara</v>
      </c>
      <c r="K191" s="137" t="s">
        <v>5781</v>
      </c>
      <c r="L191" s="2" t="s">
        <v>5714</v>
      </c>
      <c r="M191" t="str">
        <f>VLOOKUP(E191,'[2]AM Client'!$B:$C,2,0)</f>
        <v>Aashis Ranjan</v>
      </c>
    </row>
    <row r="192" spans="4:13">
      <c r="E192" s="114" t="s">
        <v>5870</v>
      </c>
      <c r="F192" s="114" t="s">
        <v>44</v>
      </c>
      <c r="G192" s="153" t="s">
        <v>5784</v>
      </c>
      <c r="H192" s="140" t="s">
        <v>5789</v>
      </c>
      <c r="I192" s="136" t="s">
        <v>5425</v>
      </c>
      <c r="J192" s="2" t="str">
        <f>VLOOKUP(E192,'[1]HRBP Tagging'!$A:$D,4,0)</f>
        <v>Shobha Mishra</v>
      </c>
      <c r="K192" s="136" t="s">
        <v>5781</v>
      </c>
      <c r="L192" s="136" t="s">
        <v>44</v>
      </c>
      <c r="M192" t="str">
        <f>VLOOKUP(E192,'[2]AM Client'!$B:$C,2,0)</f>
        <v>Sadhna Shukla</v>
      </c>
    </row>
    <row r="193" spans="3:13">
      <c r="C193" t="s">
        <v>27</v>
      </c>
      <c r="E193" s="2" t="s">
        <v>5871</v>
      </c>
      <c r="F193" s="114" t="s">
        <v>5771</v>
      </c>
      <c r="G193" s="171" t="s">
        <v>118</v>
      </c>
      <c r="H193" s="171" t="s">
        <v>118</v>
      </c>
      <c r="I193" s="2" t="s">
        <v>5417</v>
      </c>
      <c r="J193" s="2" t="str">
        <f>VLOOKUP(E193,'[1]HRBP Tagging'!$A:$D,4,0)</f>
        <v>Sara</v>
      </c>
      <c r="K193" s="167" t="str">
        <f>VLOOKUP($E193,'[2]AM Client'!$A:$F,6,0)</f>
        <v>Services</v>
      </c>
      <c r="L193" s="2" t="s">
        <v>5418</v>
      </c>
      <c r="M193" t="str">
        <f>VLOOKUP(E193,'[2]AM Client'!$B:$C,2,0)</f>
        <v>deepak Desai</v>
      </c>
    </row>
    <row r="194" spans="3:13">
      <c r="E194" s="114" t="s">
        <v>5565</v>
      </c>
      <c r="F194" s="114" t="s">
        <v>44</v>
      </c>
      <c r="G194" s="153" t="s">
        <v>5784</v>
      </c>
      <c r="H194" s="140" t="s">
        <v>1983</v>
      </c>
      <c r="I194" s="136" t="s">
        <v>5425</v>
      </c>
      <c r="J194" s="2" t="str">
        <f>VLOOKUP(E194,'[1]HRBP Tagging'!$A:$D,4,0)</f>
        <v>Shobha Mishra</v>
      </c>
      <c r="K194" s="136" t="s">
        <v>5781</v>
      </c>
      <c r="L194" s="136" t="s">
        <v>5872</v>
      </c>
      <c r="M194" t="str">
        <f>VLOOKUP(E194,'[2]AM Client'!$B:$C,2,0)</f>
        <v>Sadhna Shukla</v>
      </c>
    </row>
    <row r="195" spans="3:13">
      <c r="E195" s="114" t="s">
        <v>851</v>
      </c>
      <c r="F195" s="2" t="s">
        <v>5780</v>
      </c>
      <c r="G195" s="176" t="s">
        <v>5798</v>
      </c>
      <c r="H195" s="136" t="s">
        <v>5488</v>
      </c>
      <c r="I195" s="2" t="s">
        <v>5417</v>
      </c>
      <c r="J195" s="2" t="str">
        <f>VLOOKUP(E195,'[1]HRBP Tagging'!$A:$D,4,0)</f>
        <v>Sultana M</v>
      </c>
      <c r="K195" s="136" t="s">
        <v>5781</v>
      </c>
      <c r="L195" s="136" t="s">
        <v>5418</v>
      </c>
      <c r="M195" t="str">
        <f>VLOOKUP(E195,'[2]AM Client'!$B:$C,2,0)</f>
        <v>Anuradha Murthy</v>
      </c>
    </row>
    <row r="196" spans="3:13">
      <c r="E196" s="114" t="s">
        <v>5873</v>
      </c>
      <c r="F196" s="2" t="s">
        <v>5780</v>
      </c>
      <c r="G196" s="153" t="s">
        <v>5780</v>
      </c>
      <c r="H196" s="136" t="s">
        <v>5874</v>
      </c>
      <c r="I196" s="136" t="s">
        <v>5437</v>
      </c>
      <c r="J196" s="2" t="str">
        <f>VLOOKUP(E196,'[1]HRBP Tagging'!$A:$D,4,0)</f>
        <v>Sultana M</v>
      </c>
      <c r="K196" s="136" t="s">
        <v>5802</v>
      </c>
      <c r="L196" s="2" t="s">
        <v>5780</v>
      </c>
      <c r="M196" t="str">
        <f>VLOOKUP(E196,'[2]AM Client'!$B:$C,2,0)</f>
        <v>Anuradha Murthy</v>
      </c>
    </row>
    <row r="197" spans="3:13">
      <c r="C197" s="169"/>
      <c r="E197" s="21" t="s">
        <v>121</v>
      </c>
      <c r="F197" s="114" t="s">
        <v>5771</v>
      </c>
      <c r="G197" s="167" t="s">
        <v>118</v>
      </c>
      <c r="H197" s="173" t="s">
        <v>118</v>
      </c>
      <c r="I197" s="2" t="s">
        <v>5414</v>
      </c>
      <c r="J197" s="2" t="str">
        <f>VLOOKUP(E197,'[1]HRBP Tagging'!$A:$D,4,0)</f>
        <v>sara</v>
      </c>
      <c r="K197" s="167" t="str">
        <f>VLOOKUP($E197,'[2]AM Client'!$A:$F,6,0)</f>
        <v>Services</v>
      </c>
      <c r="L197" s="2" t="s">
        <v>5773</v>
      </c>
      <c r="M197" t="str">
        <f>VLOOKUP(E197,'[2]AM Client'!$B:$C,2,0)</f>
        <v>Deepak Desai</v>
      </c>
    </row>
    <row r="198" spans="3:13">
      <c r="E198" s="114" t="s">
        <v>5526</v>
      </c>
      <c r="F198" s="2" t="s">
        <v>5780</v>
      </c>
      <c r="G198" s="177" t="s">
        <v>5813</v>
      </c>
      <c r="H198" s="2" t="s">
        <v>5780</v>
      </c>
      <c r="I198" s="136" t="s">
        <v>5437</v>
      </c>
      <c r="J198" s="2" t="str">
        <f>VLOOKUP(E198,'[1]HRBP Tagging'!$A:$D,4,0)</f>
        <v>Meenu Amit Kumar</v>
      </c>
      <c r="K198" s="136" t="s">
        <v>5875</v>
      </c>
      <c r="L198" s="2" t="s">
        <v>5780</v>
      </c>
      <c r="M198" t="str">
        <f>VLOOKUP(E198,'[2]AM Client'!$B:$C,2,0)</f>
        <v>Sadhna Shukla</v>
      </c>
    </row>
    <row r="199" spans="3:13">
      <c r="E199" s="21" t="s">
        <v>5696</v>
      </c>
      <c r="F199" s="114" t="s">
        <v>5771</v>
      </c>
      <c r="G199" s="167" t="s">
        <v>118</v>
      </c>
      <c r="H199" s="173" t="s">
        <v>118</v>
      </c>
      <c r="I199" s="2" t="s">
        <v>5414</v>
      </c>
      <c r="J199" s="2" t="str">
        <f>VLOOKUP(E199,'[1]HRBP Tagging'!$A:$D,4,0)</f>
        <v>sara</v>
      </c>
      <c r="K199" s="167" t="str">
        <f>VLOOKUP($E199,'[2]AM Client'!$A:$F,6,0)</f>
        <v>Services</v>
      </c>
      <c r="L199" s="167" t="s">
        <v>5773</v>
      </c>
      <c r="M199" t="str">
        <f>VLOOKUP(E199,'[2]AM Client'!$B:$C,2,0)</f>
        <v>Deepak Desai</v>
      </c>
    </row>
    <row r="200" spans="3:13">
      <c r="E200" s="114" t="s">
        <v>5876</v>
      </c>
      <c r="F200" s="114" t="s">
        <v>5771</v>
      </c>
      <c r="G200" s="136" t="s">
        <v>118</v>
      </c>
      <c r="H200" s="136" t="s">
        <v>118</v>
      </c>
      <c r="I200" s="136" t="s">
        <v>5414</v>
      </c>
      <c r="J200" s="2" t="str">
        <f>VLOOKUP(E200,'[1]HRBP Tagging'!$A:$D,4,0)</f>
        <v>sara</v>
      </c>
      <c r="K200" s="136" t="s">
        <v>5802</v>
      </c>
      <c r="L200" s="2" t="s">
        <v>5773</v>
      </c>
      <c r="M200" t="str">
        <f>VLOOKUP(E200,'[2]AM Client'!$B:$C,2,0)</f>
        <v>Deepak Desai</v>
      </c>
    </row>
    <row r="201" spans="3:13">
      <c r="E201" s="2" t="s">
        <v>5514</v>
      </c>
      <c r="F201" s="114" t="s">
        <v>5771</v>
      </c>
      <c r="G201" s="167" t="s">
        <v>118</v>
      </c>
      <c r="H201" s="171" t="s">
        <v>118</v>
      </c>
      <c r="I201" s="2" t="s">
        <v>5414</v>
      </c>
      <c r="J201" s="2" t="str">
        <f>VLOOKUP(E201,'[1]HRBP Tagging'!$A:$D,4,0)</f>
        <v>sara</v>
      </c>
      <c r="K201" s="167" t="str">
        <f>VLOOKUP($E201,'[2]AM Client'!$A:$F,6,0)</f>
        <v>Services</v>
      </c>
      <c r="L201" s="167" t="s">
        <v>5773</v>
      </c>
      <c r="M201" t="str">
        <f>VLOOKUP(E201,'[2]AM Client'!$B:$C,2,0)</f>
        <v>Deepak Desai</v>
      </c>
    </row>
    <row r="202" spans="3:13">
      <c r="E202" s="114" t="s">
        <v>5713</v>
      </c>
      <c r="F202" s="2" t="s">
        <v>5665</v>
      </c>
      <c r="G202" s="153" t="s">
        <v>5791</v>
      </c>
      <c r="H202" s="136" t="e">
        <v>#N/A</v>
      </c>
      <c r="I202" s="136" t="s">
        <v>5423</v>
      </c>
      <c r="J202" s="2" t="str">
        <f>VLOOKUP(E202,'[1]HRBP Tagging'!$A:$D,4,0)</f>
        <v>sara</v>
      </c>
      <c r="K202" s="136" t="s">
        <v>5781</v>
      </c>
      <c r="L202" s="136" t="s">
        <v>5714</v>
      </c>
      <c r="M202" t="str">
        <f>VLOOKUP(E202,'[2]AM Client'!$B:$C,2,0)</f>
        <v>Aashis Ranjan</v>
      </c>
    </row>
    <row r="203" spans="3:13">
      <c r="E203" s="114" t="s">
        <v>5715</v>
      </c>
      <c r="F203" s="2" t="s">
        <v>5665</v>
      </c>
      <c r="G203" s="153" t="s">
        <v>5791</v>
      </c>
      <c r="H203" s="136" t="e">
        <v>#N/A</v>
      </c>
      <c r="I203" s="136" t="s">
        <v>5423</v>
      </c>
      <c r="J203" s="2" t="str">
        <f>VLOOKUP(E203,'[1]HRBP Tagging'!$A:$D,4,0)</f>
        <v>sara</v>
      </c>
      <c r="K203" s="136" t="s">
        <v>5781</v>
      </c>
      <c r="L203" s="136" t="s">
        <v>5714</v>
      </c>
      <c r="M203" t="str">
        <f>VLOOKUP(E203,'[2]AM Client'!$B:$C,2,0)</f>
        <v>Aashis Ranjan</v>
      </c>
    </row>
    <row r="204" spans="3:13">
      <c r="E204" s="114" t="s">
        <v>5559</v>
      </c>
      <c r="F204" s="114" t="s">
        <v>44</v>
      </c>
      <c r="G204" s="153" t="s">
        <v>5803</v>
      </c>
      <c r="H204" s="136" t="s">
        <v>5789</v>
      </c>
      <c r="I204" s="136" t="s">
        <v>5425</v>
      </c>
      <c r="J204" s="2" t="str">
        <f>VLOOKUP(E204,'[1]HRBP Tagging'!$A:$D,4,0)</f>
        <v>Meenu Amit Kumar</v>
      </c>
      <c r="K204" s="136" t="s">
        <v>5781</v>
      </c>
      <c r="L204" s="136" t="s">
        <v>44</v>
      </c>
      <c r="M204" t="str">
        <f>VLOOKUP(E204,'[2]AM Client'!$B:$C,2,0)</f>
        <v>Sadhna Shukla</v>
      </c>
    </row>
    <row r="205" spans="3:13">
      <c r="E205" s="114" t="s">
        <v>4643</v>
      </c>
      <c r="F205" s="114" t="s">
        <v>44</v>
      </c>
      <c r="G205" s="153" t="s">
        <v>5803</v>
      </c>
      <c r="H205" s="136" t="s">
        <v>1983</v>
      </c>
      <c r="I205" s="136" t="s">
        <v>5425</v>
      </c>
      <c r="J205" s="2" t="str">
        <f>VLOOKUP(E205,'[1]HRBP Tagging'!$A:$D,4,0)</f>
        <v>Meenu Amit Kumar</v>
      </c>
      <c r="K205" s="136" t="s">
        <v>5875</v>
      </c>
      <c r="L205" s="136" t="s">
        <v>44</v>
      </c>
      <c r="M205" t="str">
        <f>VLOOKUP(E205,'[2]AM Client'!$B:$C,2,0)</f>
        <v>Sadhna Shukla</v>
      </c>
    </row>
    <row r="206" spans="3:13">
      <c r="E206" s="114" t="s">
        <v>5877</v>
      </c>
      <c r="F206" s="2" t="s">
        <v>5780</v>
      </c>
      <c r="G206" s="176" t="s">
        <v>5798</v>
      </c>
      <c r="H206" s="2" t="s">
        <v>5780</v>
      </c>
      <c r="I206" s="136" t="s">
        <v>5437</v>
      </c>
      <c r="J206" s="2" t="str">
        <f>VLOOKUP(E206,'[1]HRBP Tagging'!$A:$D,4,0)</f>
        <v>Sultana M</v>
      </c>
      <c r="K206" s="136" t="s">
        <v>5802</v>
      </c>
      <c r="L206" s="2" t="s">
        <v>5780</v>
      </c>
      <c r="M206" t="str">
        <f>VLOOKUP(E206,'[2]AM Client'!$B:$C,2,0)</f>
        <v>Anuradha Murthy</v>
      </c>
    </row>
    <row r="207" spans="3:13">
      <c r="E207" s="21" t="s">
        <v>3381</v>
      </c>
      <c r="F207" s="2" t="s">
        <v>5771</v>
      </c>
      <c r="G207" s="153" t="s">
        <v>118</v>
      </c>
      <c r="H207" s="173" t="s">
        <v>5832</v>
      </c>
      <c r="I207" s="167" t="s">
        <v>5417</v>
      </c>
      <c r="J207" s="2" t="str">
        <f>VLOOKUP(E207,'[1]HRBP Tagging'!$A:$D,4,0)</f>
        <v>Sara</v>
      </c>
      <c r="K207" s="167" t="str">
        <f>VLOOKUP($E207,'[2]AM Client'!$A:$F,6,0)</f>
        <v>Services</v>
      </c>
      <c r="L207" s="2" t="s">
        <v>5418</v>
      </c>
      <c r="M207" t="str">
        <f>VLOOKUP(E207,'[2]AM Client'!$B:$C,2,0)</f>
        <v>Deepak Desai</v>
      </c>
    </row>
    <row r="208" spans="3:13">
      <c r="E208" s="114" t="s">
        <v>5762</v>
      </c>
      <c r="F208" s="114" t="s">
        <v>44</v>
      </c>
      <c r="G208" s="181" t="s">
        <v>5803</v>
      </c>
      <c r="H208" s="136" t="s">
        <v>1983</v>
      </c>
      <c r="I208" s="136" t="s">
        <v>5425</v>
      </c>
      <c r="J208" s="2" t="str">
        <f>VLOOKUP(E208,'[1]HRBP Tagging'!$A:$D,4,0)</f>
        <v>Shobha Mishra</v>
      </c>
      <c r="K208" s="136" t="s">
        <v>5878</v>
      </c>
      <c r="L208" s="136" t="s">
        <v>44</v>
      </c>
      <c r="M208" t="str">
        <f>VLOOKUP(E208,'[2]AM Client'!$B:$C,2,0)</f>
        <v>Sadhna Shukla</v>
      </c>
    </row>
    <row r="209" spans="3:13">
      <c r="E209" s="114" t="s">
        <v>75</v>
      </c>
      <c r="F209" s="2" t="s">
        <v>5778</v>
      </c>
      <c r="G209" s="137" t="s">
        <v>160</v>
      </c>
      <c r="H209" s="136" t="s">
        <v>160</v>
      </c>
      <c r="I209" s="2" t="s">
        <v>5430</v>
      </c>
      <c r="J209" s="2" t="str">
        <f>VLOOKUP(E209,'[1]HRBP Tagging'!$A:$D,4,0)</f>
        <v>Sree Swetha</v>
      </c>
      <c r="K209" s="136" t="s">
        <v>5781</v>
      </c>
      <c r="L209" s="2" t="s">
        <v>5773</v>
      </c>
      <c r="M209" t="str">
        <f>VLOOKUP(E209,'[2]AM Client'!$B:$C,2,0)</f>
        <v>Jawad Ulla Khan Non IT</v>
      </c>
    </row>
    <row r="210" spans="3:13">
      <c r="E210" s="2" t="s">
        <v>5602</v>
      </c>
      <c r="F210" s="2" t="s">
        <v>5778</v>
      </c>
      <c r="G210" s="153" t="s">
        <v>27</v>
      </c>
      <c r="H210" s="165" t="s">
        <v>160</v>
      </c>
      <c r="I210" s="2" t="s">
        <v>5430</v>
      </c>
      <c r="J210" s="2" t="str">
        <f>VLOOKUP(E210,'[1]HRBP Tagging'!$A:$D,4,0)</f>
        <v>Sree Swetha</v>
      </c>
      <c r="K210" s="2" t="str">
        <f>VLOOKUP($E210,'[2]AM Client'!$A:$F,6,0)</f>
        <v>ITES</v>
      </c>
      <c r="L210" s="2" t="s">
        <v>5773</v>
      </c>
      <c r="M210" t="str">
        <f>VLOOKUP(E210,'[2]AM Client'!$B:$C,2,0)</f>
        <v>Jawad Ulla Khan Non IT</v>
      </c>
    </row>
    <row r="211" spans="3:13">
      <c r="E211" s="2" t="s">
        <v>5601</v>
      </c>
      <c r="F211" s="2" t="s">
        <v>5778</v>
      </c>
      <c r="G211" s="153" t="s">
        <v>27</v>
      </c>
      <c r="H211" s="165" t="s">
        <v>160</v>
      </c>
      <c r="I211" s="2" t="s">
        <v>5430</v>
      </c>
      <c r="J211" s="2" t="str">
        <f>VLOOKUP(E211,'[1]HRBP Tagging'!$A:$D,4,0)</f>
        <v>Sree Swetha</v>
      </c>
      <c r="K211" s="2" t="str">
        <f>VLOOKUP($E211,'[2]AM Client'!$A:$F,6,0)</f>
        <v>ITES</v>
      </c>
      <c r="L211" s="2" t="s">
        <v>5773</v>
      </c>
      <c r="M211" t="str">
        <f>VLOOKUP(E211,'[2]AM Client'!$B:$C,2,0)</f>
        <v>Jawad Ulla Khan Non IT</v>
      </c>
    </row>
    <row r="212" spans="3:13">
      <c r="E212" s="2" t="s">
        <v>441</v>
      </c>
      <c r="F212" s="2" t="s">
        <v>5778</v>
      </c>
      <c r="G212" s="153" t="s">
        <v>27</v>
      </c>
      <c r="H212" s="166" t="s">
        <v>160</v>
      </c>
      <c r="I212" s="2" t="s">
        <v>5430</v>
      </c>
      <c r="J212" s="2" t="str">
        <f>VLOOKUP(E212,'[1]HRBP Tagging'!$A:$D,4,0)</f>
        <v>Suman Singh</v>
      </c>
      <c r="K212" s="2" t="str">
        <f>VLOOKUP($E212,'[2]AM Client'!$A:$F,6,0)</f>
        <v>ITES</v>
      </c>
      <c r="L212" s="2" t="s">
        <v>5773</v>
      </c>
      <c r="M212" t="str">
        <f>VLOOKUP(E212,'[2]AM Client'!$B:$C,2,0)</f>
        <v>Jawad Ulla Khan Non IT</v>
      </c>
    </row>
    <row r="213" spans="3:13">
      <c r="E213" s="50" t="s">
        <v>5719</v>
      </c>
      <c r="F213" s="2" t="s">
        <v>5665</v>
      </c>
      <c r="G213" s="153" t="s">
        <v>5791</v>
      </c>
      <c r="H213" s="23" t="s">
        <v>5424</v>
      </c>
      <c r="I213" s="2" t="s">
        <v>5423</v>
      </c>
      <c r="J213" s="2" t="str">
        <f>VLOOKUP(E213,'[1]HRBP Tagging'!$A:$D,4,0)</f>
        <v>sara</v>
      </c>
      <c r="K213" s="2" t="str">
        <f>VLOOKUP($E213,'[2]AM Client'!$A:$F,6,0)</f>
        <v>Services</v>
      </c>
      <c r="L213" s="2" t="s">
        <v>5714</v>
      </c>
      <c r="M213" t="str">
        <f>VLOOKUP(E213,'[2]AM Client'!$B:$C,2,0)</f>
        <v>Aashis Ranjan</v>
      </c>
    </row>
    <row r="214" spans="3:13">
      <c r="E214" s="2" t="s">
        <v>5560</v>
      </c>
      <c r="F214" s="2" t="s">
        <v>5780</v>
      </c>
      <c r="G214" s="153" t="s">
        <v>392</v>
      </c>
      <c r="H214" s="2" t="s">
        <v>5848</v>
      </c>
      <c r="I214" s="2" t="s">
        <v>5437</v>
      </c>
      <c r="J214" s="2" t="str">
        <f>VLOOKUP(E214,'[1]HRBP Tagging'!$A:$D,4,0)</f>
        <v>Sultana M</v>
      </c>
      <c r="K214" s="2" t="str">
        <f>VLOOKUP($E214,'[2]AM Client'!$A:$F,6,0)</f>
        <v>Captive</v>
      </c>
      <c r="L214" s="2" t="s">
        <v>5780</v>
      </c>
      <c r="M214" t="str">
        <f>VLOOKUP(E214,'[2]AM Client'!$B:$C,2,0)</f>
        <v>Anuradha Murthy</v>
      </c>
    </row>
    <row r="215" spans="3:13">
      <c r="E215" s="19" t="s">
        <v>300</v>
      </c>
      <c r="F215" s="2" t="s">
        <v>44</v>
      </c>
      <c r="G215" s="153" t="s">
        <v>5784</v>
      </c>
      <c r="H215" s="70" t="s">
        <v>1983</v>
      </c>
      <c r="I215" s="2" t="s">
        <v>5425</v>
      </c>
      <c r="J215" s="2" t="str">
        <f>VLOOKUP(E215,'[1]HRBP Tagging'!$A:$D,4,0)</f>
        <v>Shobha Mishra</v>
      </c>
      <c r="K215" s="2" t="str">
        <f>VLOOKUP($E215,'[2]AM Client'!$A:$F,6,0)</f>
        <v>Captive</v>
      </c>
      <c r="L215" s="2" t="s">
        <v>44</v>
      </c>
      <c r="M215" t="str">
        <f>VLOOKUP(E215,'[2]AM Client'!$B:$C,2,0)</f>
        <v>Sadhna Shukla</v>
      </c>
    </row>
    <row r="216" spans="3:13">
      <c r="E216" s="21" t="s">
        <v>375</v>
      </c>
      <c r="F216" s="2" t="s">
        <v>5814</v>
      </c>
      <c r="G216" s="153" t="s">
        <v>118</v>
      </c>
      <c r="H216" s="70"/>
      <c r="I216" s="2" t="s">
        <v>5416</v>
      </c>
      <c r="J216" s="2" t="str">
        <f>VLOOKUP(E216,'[1]HRBP Tagging'!$A:$D,4,0)</f>
        <v>Sara</v>
      </c>
      <c r="K216" s="2" t="str">
        <f>VLOOKUP($E216,'[2]AM Client'!$A:$F,6,0)</f>
        <v>ITES</v>
      </c>
      <c r="L216" s="2" t="s">
        <v>27</v>
      </c>
      <c r="M216" t="str">
        <f>VLOOKUP(E216,'[2]AM Client'!$B:$C,2,0)</f>
        <v>Deepak Desai Non IT</v>
      </c>
    </row>
    <row r="217" spans="3:13">
      <c r="E217" s="19" t="s">
        <v>5126</v>
      </c>
      <c r="F217" s="2" t="s">
        <v>44</v>
      </c>
      <c r="G217" s="153" t="s">
        <v>5784</v>
      </c>
      <c r="H217" s="70" t="s">
        <v>1983</v>
      </c>
      <c r="I217" s="2" t="s">
        <v>5425</v>
      </c>
      <c r="J217" s="2" t="str">
        <f>VLOOKUP(E217,'[1]HRBP Tagging'!$A:$D,4,0)</f>
        <v>Shobha Mishra</v>
      </c>
      <c r="K217" s="2" t="str">
        <f>VLOOKUP($E217,'[2]AM Client'!$A:$F,6,0)</f>
        <v>Captive</v>
      </c>
      <c r="L217" s="2" t="s">
        <v>44</v>
      </c>
      <c r="M217" t="str">
        <f>VLOOKUP(E217,'[2]AM Client'!$B:$C,2,0)</f>
        <v>Sadhna Shukla</v>
      </c>
    </row>
    <row r="218" spans="3:13">
      <c r="E218" s="50" t="s">
        <v>5718</v>
      </c>
      <c r="F218" s="2" t="s">
        <v>5665</v>
      </c>
      <c r="G218" s="153" t="s">
        <v>5791</v>
      </c>
      <c r="H218" s="23" t="s">
        <v>5424</v>
      </c>
      <c r="I218" s="2" t="s">
        <v>5423</v>
      </c>
      <c r="J218" s="2" t="str">
        <f>VLOOKUP(E218,'[1]HRBP Tagging'!$A:$D,4,0)</f>
        <v>sara</v>
      </c>
      <c r="K218" s="2" t="str">
        <f>VLOOKUP($E218,'[2]AM Client'!$A:$F,6,0)</f>
        <v>Services</v>
      </c>
      <c r="L218" s="2" t="s">
        <v>5714</v>
      </c>
      <c r="M218" t="str">
        <f>VLOOKUP(E218,'[2]AM Client'!$B:$C,2,0)</f>
        <v>Aashis Ranjan</v>
      </c>
    </row>
    <row r="219" spans="3:13">
      <c r="E219" s="2" t="s">
        <v>5571</v>
      </c>
      <c r="F219" s="2" t="s">
        <v>44</v>
      </c>
      <c r="G219" s="153" t="s">
        <v>5784</v>
      </c>
      <c r="H219" s="70" t="s">
        <v>1983</v>
      </c>
      <c r="I219" s="2" t="s">
        <v>5425</v>
      </c>
      <c r="J219" s="2" t="str">
        <f>VLOOKUP(E219,'[1]HRBP Tagging'!$A:$D,4,0)</f>
        <v>Shobha Mishra</v>
      </c>
      <c r="K219" s="2" t="str">
        <f>VLOOKUP($E219,'[2]AM Client'!$A:$F,6,0)</f>
        <v>Captive</v>
      </c>
      <c r="L219" s="2" t="s">
        <v>44</v>
      </c>
      <c r="M219" t="str">
        <f>VLOOKUP(E219,'[2]AM Client'!$B:$C,2,0)</f>
        <v>Sadhna Shukla</v>
      </c>
    </row>
    <row r="220" spans="3:13">
      <c r="E220" s="21" t="s">
        <v>308</v>
      </c>
      <c r="F220" s="114" t="s">
        <v>5771</v>
      </c>
      <c r="G220" s="153" t="s">
        <v>118</v>
      </c>
      <c r="H220" s="70" t="s">
        <v>118</v>
      </c>
      <c r="I220" s="2" t="s">
        <v>5416</v>
      </c>
      <c r="J220" s="2" t="str">
        <f>VLOOKUP(E220,'[1]HRBP Tagging'!$A:$D,4,0)</f>
        <v>Sultana M</v>
      </c>
      <c r="K220" s="2" t="str">
        <f>VLOOKUP($E220,'[2]AM Client'!$A:$F,6,0)</f>
        <v>Services</v>
      </c>
      <c r="L220" s="114" t="s">
        <v>5773</v>
      </c>
      <c r="M220" t="str">
        <f>VLOOKUP(E220,'[2]AM Client'!$B:$C,2,0)</f>
        <v>Deepak Desai</v>
      </c>
    </row>
    <row r="221" spans="3:13">
      <c r="E221" s="2" t="s">
        <v>5703</v>
      </c>
      <c r="F221" s="114" t="s">
        <v>5771</v>
      </c>
      <c r="G221" s="153" t="s">
        <v>118</v>
      </c>
      <c r="H221" s="23" t="s">
        <v>118</v>
      </c>
      <c r="I221" s="2" t="s">
        <v>5416</v>
      </c>
      <c r="J221" s="2" t="str">
        <f>VLOOKUP(E221,'[1]HRBP Tagging'!$A:$D,4,0)</f>
        <v>Sultana M</v>
      </c>
      <c r="K221" s="2" t="str">
        <f>VLOOKUP($E221,'[2]AM Client'!$A:$F,6,0)</f>
        <v>ITES</v>
      </c>
      <c r="L221" s="114" t="s">
        <v>5773</v>
      </c>
      <c r="M221" t="str">
        <f>VLOOKUP(E221,'[2]AM Client'!$B:$C,2,0)</f>
        <v>Deepak Desai Non IT</v>
      </c>
    </row>
    <row r="222" spans="3:13">
      <c r="E222" s="2" t="s">
        <v>5748</v>
      </c>
      <c r="F222" s="114" t="s">
        <v>5771</v>
      </c>
      <c r="G222" s="153" t="s">
        <v>118</v>
      </c>
      <c r="H222" s="23" t="s">
        <v>118</v>
      </c>
      <c r="I222" s="2" t="s">
        <v>5416</v>
      </c>
      <c r="J222" s="2" t="str">
        <f>VLOOKUP(E222,'[1]HRBP Tagging'!$A:$D,4,0)</f>
        <v>Sultana M</v>
      </c>
      <c r="K222" s="2" t="str">
        <f>VLOOKUP($E222,'[2]AM Client'!$A:$F,6,0)</f>
        <v>Services</v>
      </c>
      <c r="L222" s="114" t="s">
        <v>5773</v>
      </c>
      <c r="M222" t="str">
        <f>VLOOKUP(E222,'[2]AM Client'!$B:$C,2,0)</f>
        <v>Deepak Desai Non IT</v>
      </c>
    </row>
    <row r="223" spans="3:13">
      <c r="E223" s="21" t="s">
        <v>5505</v>
      </c>
      <c r="F223" s="114" t="s">
        <v>5771</v>
      </c>
      <c r="G223" s="153" t="s">
        <v>118</v>
      </c>
      <c r="H223" s="23" t="s">
        <v>118</v>
      </c>
      <c r="I223" s="2" t="s">
        <v>5416</v>
      </c>
      <c r="J223" s="2" t="str">
        <f>VLOOKUP(E223,'[1]HRBP Tagging'!$A:$D,4,0)</f>
        <v>Sultana M</v>
      </c>
      <c r="K223" s="2" t="str">
        <f>VLOOKUP($E223,'[2]AM Client'!$A:$F,6,0)</f>
        <v>ITES</v>
      </c>
      <c r="L223" s="114" t="s">
        <v>5773</v>
      </c>
      <c r="M223" t="str">
        <f>VLOOKUP(E223,'[2]AM Client'!$B:$C,2,0)</f>
        <v>Deepak Desai Non IT</v>
      </c>
    </row>
    <row r="224" spans="3:13">
      <c r="C224" t="s">
        <v>48</v>
      </c>
      <c r="E224" s="2" t="s">
        <v>5759</v>
      </c>
      <c r="F224" s="2" t="s">
        <v>5771</v>
      </c>
      <c r="G224" s="153" t="s">
        <v>1030</v>
      </c>
      <c r="H224" s="2" t="s">
        <v>1030</v>
      </c>
      <c r="I224" s="2" t="s">
        <v>5417</v>
      </c>
      <c r="J224" s="2" t="str">
        <f>VLOOKUP(E224,'[1]HRBP Tagging'!$A:$D,4,0)</f>
        <v>Sara</v>
      </c>
      <c r="K224" s="2" t="str">
        <f>VLOOKUP($E224,'[2]AM Client'!$A:$F,6,0)</f>
        <v>Services</v>
      </c>
      <c r="L224" s="2" t="s">
        <v>5418</v>
      </c>
      <c r="M224" t="str">
        <f>VLOOKUP(E224,'[2]AM Client'!$B:$C,2,0)</f>
        <v>Deepak Desai</v>
      </c>
    </row>
    <row r="225" spans="5:13">
      <c r="E225" s="21" t="s">
        <v>5623</v>
      </c>
      <c r="F225" s="2" t="s">
        <v>5771</v>
      </c>
      <c r="G225" s="153" t="s">
        <v>1030</v>
      </c>
      <c r="H225" s="23" t="s">
        <v>1030</v>
      </c>
      <c r="I225" s="2" t="s">
        <v>5417</v>
      </c>
      <c r="J225" s="2" t="str">
        <f>VLOOKUP(E225,'[1]HRBP Tagging'!$A:$D,4,0)</f>
        <v>Sara</v>
      </c>
      <c r="K225" s="2" t="str">
        <f>VLOOKUP($E225,'[2]AM Client'!$A:$F,6,0)</f>
        <v>Captive</v>
      </c>
      <c r="L225" s="2" t="s">
        <v>5418</v>
      </c>
      <c r="M225" t="str">
        <f>VLOOKUP(E225,'[2]AM Client'!$B:$C,2,0)</f>
        <v>Deepak Desai</v>
      </c>
    </row>
    <row r="226" spans="5:13">
      <c r="E226" s="23" t="s">
        <v>116</v>
      </c>
      <c r="F226" s="2" t="s">
        <v>5780</v>
      </c>
      <c r="G226" s="176" t="s">
        <v>5798</v>
      </c>
      <c r="H226" s="2"/>
      <c r="I226" s="136" t="s">
        <v>5437</v>
      </c>
      <c r="J226" s="2" t="str">
        <f>VLOOKUP(E226,'[1]HRBP Tagging'!$A:$D,4,0)</f>
        <v>Sultana M</v>
      </c>
      <c r="K226" s="2" t="str">
        <f>VLOOKUP($E226,'[2]AM Client'!$A:$F,6,0)</f>
        <v>Captive</v>
      </c>
      <c r="L226" s="2" t="s">
        <v>5780</v>
      </c>
      <c r="M226" t="str">
        <f>VLOOKUP(E226,'[2]AM Client'!$B:$C,2,0)</f>
        <v>Anuradha Murthy</v>
      </c>
    </row>
    <row r="227" spans="5:13">
      <c r="E227" s="2" t="s">
        <v>5879</v>
      </c>
      <c r="F227" s="2" t="s">
        <v>5780</v>
      </c>
      <c r="G227" s="153" t="s">
        <v>5780</v>
      </c>
      <c r="H227" s="23"/>
      <c r="I227" s="2" t="s">
        <v>5437</v>
      </c>
      <c r="J227" s="2" t="str">
        <f>VLOOKUP(E227,'[1]HRBP Tagging'!$A:$D,4,0)</f>
        <v>Sultana M</v>
      </c>
      <c r="K227" s="2" t="s">
        <v>5875</v>
      </c>
      <c r="L227" s="2" t="s">
        <v>5780</v>
      </c>
      <c r="M227" t="str">
        <f>VLOOKUP(E227,'[2]AM Client'!$B:$C,2,0)</f>
        <v>Anuradha Murthy</v>
      </c>
    </row>
    <row r="228" spans="5:13">
      <c r="E228" s="2" t="s">
        <v>5880</v>
      </c>
      <c r="F228" s="2" t="s">
        <v>44</v>
      </c>
      <c r="G228" s="153" t="s">
        <v>5803</v>
      </c>
      <c r="H228" s="23" t="s">
        <v>5492</v>
      </c>
      <c r="I228" s="2" t="s">
        <v>5425</v>
      </c>
      <c r="J228" s="2" t="str">
        <f>VLOOKUP(E228,'[1]HRBP Tagging'!$A:$D,4,0)</f>
        <v>Meenu Amit Kumar</v>
      </c>
      <c r="K228" s="2" t="str">
        <f>VLOOKUP($E228,'[2]AM Client'!$A:$F,6,0)</f>
        <v>Captive</v>
      </c>
      <c r="L228" s="2" t="s">
        <v>44</v>
      </c>
      <c r="M228" t="str">
        <f>VLOOKUP(E228,'[2]AM Client'!$B:$C,2,0)</f>
        <v>Sadhna Shukla</v>
      </c>
    </row>
    <row r="229" spans="5:13">
      <c r="E229" s="19" t="s">
        <v>5176</v>
      </c>
      <c r="F229" s="2" t="s">
        <v>44</v>
      </c>
      <c r="G229" s="153" t="s">
        <v>5803</v>
      </c>
      <c r="H229" s="2" t="s">
        <v>5427</v>
      </c>
      <c r="I229" s="2" t="s">
        <v>5425</v>
      </c>
      <c r="J229" s="2" t="str">
        <f>VLOOKUP(E229,'[1]HRBP Tagging'!$A:$D,4,0)</f>
        <v>Shobha Mishra</v>
      </c>
      <c r="K229" s="2" t="str">
        <f>VLOOKUP($E229,'[2]AM Client'!$A:$F,6,0)</f>
        <v>Captive</v>
      </c>
      <c r="L229" s="2" t="s">
        <v>44</v>
      </c>
      <c r="M229">
        <f>VLOOKUP(E229,'[2]AM Client'!$B:$C,2,0)</f>
        <v>0</v>
      </c>
    </row>
    <row r="230" spans="5:13">
      <c r="E230" s="19" t="s">
        <v>5192</v>
      </c>
      <c r="F230" s="2">
        <v>0</v>
      </c>
      <c r="G230" s="153" t="s">
        <v>4881</v>
      </c>
      <c r="H230" s="23"/>
      <c r="I230" s="2" t="s">
        <v>5417</v>
      </c>
      <c r="J230" s="2" t="str">
        <f>VLOOKUP(E230,'[1]HRBP Tagging'!$A:$D,4,0)</f>
        <v>Sara</v>
      </c>
      <c r="K230" s="2" t="str">
        <f>VLOOKUP($E230,'[2]AM Client'!$A:$F,6,0)</f>
        <v>Services</v>
      </c>
      <c r="L230" s="2" t="s">
        <v>5418</v>
      </c>
      <c r="M230" t="str">
        <f>VLOOKUP(E230,'[2]AM Client'!$B:$C,2,0)</f>
        <v>Deepak Desai</v>
      </c>
    </row>
    <row r="231" spans="5:13">
      <c r="E231" s="2" t="s">
        <v>5881</v>
      </c>
      <c r="F231" s="2" t="s">
        <v>44</v>
      </c>
      <c r="H231" s="23" t="s">
        <v>1983</v>
      </c>
      <c r="I231" s="2" t="s">
        <v>5425</v>
      </c>
      <c r="J231" s="2" t="str">
        <f>VLOOKUP(E231,'[1]HRBP Tagging'!$A:$D,4,0)</f>
        <v>Shobha Mishra</v>
      </c>
      <c r="K231" s="2" t="str">
        <f>VLOOKUP($E231,'[2]AM Client'!$A:$F,6,0)</f>
        <v>Captive</v>
      </c>
      <c r="L231" s="2" t="s">
        <v>44</v>
      </c>
      <c r="M231" t="str">
        <f>VLOOKUP(E231,'[2]AM Client'!$B:$C,2,0)</f>
        <v>Sadhna Shukla</v>
      </c>
    </row>
    <row r="232" spans="5:13">
      <c r="E232" s="114" t="s">
        <v>5615</v>
      </c>
      <c r="F232" s="2" t="s">
        <v>44</v>
      </c>
      <c r="G232" s="153" t="s">
        <v>5803</v>
      </c>
      <c r="H232" s="23" t="s">
        <v>2380</v>
      </c>
      <c r="I232" s="2" t="s">
        <v>5425</v>
      </c>
      <c r="J232" s="2" t="str">
        <f>VLOOKUP(E232,'[1]HRBP Tagging'!$A:$D,4,0)</f>
        <v>Shobha Mishra</v>
      </c>
      <c r="K232" s="2" t="str">
        <f>VLOOKUP($E232,'[2]AM Client'!$A:$F,6,0)</f>
        <v>Captive</v>
      </c>
      <c r="L232" s="2" t="s">
        <v>44</v>
      </c>
      <c r="M232" t="str">
        <f>VLOOKUP(E232,'[2]AM Client'!$B:$C,2,0)</f>
        <v>Sadhna Shukla</v>
      </c>
    </row>
    <row r="233" spans="5:13">
      <c r="E233" s="2" t="s">
        <v>5730</v>
      </c>
      <c r="F233" s="2" t="s">
        <v>94</v>
      </c>
      <c r="G233" s="172" t="s">
        <v>1030</v>
      </c>
      <c r="H233" s="70" t="s">
        <v>5490</v>
      </c>
      <c r="I233" s="2" t="s">
        <v>5417</v>
      </c>
      <c r="J233" s="2" t="str">
        <f>VLOOKUP(E233,'[1]HRBP Tagging'!$A:$D,4,0)</f>
        <v>Sara</v>
      </c>
      <c r="K233" s="2" t="str">
        <f>VLOOKUP($E233,'[2]AM Client'!$A:$F,6,0)</f>
        <v>Services</v>
      </c>
      <c r="L233" s="2" t="s">
        <v>5418</v>
      </c>
      <c r="M233" t="str">
        <f>VLOOKUP(E233,'[2]AM Client'!$B:$C,2,0)</f>
        <v>Prathap Sagar</v>
      </c>
    </row>
    <row r="234" spans="5:13">
      <c r="E234" s="2" t="s">
        <v>5742</v>
      </c>
      <c r="F234" s="2" t="s">
        <v>94</v>
      </c>
      <c r="G234" s="153" t="s">
        <v>1030</v>
      </c>
      <c r="H234" s="23" t="s">
        <v>5488</v>
      </c>
      <c r="I234" s="2" t="s">
        <v>5417</v>
      </c>
      <c r="J234" s="2" t="str">
        <f>VLOOKUP(E234,'[1]HRBP Tagging'!$A:$D,4,0)</f>
        <v>Sara</v>
      </c>
      <c r="K234" s="2" t="str">
        <f>VLOOKUP($E234,'[2]AM Client'!$A:$F,6,0)</f>
        <v>Services</v>
      </c>
      <c r="L234" s="2" t="s">
        <v>5418</v>
      </c>
      <c r="M234" t="str">
        <f>VLOOKUP(E234,'[2]AM Client'!$B:$C,2,0)</f>
        <v>Prathap Sagar</v>
      </c>
    </row>
    <row r="235" spans="5:13">
      <c r="E235" s="2" t="s">
        <v>5736</v>
      </c>
      <c r="F235" s="2" t="s">
        <v>94</v>
      </c>
      <c r="G235" s="153" t="s">
        <v>1030</v>
      </c>
      <c r="H235" s="2" t="s">
        <v>5490</v>
      </c>
      <c r="I235" s="2" t="s">
        <v>5417</v>
      </c>
      <c r="J235" s="2" t="str">
        <f>VLOOKUP(E235,'[1]HRBP Tagging'!$A:$D,4,0)</f>
        <v>Sara</v>
      </c>
      <c r="K235" s="2" t="str">
        <f>VLOOKUP($E235,'[2]AM Client'!$A:$F,6,0)</f>
        <v>Services</v>
      </c>
      <c r="L235" s="2" t="s">
        <v>5418</v>
      </c>
      <c r="M235" t="str">
        <f>VLOOKUP(E235,'[2]AM Client'!$B:$C,2,0)</f>
        <v>Prathap Sagar</v>
      </c>
    </row>
    <row r="236" spans="5:13">
      <c r="E236" s="2" t="s">
        <v>5729</v>
      </c>
      <c r="F236" s="2" t="s">
        <v>94</v>
      </c>
      <c r="G236" s="165" t="s">
        <v>1030</v>
      </c>
      <c r="H236" s="70" t="s">
        <v>5490</v>
      </c>
      <c r="I236" s="2" t="s">
        <v>5417</v>
      </c>
      <c r="J236" s="2" t="str">
        <f>VLOOKUP(E236,'[1]HRBP Tagging'!$A:$D,4,0)</f>
        <v>Sara</v>
      </c>
      <c r="K236" s="2" t="str">
        <f>VLOOKUP($E236,'[2]AM Client'!$A:$F,6,0)</f>
        <v>Services</v>
      </c>
      <c r="L236" s="2" t="s">
        <v>5418</v>
      </c>
      <c r="M236" t="str">
        <f>VLOOKUP(E236,'[2]AM Client'!$B:$C,2,0)</f>
        <v>Prathap Sagar</v>
      </c>
    </row>
    <row r="237" spans="5:13">
      <c r="E237" s="2" t="s">
        <v>5547</v>
      </c>
      <c r="F237" s="2" t="s">
        <v>94</v>
      </c>
      <c r="G237" s="153" t="s">
        <v>1030</v>
      </c>
      <c r="H237" s="23" t="s">
        <v>1030</v>
      </c>
      <c r="I237" s="71" t="s">
        <v>5417</v>
      </c>
      <c r="J237" s="2" t="str">
        <f>VLOOKUP(E237,'[1]HRBP Tagging'!$A:$D,4,0)</f>
        <v>Sara</v>
      </c>
      <c r="K237" s="2" t="str">
        <f>VLOOKUP($E237,'[2]AM Client'!$A:$F,6,0)</f>
        <v>Services</v>
      </c>
      <c r="L237" s="2" t="s">
        <v>5418</v>
      </c>
      <c r="M237" t="str">
        <f>VLOOKUP(E237,'[2]AM Client'!$B:$C,2,0)</f>
        <v>Prathap Sagar</v>
      </c>
    </row>
    <row r="238" spans="5:13">
      <c r="E238" s="2" t="s">
        <v>5747</v>
      </c>
      <c r="F238" s="2" t="s">
        <v>94</v>
      </c>
      <c r="G238" s="153" t="s">
        <v>1030</v>
      </c>
      <c r="H238" s="2" t="s">
        <v>5490</v>
      </c>
      <c r="I238" s="2" t="s">
        <v>5417</v>
      </c>
      <c r="J238" s="2" t="str">
        <f>VLOOKUP(E238,'[1]HRBP Tagging'!$A:$D,4,0)</f>
        <v>Sara</v>
      </c>
      <c r="K238" s="2" t="str">
        <f>VLOOKUP($E238,'[2]AM Client'!$A:$F,6,0)</f>
        <v>Services</v>
      </c>
      <c r="L238" s="2" t="s">
        <v>5418</v>
      </c>
      <c r="M238" t="str">
        <f>VLOOKUP(E238,'[2]AM Client'!$B:$C,2,0)</f>
        <v>Prathap Sagar</v>
      </c>
    </row>
    <row r="239" spans="5:13">
      <c r="E239" s="2" t="s">
        <v>5882</v>
      </c>
      <c r="F239" s="2" t="s">
        <v>5846</v>
      </c>
      <c r="G239" s="153" t="s">
        <v>5846</v>
      </c>
      <c r="H239" s="2"/>
      <c r="I239" s="2" t="s">
        <v>5846</v>
      </c>
      <c r="J239" s="2" t="e">
        <f>VLOOKUP(E239,'[1]HRBP Tagging'!$A:$D,4,0)</f>
        <v>#N/A</v>
      </c>
      <c r="K239" s="2" t="str">
        <f>VLOOKUP($E239,'[2]AM Client'!$A:$F,6,0)</f>
        <v>Services</v>
      </c>
      <c r="L239" s="2" t="s">
        <v>5883</v>
      </c>
      <c r="M239" t="str">
        <f>VLOOKUP(E239,'[2]AM Client'!$B:$C,2,0)</f>
        <v>Kiran Gowda</v>
      </c>
    </row>
    <row r="240" spans="5:13">
      <c r="E240" s="2" t="s">
        <v>5545</v>
      </c>
      <c r="F240" s="2" t="s">
        <v>94</v>
      </c>
      <c r="G240" s="153" t="s">
        <v>1030</v>
      </c>
      <c r="H240" s="23" t="s">
        <v>5490</v>
      </c>
      <c r="I240" s="71" t="s">
        <v>5417</v>
      </c>
      <c r="J240" s="2" t="str">
        <f>VLOOKUP(E240,'[1]HRBP Tagging'!$A:$D,4,0)</f>
        <v>Sara</v>
      </c>
      <c r="K240" s="2" t="str">
        <f>VLOOKUP($E240,'[2]AM Client'!$A:$F,6,0)</f>
        <v>Services</v>
      </c>
      <c r="L240" s="2" t="s">
        <v>5418</v>
      </c>
      <c r="M240" t="str">
        <f>VLOOKUP(E240,'[2]AM Client'!$B:$C,2,0)</f>
        <v>Prathap Sagar</v>
      </c>
    </row>
    <row r="241" spans="5:13">
      <c r="E241" s="2" t="s">
        <v>5884</v>
      </c>
      <c r="F241" s="2" t="s">
        <v>5665</v>
      </c>
      <c r="G241" s="153"/>
      <c r="H241" s="2"/>
      <c r="I241" s="2" t="s">
        <v>5846</v>
      </c>
      <c r="J241" s="2" t="e">
        <f>VLOOKUP(E241,'[1]HRBP Tagging'!$A:$D,4,0)</f>
        <v>#N/A</v>
      </c>
      <c r="K241" s="2" t="str">
        <f>VLOOKUP($E241,'[2]AM Client'!$A:$F,6,0)</f>
        <v>Services</v>
      </c>
      <c r="L241" s="2" t="s">
        <v>5883</v>
      </c>
      <c r="M241" t="str">
        <f>VLOOKUP(E241,'[2]AM Client'!$B:$C,2,0)</f>
        <v>Kiran Gowda</v>
      </c>
    </row>
    <row r="242" spans="5:13">
      <c r="E242" s="2" t="s">
        <v>5885</v>
      </c>
      <c r="F242" s="2" t="s">
        <v>5665</v>
      </c>
      <c r="G242" s="153"/>
      <c r="H242" s="2"/>
      <c r="I242" s="2" t="s">
        <v>5846</v>
      </c>
      <c r="J242" s="2" t="e">
        <f>VLOOKUP(E242,'[1]HRBP Tagging'!$A:$D,4,0)</f>
        <v>#N/A</v>
      </c>
      <c r="K242" s="2" t="str">
        <f>VLOOKUP($E242,'[2]AM Client'!$A:$F,6,0)</f>
        <v>Services</v>
      </c>
      <c r="L242" s="2" t="s">
        <v>5883</v>
      </c>
      <c r="M242" t="str">
        <f>VLOOKUP(E242,'[2]AM Client'!$B:$C,2,0)</f>
        <v>Kiran Gowda</v>
      </c>
    </row>
    <row r="243" spans="5:13">
      <c r="E243" s="2" t="s">
        <v>5886</v>
      </c>
      <c r="F243" s="2" t="s">
        <v>5771</v>
      </c>
      <c r="G243" s="181" t="s">
        <v>1030</v>
      </c>
      <c r="H243" s="70" t="s">
        <v>5832</v>
      </c>
      <c r="I243" s="71" t="s">
        <v>5417</v>
      </c>
      <c r="J243" s="2" t="str">
        <f>VLOOKUP(E243,'[1]HRBP Tagging'!$A:$D,4,0)</f>
        <v>Sara</v>
      </c>
      <c r="K243" s="2" t="str">
        <f>VLOOKUP($E243,'[2]AM Client'!$A:$F,6,0)</f>
        <v>Services</v>
      </c>
      <c r="L243" s="2" t="s">
        <v>5418</v>
      </c>
      <c r="M243" t="str">
        <f>VLOOKUP(E243,'[2]AM Client'!$B:$C,2,0)</f>
        <v>Deepak Desai</v>
      </c>
    </row>
    <row r="244" spans="5:13">
      <c r="E244" s="155" t="s">
        <v>5887</v>
      </c>
      <c r="F244" s="2" t="s">
        <v>5778</v>
      </c>
      <c r="G244" s="153" t="s">
        <v>27</v>
      </c>
      <c r="H244" s="166" t="s">
        <v>36</v>
      </c>
      <c r="I244" s="2" t="s">
        <v>5416</v>
      </c>
      <c r="J244" s="2" t="str">
        <f>VLOOKUP(E244,'[1]HRBP Tagging'!$A:$D,4,0)</f>
        <v>Lavanya</v>
      </c>
      <c r="K244" s="2" t="str">
        <f>VLOOKUP($E244,'[2]AM Client'!$A:$F,6,0)</f>
        <v>ITES</v>
      </c>
      <c r="L244" s="2" t="s">
        <v>27</v>
      </c>
      <c r="M244" t="str">
        <f>VLOOKUP(E244,'[2]AM Client'!$B:$C,2,0)</f>
        <v>Jawad Ulla Khan Non IT</v>
      </c>
    </row>
    <row r="245" spans="5:13">
      <c r="E245" s="155" t="s">
        <v>5888</v>
      </c>
      <c r="F245" s="2" t="s">
        <v>44</v>
      </c>
      <c r="G245" s="167" t="s">
        <v>5429</v>
      </c>
      <c r="H245" s="2" t="s">
        <v>5789</v>
      </c>
      <c r="I245" s="113" t="s">
        <v>5425</v>
      </c>
      <c r="J245" s="2" t="e">
        <f>VLOOKUP(E245,'[1]HRBP Tagging'!$A:$D,4,0)</f>
        <v>#N/A</v>
      </c>
      <c r="K245" s="2" t="str">
        <f>VLOOKUP($E245,'[2]AM Client'!$A:$F,6,0)</f>
        <v>Captive</v>
      </c>
      <c r="L245" s="2" t="s">
        <v>44</v>
      </c>
      <c r="M245" t="str">
        <f>VLOOKUP(E245,'[2]AM Client'!$B:$C,2,0)</f>
        <v>Sadhna Shukla</v>
      </c>
    </row>
    <row r="246" spans="5:13">
      <c r="E246" s="155" t="s">
        <v>5889</v>
      </c>
      <c r="F246" s="2" t="s">
        <v>5780</v>
      </c>
      <c r="G246" s="153" t="s">
        <v>25</v>
      </c>
      <c r="H246" s="71"/>
      <c r="I246" s="136" t="s">
        <v>5437</v>
      </c>
      <c r="J246" s="2" t="e">
        <f>VLOOKUP(E246,'[1]HRBP Tagging'!$A:$D,4,0)</f>
        <v>#N/A</v>
      </c>
      <c r="K246" s="2" t="str">
        <f>VLOOKUP($E246,'[2]AM Client'!$A:$F,6,0)</f>
        <v>Captive</v>
      </c>
      <c r="L246" s="2" t="s">
        <v>5780</v>
      </c>
      <c r="M246" t="str">
        <f>VLOOKUP(E246,'[2]AM Client'!$B:$C,2,0)</f>
        <v>Anuradha Murthy</v>
      </c>
    </row>
    <row r="247" spans="5:13">
      <c r="E247" s="155" t="s">
        <v>5890</v>
      </c>
      <c r="F247" s="2" t="s">
        <v>5780</v>
      </c>
      <c r="G247" s="153" t="s">
        <v>392</v>
      </c>
      <c r="H247" s="71"/>
      <c r="I247" s="136" t="s">
        <v>5437</v>
      </c>
      <c r="J247" s="2" t="e">
        <f>VLOOKUP(E247,'[1]HRBP Tagging'!$A:$D,4,0)</f>
        <v>#N/A</v>
      </c>
      <c r="K247" s="2" t="str">
        <f>VLOOKUP($E247,'[2]AM Client'!$A:$F,6,0)</f>
        <v>Captive</v>
      </c>
      <c r="L247" s="2" t="s">
        <v>5780</v>
      </c>
      <c r="M247" t="str">
        <f>VLOOKUP(E247,'[2]AM Client'!$B:$C,2,0)</f>
        <v>Anuradha Murthy</v>
      </c>
    </row>
    <row r="248" spans="5:13">
      <c r="E248" s="155" t="s">
        <v>5891</v>
      </c>
      <c r="F248" s="2" t="s">
        <v>5780</v>
      </c>
      <c r="G248" s="153" t="s">
        <v>392</v>
      </c>
      <c r="H248" s="71"/>
      <c r="I248" s="136" t="s">
        <v>5437</v>
      </c>
      <c r="J248" s="2" t="e">
        <f>VLOOKUP(E248,'[1]HRBP Tagging'!$A:$D,4,0)</f>
        <v>#N/A</v>
      </c>
      <c r="K248" s="2" t="str">
        <f>VLOOKUP($E248,'[2]AM Client'!$A:$F,6,0)</f>
        <v>Captive</v>
      </c>
      <c r="L248" s="2" t="s">
        <v>5780</v>
      </c>
      <c r="M248" t="str">
        <f>VLOOKUP(E248,'[2]AM Client'!$B:$C,2,0)</f>
        <v>Anuradha Murthy</v>
      </c>
    </row>
    <row r="249" spans="5:13">
      <c r="E249" s="155" t="s">
        <v>5892</v>
      </c>
      <c r="F249" s="2" t="s">
        <v>5780</v>
      </c>
      <c r="G249" s="153" t="s">
        <v>392</v>
      </c>
      <c r="H249" s="71"/>
      <c r="I249" s="136" t="s">
        <v>5437</v>
      </c>
      <c r="J249" s="2" t="e">
        <f>VLOOKUP(E249,'[1]HRBP Tagging'!$A:$D,4,0)</f>
        <v>#N/A</v>
      </c>
      <c r="K249" s="2" t="str">
        <f>VLOOKUP($E249,'[2]AM Client'!$A:$F,6,0)</f>
        <v>Captive</v>
      </c>
      <c r="L249" s="2" t="s">
        <v>5780</v>
      </c>
      <c r="M249" t="str">
        <f>VLOOKUP(E249,'[2]AM Client'!$B:$C,2,0)</f>
        <v>Anuradha Murthy</v>
      </c>
    </row>
    <row r="250" spans="5:13">
      <c r="E250" s="155" t="s">
        <v>5893</v>
      </c>
      <c r="F250" s="2" t="s">
        <v>5780</v>
      </c>
      <c r="G250" s="153" t="s">
        <v>392</v>
      </c>
      <c r="H250" s="71"/>
      <c r="I250" s="136" t="s">
        <v>5437</v>
      </c>
      <c r="J250" s="2" t="e">
        <f>VLOOKUP(E250,'[1]HRBP Tagging'!$A:$D,4,0)</f>
        <v>#N/A</v>
      </c>
      <c r="K250" s="2" t="str">
        <f>VLOOKUP($E250,'[2]AM Client'!$A:$F,6,0)</f>
        <v>Captive</v>
      </c>
      <c r="L250" s="2" t="s">
        <v>5780</v>
      </c>
      <c r="M250" t="str">
        <f>VLOOKUP(E250,'[2]AM Client'!$B:$C,2,0)</f>
        <v>Anuradha Murthy</v>
      </c>
    </row>
    <row r="251" spans="5:13">
      <c r="E251" s="2" t="s">
        <v>5894</v>
      </c>
      <c r="F251" s="2" t="s">
        <v>5771</v>
      </c>
      <c r="G251" s="153" t="s">
        <v>1030</v>
      </c>
      <c r="H251" t="s">
        <v>5488</v>
      </c>
      <c r="I251" s="2" t="s">
        <v>5417</v>
      </c>
      <c r="J251" s="2" t="str">
        <f>VLOOKUP(E251,'[1]HRBP Tagging'!$A:$D,4,0)</f>
        <v>Sara</v>
      </c>
      <c r="K251" s="2" t="str">
        <f>VLOOKUP($E251,'[2]AM Client'!$A:$F,6,0)</f>
        <v>Services</v>
      </c>
      <c r="L251" s="153" t="s">
        <v>5418</v>
      </c>
      <c r="M251" t="str">
        <f>VLOOKUP(E251,'[2]AM Client'!$B:$C,2,0)</f>
        <v>Deepak Desai</v>
      </c>
    </row>
    <row r="252" spans="5:13">
      <c r="E252" s="114" t="s">
        <v>4638</v>
      </c>
      <c r="F252" s="2" t="s">
        <v>5780</v>
      </c>
      <c r="G252" s="137" t="s">
        <v>5798</v>
      </c>
      <c r="H252" s="100"/>
      <c r="I252" s="114" t="s">
        <v>5437</v>
      </c>
      <c r="J252" s="2" t="str">
        <f>VLOOKUP(E252,'[1]HRBP Tagging'!$A:$D,4,0)</f>
        <v>Sara</v>
      </c>
      <c r="K252" s="114" t="s">
        <v>5802</v>
      </c>
      <c r="L252" s="153" t="s">
        <v>5418</v>
      </c>
      <c r="M252" t="str">
        <f>VLOOKUP(E252,'[2]AM Client'!$B:$C,2,0)</f>
        <v>Anuradha Murthy</v>
      </c>
    </row>
    <row r="253" spans="5:13">
      <c r="E253" s="19" t="s">
        <v>653</v>
      </c>
      <c r="F253" s="2" t="s">
        <v>5780</v>
      </c>
      <c r="G253" s="176" t="s">
        <v>5798</v>
      </c>
      <c r="H253" s="172" t="s">
        <v>5454</v>
      </c>
      <c r="I253" s="2" t="s">
        <v>5420</v>
      </c>
      <c r="J253" s="2" t="str">
        <f>VLOOKUP(E253,'[1]HRBP Tagging'!$A:$D,4,0)</f>
        <v>Sultana M</v>
      </c>
      <c r="K253" s="2" t="str">
        <f>VLOOKUP($E253,'[2]AM Client'!$A:$F,6,0)</f>
        <v>Captive</v>
      </c>
      <c r="L253" s="153" t="s">
        <v>5771</v>
      </c>
      <c r="M253" t="str">
        <f>VLOOKUP(E253,'[2]AM Client'!$B:$C,2,0)</f>
        <v>Anuradha Murthy</v>
      </c>
    </row>
    <row r="254" spans="5:13">
      <c r="E254" s="21" t="s">
        <v>2565</v>
      </c>
      <c r="F254" s="114" t="s">
        <v>5771</v>
      </c>
      <c r="G254" s="153" t="s">
        <v>232</v>
      </c>
      <c r="H254" s="172" t="s">
        <v>5479</v>
      </c>
      <c r="I254" s="2" t="s">
        <v>5430</v>
      </c>
      <c r="J254" s="2" t="str">
        <f>VLOOKUP(E254,'[1]HRBP Tagging'!$A:$D,4,0)</f>
        <v>Sultana M</v>
      </c>
      <c r="K254" s="2" t="str">
        <f>VLOOKUP($E254,'[2]AM Client'!$A:$F,6,0)</f>
        <v>Services</v>
      </c>
      <c r="L254" s="153" t="s">
        <v>5773</v>
      </c>
      <c r="M254" t="str">
        <f>VLOOKUP(E254,'[2]AM Client'!$B:$C,2,0)</f>
        <v>Deepak Desai</v>
      </c>
    </row>
    <row r="255" spans="5:13">
      <c r="E255" s="2" t="s">
        <v>2760</v>
      </c>
      <c r="F255" s="114" t="s">
        <v>5771</v>
      </c>
      <c r="G255" s="153" t="s">
        <v>232</v>
      </c>
      <c r="H255" s="172" t="s">
        <v>5479</v>
      </c>
      <c r="I255" s="2" t="s">
        <v>5430</v>
      </c>
      <c r="J255" s="2" t="str">
        <f>VLOOKUP(E255,'[1]HRBP Tagging'!$A:$D,4,0)</f>
        <v>Sultana M</v>
      </c>
      <c r="K255" s="2" t="str">
        <f>VLOOKUP($E255,'[2]AM Client'!$A:$F,6,0)</f>
        <v>Services</v>
      </c>
      <c r="L255" s="153" t="s">
        <v>5773</v>
      </c>
      <c r="M255" t="str">
        <f>VLOOKUP(E255,'[2]AM Client'!$B:$C,2,0)</f>
        <v>Deepak Desai</v>
      </c>
    </row>
    <row r="256" spans="5:13">
      <c r="E256" s="2" t="s">
        <v>5513</v>
      </c>
      <c r="F256" s="114" t="s">
        <v>5771</v>
      </c>
      <c r="G256" s="153" t="s">
        <v>232</v>
      </c>
      <c r="H256" s="172" t="s">
        <v>5479</v>
      </c>
      <c r="I256" s="2" t="s">
        <v>5430</v>
      </c>
      <c r="J256" s="2" t="str">
        <f>VLOOKUP(E256,'[1]HRBP Tagging'!$A:$D,4,0)</f>
        <v>Sultana M</v>
      </c>
      <c r="K256" s="2" t="str">
        <f>VLOOKUP($E256,'[2]AM Client'!$A:$F,6,0)</f>
        <v>Services</v>
      </c>
      <c r="L256" s="153" t="s">
        <v>5773</v>
      </c>
      <c r="M256" t="str">
        <f>VLOOKUP(E256,'[2]AM Client'!$B:$C,2,0)</f>
        <v>Deepak Desai</v>
      </c>
    </row>
    <row r="257" spans="3:13">
      <c r="E257" s="2" t="s">
        <v>5744</v>
      </c>
      <c r="F257" s="2" t="s">
        <v>5780</v>
      </c>
      <c r="G257" s="176" t="s">
        <v>5798</v>
      </c>
      <c r="H257" s="61" t="s">
        <v>683</v>
      </c>
      <c r="I257" s="2" t="s">
        <v>5420</v>
      </c>
      <c r="J257" s="2" t="str">
        <f>VLOOKUP(E257,'[1]HRBP Tagging'!$A:$D,4,0)</f>
        <v>Sultana M</v>
      </c>
      <c r="K257" s="2" t="str">
        <f>VLOOKUP($E257,'[2]AM Client'!$A:$F,6,0)</f>
        <v>ITES</v>
      </c>
      <c r="L257" s="153" t="s">
        <v>5771</v>
      </c>
      <c r="M257" t="str">
        <f>VLOOKUP(E257,'[2]AM Client'!$B:$C,2,0)</f>
        <v>Anuradha Murthy Non IT</v>
      </c>
    </row>
    <row r="258" spans="3:13">
      <c r="E258" s="2" t="s">
        <v>5895</v>
      </c>
      <c r="F258" s="114" t="s">
        <v>5771</v>
      </c>
      <c r="G258" s="165" t="s">
        <v>5432</v>
      </c>
      <c r="H258" s="172" t="s">
        <v>5786</v>
      </c>
      <c r="I258" s="71" t="s">
        <v>5430</v>
      </c>
      <c r="J258" s="2" t="str">
        <f>VLOOKUP(E258,'[1]HRBP Tagging'!$A:$D,4,0)</f>
        <v>sara</v>
      </c>
      <c r="K258" s="2" t="str">
        <f>VLOOKUP($E258,'[2]AM Client'!$A:$F,6,0)</f>
        <v>Services</v>
      </c>
      <c r="L258" s="153" t="s">
        <v>5773</v>
      </c>
      <c r="M258" t="str">
        <f>VLOOKUP(E258,'[2]AM Client'!$B:$C,2,0)</f>
        <v>Deepak Desai</v>
      </c>
    </row>
    <row r="259" spans="3:13">
      <c r="E259" s="2" t="s">
        <v>5896</v>
      </c>
      <c r="F259" s="2" t="s">
        <v>5771</v>
      </c>
      <c r="G259" s="153"/>
      <c r="H259" t="s">
        <v>5488</v>
      </c>
      <c r="I259" s="71" t="s">
        <v>5417</v>
      </c>
      <c r="J259" s="2" t="str">
        <f>VLOOKUP(E259,'[1]HRBP Tagging'!$A:$D,4,0)</f>
        <v>Sara</v>
      </c>
      <c r="K259" s="2" t="str">
        <f>VLOOKUP($E259,'[2]AM Client'!$A:$F,6,0)</f>
        <v>Services</v>
      </c>
      <c r="L259" s="153" t="s">
        <v>5418</v>
      </c>
      <c r="M259" t="str">
        <f>VLOOKUP(E259,'[2]AM Client'!$B:$C,2,0)</f>
        <v>Deepak Desai</v>
      </c>
    </row>
    <row r="260" spans="3:13">
      <c r="E260" s="2" t="s">
        <v>5897</v>
      </c>
      <c r="F260" s="2" t="s">
        <v>5771</v>
      </c>
      <c r="G260" s="153"/>
      <c r="H260" t="s">
        <v>5488</v>
      </c>
      <c r="I260" s="71" t="s">
        <v>5417</v>
      </c>
      <c r="J260" s="2" t="str">
        <f>VLOOKUP(E260,'[1]HRBP Tagging'!$A:$D,4,0)</f>
        <v>Sara</v>
      </c>
      <c r="K260" s="2" t="str">
        <f>VLOOKUP($E260,'[2]AM Client'!$A:$F,6,0)</f>
        <v>Services</v>
      </c>
      <c r="L260" s="153" t="s">
        <v>5418</v>
      </c>
      <c r="M260" t="str">
        <f>VLOOKUP(E260,'[2]AM Client'!$B:$C,2,0)</f>
        <v>Deepak Desai</v>
      </c>
    </row>
    <row r="261" spans="3:13">
      <c r="C261" s="168"/>
      <c r="E261" s="114" t="s">
        <v>5679</v>
      </c>
      <c r="F261" s="2" t="s">
        <v>5771</v>
      </c>
      <c r="G261" s="137" t="s">
        <v>5863</v>
      </c>
      <c r="H261" s="168" t="s">
        <v>5488</v>
      </c>
      <c r="I261" s="2" t="s">
        <v>5417</v>
      </c>
      <c r="J261" s="2" t="str">
        <f>VLOOKUP(E261,'[1]HRBP Tagging'!$A:$D,4,0)</f>
        <v>Sara</v>
      </c>
      <c r="K261" s="114" t="s">
        <v>5781</v>
      </c>
      <c r="L261" s="170" t="s">
        <v>5418</v>
      </c>
      <c r="M261" t="str">
        <f>VLOOKUP(E261,'[2]AM Client'!$B:$C,2,0)</f>
        <v>Deepak Desai</v>
      </c>
    </row>
    <row r="262" spans="3:13">
      <c r="E262" s="114" t="s">
        <v>5749</v>
      </c>
      <c r="F262" s="114" t="s">
        <v>5771</v>
      </c>
      <c r="G262" s="137" t="s">
        <v>5434</v>
      </c>
      <c r="H262" s="168" t="s">
        <v>5801</v>
      </c>
      <c r="I262" t="s">
        <v>5430</v>
      </c>
      <c r="J262" s="2" t="str">
        <f>VLOOKUP(E262,'[1]HRBP Tagging'!$A:$D,4,0)</f>
        <v>Meenu Amit Kumar</v>
      </c>
      <c r="K262" s="114" t="s">
        <v>5802</v>
      </c>
      <c r="L262" s="156" t="s">
        <v>5773</v>
      </c>
      <c r="M262" t="str">
        <f>VLOOKUP(E262,'[2]AM Client'!$B:$C,2,0)</f>
        <v>Deepak Desai</v>
      </c>
    </row>
    <row r="263" spans="3:13">
      <c r="E263" s="155" t="s">
        <v>5898</v>
      </c>
      <c r="F263" s="114" t="s">
        <v>44</v>
      </c>
      <c r="G263" s="153" t="s">
        <v>5429</v>
      </c>
      <c r="I263" s="2" t="s">
        <v>5425</v>
      </c>
      <c r="J263" s="2" t="e">
        <f>VLOOKUP(E263,'[1]HRBP Tagging'!$A:$D,4,0)</f>
        <v>#N/A</v>
      </c>
      <c r="K263" s="2" t="str">
        <f>VLOOKUP($E263,'[2]AM Client'!$A:$F,6,0)</f>
        <v>Captive</v>
      </c>
      <c r="M263" t="str">
        <f>VLOOKUP(E263,'[2]AM Client'!$B:$C,2,0)</f>
        <v>Sadhna Shukla</v>
      </c>
    </row>
    <row r="264" spans="3:13">
      <c r="C264" s="97"/>
      <c r="E264" s="2" t="s">
        <v>5706</v>
      </c>
      <c r="F264" s="2" t="s">
        <v>5778</v>
      </c>
      <c r="G264" s="153"/>
      <c r="J264" s="2" t="e">
        <f>VLOOKUP(E264,'[1]HRBP Tagging'!$A:$D,4,0)</f>
        <v>#N/A</v>
      </c>
      <c r="K264" s="2" t="str">
        <f>VLOOKUP($E264,'[2]AM Client'!$A:$F,6,0)</f>
        <v>ITES</v>
      </c>
      <c r="M264" t="s">
        <v>27</v>
      </c>
    </row>
    <row r="265" spans="3:13">
      <c r="E265" s="2" t="s">
        <v>5529</v>
      </c>
      <c r="F265" s="2" t="s">
        <v>5778</v>
      </c>
      <c r="G265" s="153"/>
      <c r="J265" s="2" t="e">
        <f>VLOOKUP(E265,'[1]HRBP Tagging'!$A:$D,4,0)</f>
        <v>#N/A</v>
      </c>
      <c r="K265" s="2" t="str">
        <f>VLOOKUP($E265,'[2]AM Client'!$A:$F,6,0)</f>
        <v/>
      </c>
      <c r="M265" t="s">
        <v>27</v>
      </c>
    </row>
    <row r="266" spans="3:13">
      <c r="E266" s="2" t="s">
        <v>5561</v>
      </c>
      <c r="F266" s="2" t="s">
        <v>5685</v>
      </c>
      <c r="G266" s="153" t="s">
        <v>45</v>
      </c>
      <c r="J266" s="2" t="str">
        <f>VLOOKUP(E266,'[1]HRBP Tagging'!$A:$D,4,0)</f>
        <v>Meenu Amit Kumar</v>
      </c>
      <c r="K266" s="2" t="str">
        <f>VLOOKUP($E266,'[2]AM Client'!$A:$F,6,0)</f>
        <v>Captive</v>
      </c>
      <c r="M266" t="s">
        <v>45</v>
      </c>
    </row>
    <row r="267" spans="3:13">
      <c r="E267" s="2" t="s">
        <v>5899</v>
      </c>
      <c r="F267" s="114" t="s">
        <v>5771</v>
      </c>
      <c r="G267" s="166"/>
      <c r="H267" s="61" t="s">
        <v>118</v>
      </c>
      <c r="I267" t="s">
        <v>5430</v>
      </c>
      <c r="J267" s="2" t="str">
        <f>VLOOKUP(E267,'[1]HRBP Tagging'!$A:$D,4,0)</f>
        <v>sara</v>
      </c>
      <c r="K267" s="114" t="s">
        <v>5802</v>
      </c>
      <c r="L267" t="s">
        <v>5773</v>
      </c>
      <c r="M267" t="str">
        <f>VLOOKUP(E267,'[2]AM Client'!$B:$C,2,0)</f>
        <v>Deepak Desai</v>
      </c>
    </row>
    <row r="268" spans="3:13">
      <c r="E268" s="2" t="s">
        <v>4998</v>
      </c>
      <c r="F268" s="2" t="s">
        <v>94</v>
      </c>
      <c r="G268" s="153" t="s">
        <v>1030</v>
      </c>
      <c r="J268" s="2" t="str">
        <f>VLOOKUP(E268,'[1]HRBP Tagging'!$A:$D,4,0)</f>
        <v>Sara</v>
      </c>
      <c r="K268" s="2" t="str">
        <f>VLOOKUP($E268,'[2]AM Client'!$A:$F,6,0)</f>
        <v>Services</v>
      </c>
      <c r="M268" t="str">
        <f>VLOOKUP(E268,'[2]AM Client'!$B:$C,2,0)</f>
        <v>Prathap Sagar</v>
      </c>
    </row>
    <row r="269" spans="3:13">
      <c r="E269" s="2" t="s">
        <v>5900</v>
      </c>
      <c r="F269" s="2" t="s">
        <v>44</v>
      </c>
      <c r="G269" t="s">
        <v>5429</v>
      </c>
      <c r="J269" s="2" t="e">
        <f>VLOOKUP(E269,'[1]HRBP Tagging'!$A:$D,4,0)</f>
        <v>#N/A</v>
      </c>
      <c r="K269" s="2" t="str">
        <f>VLOOKUP($E269,'[2]AM Client'!$A:$F,6,0)</f>
        <v>Captive</v>
      </c>
      <c r="M269" t="str">
        <f>VLOOKUP(E269,'[2]AM Client'!$B:$C,2,0)</f>
        <v>Sadhna Shukla</v>
      </c>
    </row>
    <row r="270" spans="3:13">
      <c r="E270" s="2" t="s">
        <v>5901</v>
      </c>
      <c r="F270" s="2" t="s">
        <v>5778</v>
      </c>
      <c r="J270" s="2" t="str">
        <f>VLOOKUP(E270,'[1]HRBP Tagging'!$A:$D,4,0)</f>
        <v>Lavanya</v>
      </c>
      <c r="K270" s="2" t="str">
        <f>VLOOKUP($E270,'[2]AM Client'!$A:$F,6,0)</f>
        <v>ITES</v>
      </c>
      <c r="M270" t="str">
        <f>VLOOKUP(E270,'[2]AM Client'!$B:$C,2,0)</f>
        <v>Jawad Ulla Khan Non IT</v>
      </c>
    </row>
    <row r="271" spans="3:13">
      <c r="E271" s="2" t="s">
        <v>5902</v>
      </c>
      <c r="F271" s="2" t="s">
        <v>44</v>
      </c>
      <c r="G271" t="s">
        <v>5429</v>
      </c>
      <c r="J271" s="2" t="e">
        <f>VLOOKUP(E271,'[1]HRBP Tagging'!$A:$D,4,0)</f>
        <v>#N/A</v>
      </c>
      <c r="K271" s="2" t="str">
        <f>VLOOKUP($E271,'[2]AM Client'!$A:$F,6,0)</f>
        <v>Captive</v>
      </c>
      <c r="M271" t="str">
        <f>VLOOKUP(E271,'[2]AM Client'!$B:$C,2,0)</f>
        <v>Sadhna Shukla</v>
      </c>
    </row>
    <row r="272" spans="3:13">
      <c r="E272" s="2" t="s">
        <v>5669</v>
      </c>
      <c r="F272" s="2" t="s">
        <v>5780</v>
      </c>
      <c r="G272" s="177" t="s">
        <v>5813</v>
      </c>
      <c r="J272" s="2" t="e">
        <f>VLOOKUP(E272,'[1]HRBP Tagging'!$A:$D,4,0)</f>
        <v>#N/A</v>
      </c>
      <c r="K272" s="2" t="str">
        <f>VLOOKUP($E272,'[2]AM Client'!$A:$F,6,0)</f>
        <v/>
      </c>
      <c r="M272" t="str">
        <f>VLOOKUP(E272,'[2]AM Client'!$B:$C,2,0)</f>
        <v>None</v>
      </c>
    </row>
    <row r="273" spans="4:13">
      <c r="D273" s="42"/>
      <c r="E273" s="2" t="s">
        <v>5903</v>
      </c>
      <c r="F273" s="114" t="s">
        <v>5771</v>
      </c>
      <c r="G273" s="153" t="s">
        <v>33</v>
      </c>
      <c r="J273" s="2">
        <f>VLOOKUP(E273,'[1]HRBP Tagging'!$A:$D,4,0)</f>
        <v>0</v>
      </c>
      <c r="K273" s="2" t="str">
        <f>VLOOKUP($E273,'[2]AM Client'!$A:$F,6,0)</f>
        <v>SOW Captive</v>
      </c>
      <c r="M273" t="str">
        <f>VLOOKUP(E273,'[2]AM Client'!$B:$C,2,0)</f>
        <v>Deepak Desai</v>
      </c>
    </row>
    <row r="274" spans="4:13">
      <c r="E274" s="2" t="s">
        <v>5904</v>
      </c>
      <c r="F274" s="114" t="s">
        <v>5771</v>
      </c>
      <c r="G274" s="153" t="s">
        <v>33</v>
      </c>
      <c r="J274" s="2">
        <f>VLOOKUP(E274,'[1]HRBP Tagging'!$A:$D,4,0)</f>
        <v>0</v>
      </c>
      <c r="K274" s="2" t="str">
        <f>VLOOKUP($E274,'[2]AM Client'!$A:$F,6,0)</f>
        <v>SOW Captive</v>
      </c>
      <c r="M274" t="str">
        <f>VLOOKUP(E274,'[2]AM Client'!$B:$C,2,0)</f>
        <v>Deepak Desai</v>
      </c>
    </row>
    <row r="275" spans="4:13">
      <c r="E275" s="2" t="s">
        <v>5905</v>
      </c>
      <c r="F275" s="114" t="s">
        <v>5771</v>
      </c>
      <c r="G275" s="153" t="s">
        <v>33</v>
      </c>
      <c r="J275" s="2">
        <f>VLOOKUP(E275,'[1]HRBP Tagging'!$A:$D,4,0)</f>
        <v>0</v>
      </c>
      <c r="K275" s="2" t="str">
        <f>VLOOKUP($E275,'[2]AM Client'!$A:$F,6,0)</f>
        <v>SOW Captive</v>
      </c>
      <c r="M275" t="str">
        <f>VLOOKUP(E275,'[2]AM Client'!$B:$C,2,0)</f>
        <v>Deepak Desai</v>
      </c>
    </row>
    <row r="326" spans="3:3">
      <c r="C326" s="5"/>
    </row>
    <row r="336" spans="3:3">
      <c r="C336" s="5"/>
    </row>
    <row r="364" spans="3:3">
      <c r="C364" s="5"/>
    </row>
    <row r="369" spans="3:3">
      <c r="C369" s="5"/>
    </row>
    <row r="422" spans="3:3">
      <c r="C422" s="5"/>
    </row>
    <row r="427" spans="3:3">
      <c r="C427" s="5"/>
    </row>
    <row r="435" spans="3:3">
      <c r="C435" s="5"/>
    </row>
    <row r="476" spans="3:3">
      <c r="C476" s="5"/>
    </row>
    <row r="960" spans="3:3">
      <c r="C960" s="5"/>
    </row>
    <row r="962" spans="3:3">
      <c r="C962" s="5"/>
    </row>
    <row r="1040" spans="3:3">
      <c r="C1040" s="5"/>
    </row>
    <row r="1057" spans="3:3">
      <c r="C1057" s="3"/>
    </row>
    <row r="1068" spans="3:3">
      <c r="C1068" s="3"/>
    </row>
    <row r="1102" spans="3:3">
      <c r="C1102" s="3"/>
    </row>
    <row r="1121" spans="3:3">
      <c r="C1121" s="3"/>
    </row>
    <row r="1131" spans="3:3">
      <c r="C1131" s="3"/>
    </row>
    <row r="1177" spans="3:3">
      <c r="C1177" s="3"/>
    </row>
    <row r="1200" spans="3:3">
      <c r="C1200" s="3"/>
    </row>
    <row r="1267" spans="3:3">
      <c r="C1267" s="3"/>
    </row>
    <row r="1438" spans="3:3">
      <c r="C1438" s="3"/>
    </row>
    <row r="1442" spans="3:3">
      <c r="C1442" s="3"/>
    </row>
    <row r="1444" spans="3:3">
      <c r="C1444" s="3"/>
    </row>
    <row r="1451" spans="3:3">
      <c r="C1451" s="3"/>
    </row>
    <row r="1461" spans="3:3">
      <c r="C1461" s="3"/>
    </row>
    <row r="1472" spans="3:3">
      <c r="C1472" s="3"/>
    </row>
    <row r="1497" spans="3:3">
      <c r="C1497" s="3"/>
    </row>
    <row r="2371" spans="3:3">
      <c r="C2371" s="4"/>
    </row>
    <row r="2478" spans="1:1" ht="15.75">
      <c r="A2478" s="11"/>
    </row>
    <row r="2480" spans="1:1" ht="16.5">
      <c r="A2480" s="12"/>
    </row>
    <row r="2505" spans="1:1">
      <c r="A2505" s="15"/>
    </row>
    <row r="2506" spans="1:1">
      <c r="A2506" s="15"/>
    </row>
    <row r="2507" spans="1:1">
      <c r="A2507" s="15"/>
    </row>
    <row r="2508" spans="1:1">
      <c r="A2508" s="15"/>
    </row>
    <row r="2509" spans="1:1">
      <c r="A2509" s="15"/>
    </row>
  </sheetData>
  <conditionalFormatting sqref="B145">
    <cfRule type="duplicateValues" dxfId="23" priority="11"/>
    <cfRule type="duplicateValues" dxfId="22" priority="12"/>
  </conditionalFormatting>
  <conditionalFormatting sqref="B146">
    <cfRule type="duplicateValues" dxfId="21" priority="15"/>
    <cfRule type="duplicateValues" dxfId="20" priority="16"/>
  </conditionalFormatting>
  <conditionalFormatting sqref="B157">
    <cfRule type="duplicateValues" dxfId="19" priority="13"/>
    <cfRule type="duplicateValues" dxfId="18" priority="14"/>
  </conditionalFormatting>
  <conditionalFormatting sqref="E235">
    <cfRule type="duplicateValues" dxfId="17" priority="19"/>
    <cfRule type="duplicateValues" dxfId="16" priority="20"/>
  </conditionalFormatting>
  <conditionalFormatting sqref="E238:E240">
    <cfRule type="duplicateValues" dxfId="15" priority="17"/>
    <cfRule type="duplicateValues" dxfId="14" priority="18"/>
  </conditionalFormatting>
  <conditionalFormatting sqref="E261:E262">
    <cfRule type="duplicateValues" dxfId="13" priority="8"/>
    <cfRule type="duplicateValues" dxfId="12" priority="9"/>
  </conditionalFormatting>
  <conditionalFormatting sqref="E263 E227:E234 E241:E242 E1:E49 E51:E225 E268 E276:E1048576">
    <cfRule type="duplicateValues" dxfId="11" priority="23"/>
    <cfRule type="duplicateValues" dxfId="10" priority="24"/>
  </conditionalFormatting>
  <conditionalFormatting sqref="E264">
    <cfRule type="duplicateValues" dxfId="9" priority="7"/>
  </conditionalFormatting>
  <conditionalFormatting sqref="E265:E266">
    <cfRule type="duplicateValues" dxfId="8" priority="6"/>
  </conditionalFormatting>
  <conditionalFormatting sqref="E267">
    <cfRule type="duplicateValues" dxfId="7" priority="1"/>
    <cfRule type="duplicateValues" dxfId="6" priority="2"/>
  </conditionalFormatting>
  <pageMargins left="0.7" right="0.7" top="0.75" bottom="0.75" header="0.3" footer="0.3"/>
  <pageSetup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025E-BA64-412A-8DBF-19A64CAB7C0F}">
  <sheetPr codeName="Sheet11"/>
  <dimension ref="A1:R218"/>
  <sheetViews>
    <sheetView tabSelected="1" workbookViewId="0">
      <selection activeCell="D8" sqref="D8"/>
    </sheetView>
  </sheetViews>
  <sheetFormatPr defaultRowHeight="15"/>
  <cols>
    <col min="1" max="1" width="31.5703125" bestFit="1" customWidth="1"/>
    <col min="2" max="2" width="20.5703125" bestFit="1" customWidth="1"/>
    <col min="3" max="3" width="17.7109375" bestFit="1" customWidth="1"/>
    <col min="4" max="4" width="10" bestFit="1" customWidth="1"/>
    <col min="5" max="5" width="9.28515625" bestFit="1" customWidth="1"/>
    <col min="6" max="6" width="15.42578125" bestFit="1" customWidth="1"/>
    <col min="7" max="8" width="10.85546875" bestFit="1" customWidth="1"/>
    <col min="9" max="9" width="10.7109375" bestFit="1" customWidth="1"/>
    <col min="10" max="10" width="14.5703125" bestFit="1" customWidth="1"/>
    <col min="11" max="11" width="7" bestFit="1" customWidth="1"/>
    <col min="12" max="12" width="4" bestFit="1" customWidth="1"/>
    <col min="19" max="19" width="31.5703125" bestFit="1" customWidth="1"/>
    <col min="20" max="20" width="15.85546875" bestFit="1" customWidth="1"/>
  </cols>
  <sheetData>
    <row r="1" spans="1:18">
      <c r="A1" s="141" t="s">
        <v>5906</v>
      </c>
      <c r="B1" s="141" t="s">
        <v>56</v>
      </c>
      <c r="C1" s="141" t="s">
        <v>5907</v>
      </c>
      <c r="D1" s="141" t="s">
        <v>5908</v>
      </c>
      <c r="E1" s="141" t="s">
        <v>5909</v>
      </c>
      <c r="F1" s="141" t="s">
        <v>5910</v>
      </c>
      <c r="G1" s="141" t="s">
        <v>5911</v>
      </c>
      <c r="H1" s="141" t="s">
        <v>5911</v>
      </c>
      <c r="I1" s="141" t="s">
        <v>5912</v>
      </c>
      <c r="J1" s="141" t="s">
        <v>5913</v>
      </c>
      <c r="K1" t="s">
        <v>5914</v>
      </c>
    </row>
    <row r="2" spans="1:18">
      <c r="A2" s="117" t="s">
        <v>5915</v>
      </c>
      <c r="B2" s="118" t="s">
        <v>5832</v>
      </c>
      <c r="C2" s="42" t="s">
        <v>5771</v>
      </c>
      <c r="D2" s="14" t="s">
        <v>5916</v>
      </c>
      <c r="E2" s="14" t="s">
        <v>5621</v>
      </c>
      <c r="F2" s="42" t="s">
        <v>5417</v>
      </c>
      <c r="G2" s="42" t="s">
        <v>5917</v>
      </c>
      <c r="H2" s="115" t="s">
        <v>5917</v>
      </c>
      <c r="I2" s="116">
        <v>45341</v>
      </c>
      <c r="J2" s="42" t="s">
        <v>5918</v>
      </c>
      <c r="K2" t="str">
        <f ca="1">IF(I2="","",
IF(DATEDIF(I2,TODAY(),"M")&lt;=3,"0-3M",
IF(DATEDIF(I2,TODAY(),"M")&lt;=6,"4-6M",
IF(DATEDIF(I2,TODAY(),"M")&lt;=12,"7-12M","12M+"))))</f>
        <v>12M+</v>
      </c>
    </row>
    <row r="3" spans="1:18">
      <c r="A3" s="117" t="s">
        <v>5919</v>
      </c>
      <c r="B3" s="42" t="s">
        <v>5791</v>
      </c>
      <c r="C3" s="42" t="s">
        <v>5920</v>
      </c>
      <c r="D3" s="14" t="s">
        <v>5916</v>
      </c>
      <c r="E3" s="14" t="s">
        <v>5921</v>
      </c>
      <c r="F3" s="42" t="s">
        <v>5423</v>
      </c>
      <c r="G3" s="42" t="s">
        <v>5922</v>
      </c>
      <c r="H3" s="115" t="s">
        <v>5922</v>
      </c>
      <c r="I3" s="116">
        <v>45271</v>
      </c>
      <c r="J3" s="14" t="s">
        <v>5918</v>
      </c>
      <c r="K3" t="str">
        <f t="shared" ref="K3:K66" ca="1" si="0">IF(I3="","",
IF(DATEDIF(I3,TODAY(),"M")&lt;=3,"0-3M",
IF(DATEDIF(I3,TODAY(),"M")&lt;=6,"4-6M",
IF(DATEDIF(I3,TODAY(),"M")&lt;=12,"7-12M","12M+"))))</f>
        <v>12M+</v>
      </c>
    </row>
    <row r="4" spans="1:18">
      <c r="A4" s="178" t="s">
        <v>5923</v>
      </c>
      <c r="B4" s="42" t="s">
        <v>5791</v>
      </c>
      <c r="C4" s="42" t="s">
        <v>5920</v>
      </c>
      <c r="D4" s="14" t="s">
        <v>5916</v>
      </c>
      <c r="E4" s="14" t="s">
        <v>5921</v>
      </c>
      <c r="F4" s="14" t="s">
        <v>5423</v>
      </c>
      <c r="G4" s="42" t="s">
        <v>5924</v>
      </c>
      <c r="H4" s="115" t="s">
        <v>5924</v>
      </c>
      <c r="I4" s="116">
        <v>45308</v>
      </c>
      <c r="J4" s="42" t="s">
        <v>5925</v>
      </c>
      <c r="K4" t="str">
        <f t="shared" ca="1" si="0"/>
        <v>12M+</v>
      </c>
    </row>
    <row r="5" spans="1:18">
      <c r="A5" s="17" t="s">
        <v>5926</v>
      </c>
      <c r="B5" s="42" t="s">
        <v>5791</v>
      </c>
      <c r="C5" s="42" t="s">
        <v>5920</v>
      </c>
      <c r="D5" s="14" t="s">
        <v>5916</v>
      </c>
      <c r="E5" s="14" t="s">
        <v>5921</v>
      </c>
      <c r="F5" s="14" t="s">
        <v>5423</v>
      </c>
      <c r="G5" s="42" t="s">
        <v>5927</v>
      </c>
      <c r="H5" s="115" t="s">
        <v>5927</v>
      </c>
      <c r="I5" s="116">
        <v>45341</v>
      </c>
      <c r="J5" s="14" t="s">
        <v>5918</v>
      </c>
      <c r="K5" t="str">
        <f t="shared" ca="1" si="0"/>
        <v>12M+</v>
      </c>
    </row>
    <row r="6" spans="1:18">
      <c r="A6" s="117" t="s">
        <v>5928</v>
      </c>
      <c r="B6" s="42" t="s">
        <v>5791</v>
      </c>
      <c r="C6" s="42" t="s">
        <v>5920</v>
      </c>
      <c r="D6" s="14" t="s">
        <v>5916</v>
      </c>
      <c r="E6" s="54" t="s">
        <v>5921</v>
      </c>
      <c r="F6" s="54" t="s">
        <v>5423</v>
      </c>
      <c r="G6" s="42" t="s">
        <v>5929</v>
      </c>
      <c r="H6" s="115" t="s">
        <v>5929</v>
      </c>
      <c r="I6" s="116">
        <v>45530</v>
      </c>
      <c r="J6" s="42" t="s">
        <v>5918</v>
      </c>
      <c r="K6" t="str">
        <f t="shared" ca="1" si="0"/>
        <v>12M+</v>
      </c>
      <c r="R6" s="97"/>
    </row>
    <row r="7" spans="1:18">
      <c r="A7" s="117" t="s">
        <v>5930</v>
      </c>
      <c r="B7" s="42" t="s">
        <v>5791</v>
      </c>
      <c r="C7" s="42" t="s">
        <v>5920</v>
      </c>
      <c r="D7" s="14" t="s">
        <v>5916</v>
      </c>
      <c r="E7" s="54" t="s">
        <v>5921</v>
      </c>
      <c r="F7" s="54" t="s">
        <v>5423</v>
      </c>
      <c r="G7" s="42" t="s">
        <v>5931</v>
      </c>
      <c r="H7" s="115" t="s">
        <v>5931</v>
      </c>
      <c r="I7" s="116">
        <v>45532</v>
      </c>
      <c r="J7" s="42" t="s">
        <v>5918</v>
      </c>
      <c r="K7" t="str">
        <f t="shared" ca="1" si="0"/>
        <v>12M+</v>
      </c>
    </row>
    <row r="8" spans="1:18">
      <c r="A8" s="117" t="s">
        <v>5932</v>
      </c>
      <c r="B8" s="42" t="s">
        <v>5791</v>
      </c>
      <c r="C8" s="42" t="s">
        <v>5920</v>
      </c>
      <c r="D8" s="14" t="s">
        <v>5916</v>
      </c>
      <c r="E8" s="54" t="s">
        <v>5921</v>
      </c>
      <c r="F8" s="54" t="s">
        <v>5423</v>
      </c>
      <c r="G8" s="42" t="s">
        <v>5933</v>
      </c>
      <c r="H8" s="115" t="s">
        <v>5933</v>
      </c>
      <c r="I8" s="116">
        <v>45565</v>
      </c>
      <c r="J8" s="42" t="s">
        <v>5918</v>
      </c>
      <c r="K8" t="str">
        <f t="shared" ca="1" si="0"/>
        <v>12M+</v>
      </c>
    </row>
    <row r="9" spans="1:18">
      <c r="A9" s="117" t="s">
        <v>5934</v>
      </c>
      <c r="B9" s="42" t="s">
        <v>5791</v>
      </c>
      <c r="C9" s="42" t="s">
        <v>5920</v>
      </c>
      <c r="D9" s="14" t="s">
        <v>5916</v>
      </c>
      <c r="E9" s="54" t="s">
        <v>5921</v>
      </c>
      <c r="F9" s="54" t="s">
        <v>5423</v>
      </c>
      <c r="G9" s="42" t="s">
        <v>5935</v>
      </c>
      <c r="H9" s="115" t="s">
        <v>5935</v>
      </c>
      <c r="I9" s="116">
        <v>45569</v>
      </c>
      <c r="J9" s="42" t="s">
        <v>5918</v>
      </c>
      <c r="K9" t="str">
        <f t="shared" ca="1" si="0"/>
        <v>12M+</v>
      </c>
    </row>
    <row r="10" spans="1:18">
      <c r="A10" s="117" t="s">
        <v>969</v>
      </c>
      <c r="B10" s="42" t="s">
        <v>5936</v>
      </c>
      <c r="C10" s="42" t="s">
        <v>94</v>
      </c>
      <c r="D10" s="42" t="s">
        <v>5916</v>
      </c>
      <c r="E10" s="42" t="s">
        <v>5621</v>
      </c>
      <c r="F10" s="42" t="s">
        <v>5417</v>
      </c>
      <c r="G10" s="42" t="s">
        <v>5937</v>
      </c>
      <c r="H10" s="115" t="s">
        <v>5937</v>
      </c>
      <c r="I10" s="116">
        <v>44867</v>
      </c>
      <c r="J10" s="42" t="s">
        <v>5918</v>
      </c>
      <c r="K10" t="str">
        <f t="shared" ca="1" si="0"/>
        <v>12M+</v>
      </c>
    </row>
    <row r="11" spans="1:18">
      <c r="A11" s="117" t="s">
        <v>5938</v>
      </c>
      <c r="B11" s="42" t="s">
        <v>2380</v>
      </c>
      <c r="C11" s="42" t="s">
        <v>94</v>
      </c>
      <c r="D11" s="14" t="s">
        <v>5916</v>
      </c>
      <c r="E11" s="14" t="s">
        <v>5621</v>
      </c>
      <c r="F11" s="14" t="s">
        <v>5417</v>
      </c>
      <c r="G11" s="42" t="s">
        <v>5939</v>
      </c>
      <c r="H11" s="115" t="s">
        <v>5939</v>
      </c>
      <c r="I11" s="116">
        <v>45343</v>
      </c>
      <c r="J11" s="42" t="s">
        <v>5918</v>
      </c>
      <c r="K11" t="str">
        <f t="shared" ca="1" si="0"/>
        <v>12M+</v>
      </c>
    </row>
    <row r="12" spans="1:18">
      <c r="A12" s="157" t="s">
        <v>5940</v>
      </c>
      <c r="B12" s="42" t="s">
        <v>5473</v>
      </c>
      <c r="C12" s="42" t="s">
        <v>5771</v>
      </c>
      <c r="D12" s="14" t="s">
        <v>5916</v>
      </c>
      <c r="E12" s="54" t="s">
        <v>5621</v>
      </c>
      <c r="F12" s="42" t="s">
        <v>5430</v>
      </c>
      <c r="G12" s="42" t="s">
        <v>5941</v>
      </c>
      <c r="H12" s="115" t="s">
        <v>5941</v>
      </c>
      <c r="I12" s="116">
        <v>45539</v>
      </c>
      <c r="J12" s="42" t="s">
        <v>5918</v>
      </c>
      <c r="K12" t="str">
        <f t="shared" ca="1" si="0"/>
        <v>12M+</v>
      </c>
    </row>
    <row r="13" spans="1:18">
      <c r="A13" s="117" t="s">
        <v>5942</v>
      </c>
      <c r="B13" s="42" t="s">
        <v>5488</v>
      </c>
      <c r="C13" s="42" t="s">
        <v>94</v>
      </c>
      <c r="D13" s="14" t="s">
        <v>5916</v>
      </c>
      <c r="E13" s="54" t="s">
        <v>5621</v>
      </c>
      <c r="F13" s="54" t="s">
        <v>5417</v>
      </c>
      <c r="G13" s="42" t="s">
        <v>5943</v>
      </c>
      <c r="H13" s="115" t="s">
        <v>5943</v>
      </c>
      <c r="I13" s="116">
        <v>45730</v>
      </c>
      <c r="J13" s="54" t="s">
        <v>5918</v>
      </c>
      <c r="K13" t="str">
        <f t="shared" ca="1" si="0"/>
        <v>12M+</v>
      </c>
    </row>
    <row r="14" spans="1:18">
      <c r="A14" s="117" t="s">
        <v>5944</v>
      </c>
      <c r="B14" s="61" t="s">
        <v>5945</v>
      </c>
      <c r="C14" s="158" t="s">
        <v>5780</v>
      </c>
      <c r="D14" s="122" t="s">
        <v>5916</v>
      </c>
      <c r="E14" s="123" t="s">
        <v>5621</v>
      </c>
      <c r="F14" s="123" t="s">
        <v>5420</v>
      </c>
      <c r="G14" s="42" t="s">
        <v>5946</v>
      </c>
      <c r="H14" s="115" t="s">
        <v>5946</v>
      </c>
      <c r="I14" s="159">
        <v>45726</v>
      </c>
      <c r="J14" s="123" t="s">
        <v>5918</v>
      </c>
      <c r="K14" t="str">
        <f t="shared" ca="1" si="0"/>
        <v>12M+</v>
      </c>
    </row>
    <row r="15" spans="1:18">
      <c r="A15" s="117" t="s">
        <v>5947</v>
      </c>
      <c r="B15" s="118" t="s">
        <v>5789</v>
      </c>
      <c r="C15" s="14" t="s">
        <v>44</v>
      </c>
      <c r="D15" s="42" t="s">
        <v>5916</v>
      </c>
      <c r="E15" s="42" t="s">
        <v>5649</v>
      </c>
      <c r="F15" s="54" t="s">
        <v>5948</v>
      </c>
      <c r="G15" s="42" t="s">
        <v>5949</v>
      </c>
      <c r="H15" s="115" t="s">
        <v>5949</v>
      </c>
      <c r="I15" s="116">
        <v>45453</v>
      </c>
      <c r="J15" s="42" t="s">
        <v>5918</v>
      </c>
      <c r="K15" t="str">
        <f t="shared" ca="1" si="0"/>
        <v>12M+</v>
      </c>
    </row>
    <row r="16" spans="1:18">
      <c r="A16" s="157" t="s">
        <v>5950</v>
      </c>
      <c r="B16" s="42" t="s">
        <v>1983</v>
      </c>
      <c r="C16" s="14" t="s">
        <v>44</v>
      </c>
      <c r="D16" s="14" t="s">
        <v>5916</v>
      </c>
      <c r="E16" s="54" t="s">
        <v>5621</v>
      </c>
      <c r="F16" s="54" t="s">
        <v>5425</v>
      </c>
      <c r="G16" s="42" t="s">
        <v>5951</v>
      </c>
      <c r="H16" s="115" t="s">
        <v>5951</v>
      </c>
      <c r="I16" s="116">
        <v>45574</v>
      </c>
      <c r="J16" s="42" t="s">
        <v>5925</v>
      </c>
      <c r="K16" t="str">
        <f t="shared" ca="1" si="0"/>
        <v>12M+</v>
      </c>
    </row>
    <row r="17" spans="1:11">
      <c r="A17" s="117" t="s">
        <v>5952</v>
      </c>
      <c r="B17" s="42" t="s">
        <v>1983</v>
      </c>
      <c r="C17" s="14" t="s">
        <v>44</v>
      </c>
      <c r="D17" s="14" t="s">
        <v>5916</v>
      </c>
      <c r="E17" s="54" t="s">
        <v>5621</v>
      </c>
      <c r="F17" s="54" t="s">
        <v>5425</v>
      </c>
      <c r="G17" s="42" t="s">
        <v>5953</v>
      </c>
      <c r="H17" s="115" t="s">
        <v>5953</v>
      </c>
      <c r="I17" s="116">
        <v>45691</v>
      </c>
      <c r="J17" s="54" t="s">
        <v>5918</v>
      </c>
      <c r="K17" t="str">
        <f t="shared" ca="1" si="0"/>
        <v>12M+</v>
      </c>
    </row>
    <row r="18" spans="1:11">
      <c r="A18" s="117" t="s">
        <v>5954</v>
      </c>
      <c r="B18" s="61" t="s">
        <v>5945</v>
      </c>
      <c r="C18" s="42" t="s">
        <v>5780</v>
      </c>
      <c r="D18" s="14" t="s">
        <v>5916</v>
      </c>
      <c r="E18" s="54" t="s">
        <v>5621</v>
      </c>
      <c r="F18" s="42" t="s">
        <v>5955</v>
      </c>
      <c r="G18" s="42" t="s">
        <v>5956</v>
      </c>
      <c r="H18" s="115" t="s">
        <v>5956</v>
      </c>
      <c r="I18" s="116">
        <v>45439</v>
      </c>
      <c r="J18" s="42" t="s">
        <v>5925</v>
      </c>
      <c r="K18" t="str">
        <f t="shared" ca="1" si="0"/>
        <v>12M+</v>
      </c>
    </row>
    <row r="19" spans="1:11">
      <c r="A19" s="117" t="s">
        <v>5957</v>
      </c>
      <c r="B19" s="42" t="s">
        <v>159</v>
      </c>
      <c r="C19" s="42" t="s">
        <v>27</v>
      </c>
      <c r="D19" s="14" t="s">
        <v>5916</v>
      </c>
      <c r="E19" s="42" t="s">
        <v>5649</v>
      </c>
      <c r="F19" s="54" t="s">
        <v>5416</v>
      </c>
      <c r="G19" s="42" t="s">
        <v>5958</v>
      </c>
      <c r="H19" s="115" t="s">
        <v>5958</v>
      </c>
      <c r="I19" s="116">
        <v>45446</v>
      </c>
      <c r="J19" s="42" t="s">
        <v>5918</v>
      </c>
      <c r="K19" t="str">
        <f t="shared" ca="1" si="0"/>
        <v>12M+</v>
      </c>
    </row>
    <row r="20" spans="1:11">
      <c r="A20" s="117" t="s">
        <v>5959</v>
      </c>
      <c r="B20" s="42" t="s">
        <v>159</v>
      </c>
      <c r="C20" s="42" t="s">
        <v>27</v>
      </c>
      <c r="D20" s="14" t="s">
        <v>5916</v>
      </c>
      <c r="E20" s="42" t="s">
        <v>5649</v>
      </c>
      <c r="F20" s="54" t="s">
        <v>5416</v>
      </c>
      <c r="G20" s="42" t="s">
        <v>5960</v>
      </c>
      <c r="H20" s="115" t="s">
        <v>5960</v>
      </c>
      <c r="I20" s="116">
        <v>45565</v>
      </c>
      <c r="J20" s="42" t="s">
        <v>5918</v>
      </c>
      <c r="K20" t="str">
        <f t="shared" ca="1" si="0"/>
        <v>12M+</v>
      </c>
    </row>
    <row r="21" spans="1:11">
      <c r="A21" s="117" t="s">
        <v>5961</v>
      </c>
      <c r="B21" s="42" t="s">
        <v>159</v>
      </c>
      <c r="C21" s="42" t="s">
        <v>27</v>
      </c>
      <c r="D21" s="14" t="s">
        <v>5916</v>
      </c>
      <c r="E21" s="42" t="s">
        <v>5649</v>
      </c>
      <c r="F21" s="42" t="s">
        <v>5416</v>
      </c>
      <c r="G21" s="42" t="s">
        <v>5962</v>
      </c>
      <c r="H21" s="115" t="s">
        <v>5962</v>
      </c>
      <c r="I21" s="116">
        <v>45439</v>
      </c>
      <c r="J21" s="42" t="s">
        <v>5918</v>
      </c>
      <c r="K21" t="str">
        <f t="shared" ca="1" si="0"/>
        <v>12M+</v>
      </c>
    </row>
    <row r="22" spans="1:11">
      <c r="A22" s="70" t="s">
        <v>5963</v>
      </c>
      <c r="B22" s="125" t="s">
        <v>5473</v>
      </c>
      <c r="C22" s="42" t="s">
        <v>5771</v>
      </c>
      <c r="D22" s="14" t="s">
        <v>5916</v>
      </c>
      <c r="E22" s="54" t="s">
        <v>5621</v>
      </c>
      <c r="F22" s="54" t="s">
        <v>5430</v>
      </c>
      <c r="G22" s="42" t="s">
        <v>5964</v>
      </c>
      <c r="H22" s="115" t="s">
        <v>5964</v>
      </c>
      <c r="I22" s="116">
        <v>45715</v>
      </c>
      <c r="J22" s="54" t="s">
        <v>5918</v>
      </c>
      <c r="K22" t="str">
        <f t="shared" ca="1" si="0"/>
        <v>12M+</v>
      </c>
    </row>
    <row r="23" spans="1:11">
      <c r="A23" s="70" t="s">
        <v>5965</v>
      </c>
      <c r="B23" s="125" t="s">
        <v>5473</v>
      </c>
      <c r="C23" s="42" t="s">
        <v>5771</v>
      </c>
      <c r="D23" s="14" t="s">
        <v>5916</v>
      </c>
      <c r="E23" s="54" t="s">
        <v>5621</v>
      </c>
      <c r="F23" s="54" t="s">
        <v>5430</v>
      </c>
      <c r="G23" s="42" t="s">
        <v>5966</v>
      </c>
      <c r="H23" s="115" t="s">
        <v>5966</v>
      </c>
      <c r="I23" s="116">
        <v>45722</v>
      </c>
      <c r="J23" s="54" t="s">
        <v>5918</v>
      </c>
      <c r="K23" t="str">
        <f t="shared" ca="1" si="0"/>
        <v>12M+</v>
      </c>
    </row>
    <row r="24" spans="1:11">
      <c r="A24" s="117" t="s">
        <v>341</v>
      </c>
      <c r="B24" s="42" t="s">
        <v>5789</v>
      </c>
      <c r="C24" s="42" t="s">
        <v>44</v>
      </c>
      <c r="D24" s="42" t="s">
        <v>5916</v>
      </c>
      <c r="E24" s="42" t="s">
        <v>5621</v>
      </c>
      <c r="F24" s="42" t="s">
        <v>5425</v>
      </c>
      <c r="G24" s="42" t="s">
        <v>5967</v>
      </c>
      <c r="H24" s="115" t="s">
        <v>5967</v>
      </c>
      <c r="I24" s="116">
        <v>44545</v>
      </c>
      <c r="J24" s="42" t="s">
        <v>5918</v>
      </c>
      <c r="K24" t="str">
        <f t="shared" ca="1" si="0"/>
        <v>12M+</v>
      </c>
    </row>
    <row r="25" spans="1:11">
      <c r="A25" s="117" t="s">
        <v>186</v>
      </c>
      <c r="B25" s="42" t="s">
        <v>5789</v>
      </c>
      <c r="C25" s="42" t="s">
        <v>44</v>
      </c>
      <c r="D25" s="42" t="s">
        <v>5916</v>
      </c>
      <c r="E25" s="42" t="s">
        <v>5621</v>
      </c>
      <c r="F25" s="42" t="s">
        <v>5425</v>
      </c>
      <c r="G25" s="42" t="s">
        <v>5968</v>
      </c>
      <c r="H25" s="115" t="s">
        <v>5968</v>
      </c>
      <c r="I25" s="116">
        <v>44949</v>
      </c>
      <c r="J25" s="42" t="s">
        <v>5918</v>
      </c>
      <c r="K25" t="str">
        <f t="shared" ca="1" si="0"/>
        <v>12M+</v>
      </c>
    </row>
    <row r="26" spans="1:11">
      <c r="A26" s="61" t="s">
        <v>5969</v>
      </c>
      <c r="B26" s="42" t="s">
        <v>5789</v>
      </c>
      <c r="C26" s="14" t="s">
        <v>44</v>
      </c>
      <c r="D26" s="18" t="s">
        <v>5916</v>
      </c>
      <c r="E26" s="119" t="s">
        <v>5649</v>
      </c>
      <c r="F26" s="42" t="s">
        <v>5948</v>
      </c>
      <c r="G26" s="42" t="s">
        <v>5970</v>
      </c>
      <c r="H26" s="115" t="s">
        <v>5970</v>
      </c>
      <c r="I26" s="121">
        <v>45686</v>
      </c>
      <c r="J26" s="54" t="s">
        <v>5918</v>
      </c>
      <c r="K26" t="str">
        <f t="shared" ca="1" si="0"/>
        <v>12M+</v>
      </c>
    </row>
    <row r="27" spans="1:11">
      <c r="A27" s="70" t="s">
        <v>5971</v>
      </c>
      <c r="B27" s="42" t="s">
        <v>5789</v>
      </c>
      <c r="C27" s="42" t="s">
        <v>44</v>
      </c>
      <c r="D27" s="14" t="s">
        <v>5916</v>
      </c>
      <c r="E27" s="54" t="s">
        <v>5621</v>
      </c>
      <c r="F27" s="54" t="s">
        <v>5425</v>
      </c>
      <c r="G27" s="42" t="s">
        <v>5972</v>
      </c>
      <c r="H27" s="115" t="s">
        <v>5972</v>
      </c>
      <c r="I27" s="116">
        <v>45726</v>
      </c>
      <c r="J27" s="54" t="s">
        <v>5918</v>
      </c>
      <c r="K27" t="str">
        <f t="shared" ca="1" si="0"/>
        <v>12M+</v>
      </c>
    </row>
    <row r="28" spans="1:11">
      <c r="A28" s="117" t="s">
        <v>5400</v>
      </c>
      <c r="B28" s="42" t="s">
        <v>5973</v>
      </c>
      <c r="C28" s="42" t="s">
        <v>5771</v>
      </c>
      <c r="D28" s="14" t="s">
        <v>5916</v>
      </c>
      <c r="E28" s="14" t="s">
        <v>5621</v>
      </c>
      <c r="F28" s="14" t="s">
        <v>5974</v>
      </c>
      <c r="G28" s="42" t="s">
        <v>5975</v>
      </c>
      <c r="H28" s="115" t="s">
        <v>5975</v>
      </c>
      <c r="I28" s="116">
        <v>45348</v>
      </c>
      <c r="J28" s="14" t="s">
        <v>5918</v>
      </c>
      <c r="K28" t="str">
        <f t="shared" ca="1" si="0"/>
        <v>12M+</v>
      </c>
    </row>
    <row r="29" spans="1:11">
      <c r="A29" s="117" t="s">
        <v>5976</v>
      </c>
      <c r="B29" s="42" t="s">
        <v>683</v>
      </c>
      <c r="C29" s="42" t="s">
        <v>5771</v>
      </c>
      <c r="D29" s="42" t="s">
        <v>5916</v>
      </c>
      <c r="E29" s="42" t="s">
        <v>5621</v>
      </c>
      <c r="F29" s="42" t="s">
        <v>5420</v>
      </c>
      <c r="G29" s="42" t="s">
        <v>5977</v>
      </c>
      <c r="H29" s="115" t="s">
        <v>5977</v>
      </c>
      <c r="I29" s="116">
        <v>45369</v>
      </c>
      <c r="J29" s="42" t="s">
        <v>5918</v>
      </c>
      <c r="K29" t="str">
        <f t="shared" ca="1" si="0"/>
        <v>12M+</v>
      </c>
    </row>
    <row r="30" spans="1:11">
      <c r="A30" s="117" t="s">
        <v>5978</v>
      </c>
      <c r="B30" s="23" t="s">
        <v>5151</v>
      </c>
      <c r="C30" s="23" t="s">
        <v>5151</v>
      </c>
      <c r="D30" s="14" t="s">
        <v>5916</v>
      </c>
      <c r="E30" s="14" t="s">
        <v>5436</v>
      </c>
      <c r="F30" s="14" t="s">
        <v>5436</v>
      </c>
      <c r="G30" s="42" t="s">
        <v>5979</v>
      </c>
      <c r="H30" s="115" t="s">
        <v>5979</v>
      </c>
      <c r="I30" s="116">
        <v>45326</v>
      </c>
      <c r="J30" s="42" t="s">
        <v>5918</v>
      </c>
      <c r="K30" t="str">
        <f t="shared" ca="1" si="0"/>
        <v>12M+</v>
      </c>
    </row>
    <row r="31" spans="1:11">
      <c r="A31" s="117" t="s">
        <v>5980</v>
      </c>
      <c r="B31" s="42" t="s">
        <v>5786</v>
      </c>
      <c r="C31" s="42" t="s">
        <v>5771</v>
      </c>
      <c r="D31" s="14" t="s">
        <v>5916</v>
      </c>
      <c r="E31" s="54" t="s">
        <v>5621</v>
      </c>
      <c r="F31" s="54" t="s">
        <v>5430</v>
      </c>
      <c r="G31" s="42" t="s">
        <v>5981</v>
      </c>
      <c r="H31" s="115" t="s">
        <v>5981</v>
      </c>
      <c r="I31" s="116">
        <v>45705</v>
      </c>
      <c r="J31" s="54" t="s">
        <v>5925</v>
      </c>
      <c r="K31" t="str">
        <f t="shared" ca="1" si="0"/>
        <v>12M+</v>
      </c>
    </row>
    <row r="32" spans="1:11">
      <c r="A32" s="117" t="s">
        <v>5982</v>
      </c>
      <c r="B32" s="42" t="s">
        <v>5786</v>
      </c>
      <c r="C32" s="42" t="s">
        <v>5771</v>
      </c>
      <c r="D32" s="14" t="s">
        <v>5916</v>
      </c>
      <c r="E32" s="54" t="s">
        <v>5621</v>
      </c>
      <c r="F32" s="54" t="s">
        <v>5430</v>
      </c>
      <c r="G32" s="42" t="s">
        <v>5983</v>
      </c>
      <c r="H32" s="115" t="s">
        <v>5983</v>
      </c>
      <c r="I32" s="116">
        <v>45728</v>
      </c>
      <c r="J32" s="54" t="s">
        <v>5925</v>
      </c>
      <c r="K32" t="str">
        <f t="shared" ca="1" si="0"/>
        <v>12M+</v>
      </c>
    </row>
    <row r="33" spans="1:11">
      <c r="A33" s="117" t="s">
        <v>5984</v>
      </c>
      <c r="B33" s="42" t="s">
        <v>5490</v>
      </c>
      <c r="C33" s="42" t="s">
        <v>94</v>
      </c>
      <c r="D33" s="42" t="s">
        <v>5916</v>
      </c>
      <c r="E33" s="42" t="s">
        <v>5621</v>
      </c>
      <c r="F33" s="14" t="s">
        <v>5417</v>
      </c>
      <c r="G33" s="42" t="s">
        <v>5985</v>
      </c>
      <c r="H33" s="115" t="s">
        <v>5985</v>
      </c>
      <c r="I33" s="116">
        <v>45420</v>
      </c>
      <c r="J33" s="42" t="s">
        <v>5918</v>
      </c>
      <c r="K33" t="str">
        <f t="shared" ca="1" si="0"/>
        <v>12M+</v>
      </c>
    </row>
    <row r="34" spans="1:11">
      <c r="A34" s="117" t="s">
        <v>4866</v>
      </c>
      <c r="B34" s="42" t="s">
        <v>2380</v>
      </c>
      <c r="C34" s="42" t="s">
        <v>94</v>
      </c>
      <c r="D34" s="42" t="s">
        <v>5916</v>
      </c>
      <c r="E34" s="42" t="s">
        <v>5621</v>
      </c>
      <c r="F34" s="14" t="s">
        <v>5417</v>
      </c>
      <c r="G34" s="42" t="s">
        <v>5986</v>
      </c>
      <c r="H34" s="115" t="s">
        <v>5986</v>
      </c>
      <c r="I34" s="116">
        <v>45257</v>
      </c>
      <c r="J34" s="14" t="s">
        <v>5918</v>
      </c>
      <c r="K34" t="str">
        <f t="shared" ca="1" si="0"/>
        <v>12M+</v>
      </c>
    </row>
    <row r="35" spans="1:11">
      <c r="A35" s="117" t="s">
        <v>5987</v>
      </c>
      <c r="B35" s="118" t="s">
        <v>1558</v>
      </c>
      <c r="C35" s="42" t="s">
        <v>5771</v>
      </c>
      <c r="D35" s="14" t="s">
        <v>5916</v>
      </c>
      <c r="E35" s="54" t="s">
        <v>5621</v>
      </c>
      <c r="F35" s="42" t="s">
        <v>5417</v>
      </c>
      <c r="G35" s="42" t="s">
        <v>5988</v>
      </c>
      <c r="H35" s="115" t="s">
        <v>5988</v>
      </c>
      <c r="I35" s="116">
        <v>45434</v>
      </c>
      <c r="J35" s="42" t="s">
        <v>5918</v>
      </c>
      <c r="K35" t="str">
        <f t="shared" ca="1" si="0"/>
        <v>12M+</v>
      </c>
    </row>
    <row r="36" spans="1:11">
      <c r="A36" s="117" t="s">
        <v>305</v>
      </c>
      <c r="B36" s="42" t="s">
        <v>118</v>
      </c>
      <c r="C36" s="42" t="s">
        <v>5989</v>
      </c>
      <c r="D36" s="42" t="s">
        <v>5916</v>
      </c>
      <c r="E36" s="42" t="s">
        <v>5621</v>
      </c>
      <c r="F36" s="42" t="s">
        <v>5414</v>
      </c>
      <c r="G36" s="42" t="s">
        <v>5990</v>
      </c>
      <c r="H36" s="115" t="s">
        <v>5990</v>
      </c>
      <c r="I36" s="116">
        <v>44461</v>
      </c>
      <c r="J36" s="42" t="s">
        <v>5918</v>
      </c>
      <c r="K36" t="str">
        <f t="shared" ca="1" si="0"/>
        <v>12M+</v>
      </c>
    </row>
    <row r="37" spans="1:11">
      <c r="A37" s="117" t="s">
        <v>1303</v>
      </c>
      <c r="B37" s="42" t="s">
        <v>118</v>
      </c>
      <c r="C37" s="42" t="s">
        <v>5989</v>
      </c>
      <c r="D37" s="42" t="s">
        <v>5916</v>
      </c>
      <c r="E37" s="42" t="s">
        <v>5621</v>
      </c>
      <c r="F37" s="42" t="s">
        <v>5414</v>
      </c>
      <c r="G37" s="42" t="s">
        <v>5991</v>
      </c>
      <c r="H37" s="115" t="s">
        <v>5991</v>
      </c>
      <c r="I37" s="116">
        <v>45217</v>
      </c>
      <c r="J37" s="42" t="s">
        <v>5918</v>
      </c>
      <c r="K37" t="str">
        <f t="shared" ca="1" si="0"/>
        <v>12M+</v>
      </c>
    </row>
    <row r="38" spans="1:11">
      <c r="A38" s="117" t="s">
        <v>5992</v>
      </c>
      <c r="B38" s="23" t="s">
        <v>5936</v>
      </c>
      <c r="C38" s="42" t="s">
        <v>94</v>
      </c>
      <c r="D38" s="14" t="s">
        <v>5916</v>
      </c>
      <c r="E38" s="42" t="s">
        <v>5993</v>
      </c>
      <c r="F38" s="42" t="s">
        <v>5994</v>
      </c>
      <c r="G38" s="42" t="s">
        <v>5995</v>
      </c>
      <c r="H38" s="115" t="s">
        <v>5995</v>
      </c>
      <c r="I38" s="116">
        <v>45476</v>
      </c>
      <c r="J38" s="42" t="s">
        <v>5918</v>
      </c>
      <c r="K38" t="str">
        <f t="shared" ca="1" si="0"/>
        <v>12M+</v>
      </c>
    </row>
    <row r="39" spans="1:11">
      <c r="A39" s="117" t="s">
        <v>5996</v>
      </c>
      <c r="B39" s="42" t="s">
        <v>5936</v>
      </c>
      <c r="C39" s="42" t="s">
        <v>94</v>
      </c>
      <c r="D39" s="14" t="s">
        <v>5916</v>
      </c>
      <c r="E39" s="42" t="s">
        <v>5621</v>
      </c>
      <c r="F39" s="42" t="s">
        <v>5994</v>
      </c>
      <c r="G39" s="42" t="s">
        <v>5997</v>
      </c>
      <c r="H39" s="115" t="s">
        <v>5997</v>
      </c>
      <c r="I39" s="116">
        <v>45161</v>
      </c>
      <c r="J39" s="14" t="s">
        <v>5918</v>
      </c>
      <c r="K39" t="str">
        <f t="shared" ca="1" si="0"/>
        <v>12M+</v>
      </c>
    </row>
    <row r="40" spans="1:11">
      <c r="A40" s="117" t="s">
        <v>5998</v>
      </c>
      <c r="B40" s="23" t="s">
        <v>5999</v>
      </c>
      <c r="C40" s="42" t="s">
        <v>44</v>
      </c>
      <c r="D40" s="14" t="s">
        <v>5916</v>
      </c>
      <c r="E40" s="42" t="s">
        <v>5993</v>
      </c>
      <c r="F40" s="42" t="s">
        <v>5994</v>
      </c>
      <c r="G40" s="42" t="s">
        <v>6000</v>
      </c>
      <c r="H40" s="115" t="s">
        <v>6000</v>
      </c>
      <c r="I40" s="116">
        <v>45434</v>
      </c>
      <c r="J40" s="42" t="s">
        <v>5925</v>
      </c>
      <c r="K40" t="str">
        <f t="shared" ca="1" si="0"/>
        <v>12M+</v>
      </c>
    </row>
    <row r="41" spans="1:11">
      <c r="A41" s="70" t="s">
        <v>6001</v>
      </c>
      <c r="B41" s="42" t="s">
        <v>118</v>
      </c>
      <c r="C41" s="42" t="s">
        <v>5989</v>
      </c>
      <c r="D41" s="42" t="s">
        <v>5916</v>
      </c>
      <c r="E41" s="54" t="s">
        <v>5621</v>
      </c>
      <c r="F41" s="54" t="s">
        <v>5414</v>
      </c>
      <c r="G41" s="42" t="s">
        <v>6002</v>
      </c>
      <c r="H41" s="115" t="s">
        <v>6002</v>
      </c>
      <c r="I41" s="116">
        <v>45735</v>
      </c>
      <c r="J41" s="54" t="s">
        <v>5918</v>
      </c>
      <c r="K41" t="str">
        <f t="shared" ca="1" si="0"/>
        <v>12M+</v>
      </c>
    </row>
    <row r="42" spans="1:11">
      <c r="A42" s="117" t="s">
        <v>6003</v>
      </c>
      <c r="B42" s="126" t="s">
        <v>194</v>
      </c>
      <c r="C42" s="42" t="s">
        <v>27</v>
      </c>
      <c r="D42" s="18" t="s">
        <v>5916</v>
      </c>
      <c r="E42" s="118" t="s">
        <v>5649</v>
      </c>
      <c r="F42" s="119" t="s">
        <v>5416</v>
      </c>
      <c r="G42" s="42" t="s">
        <v>6004</v>
      </c>
      <c r="H42" s="115" t="s">
        <v>6004</v>
      </c>
      <c r="I42" s="121">
        <v>45754</v>
      </c>
      <c r="J42" s="119" t="s">
        <v>5918</v>
      </c>
      <c r="K42" t="str">
        <f t="shared" ca="1" si="0"/>
        <v>12M+</v>
      </c>
    </row>
    <row r="43" spans="1:11">
      <c r="A43" s="70" t="s">
        <v>6005</v>
      </c>
      <c r="B43" s="42" t="s">
        <v>5789</v>
      </c>
      <c r="C43" s="14" t="s">
        <v>44</v>
      </c>
      <c r="D43" s="14" t="s">
        <v>5916</v>
      </c>
      <c r="E43" s="54" t="s">
        <v>5621</v>
      </c>
      <c r="F43" s="54" t="s">
        <v>5425</v>
      </c>
      <c r="G43" s="42" t="s">
        <v>6006</v>
      </c>
      <c r="H43" s="115" t="s">
        <v>6006</v>
      </c>
      <c r="I43" s="116">
        <v>45754</v>
      </c>
      <c r="J43" s="54" t="s">
        <v>5918</v>
      </c>
      <c r="K43" t="str">
        <f t="shared" ca="1" si="0"/>
        <v>12M+</v>
      </c>
    </row>
    <row r="44" spans="1:11">
      <c r="A44" s="70" t="s">
        <v>6007</v>
      </c>
      <c r="B44" s="42" t="s">
        <v>5791</v>
      </c>
      <c r="C44" s="42" t="s">
        <v>5920</v>
      </c>
      <c r="D44" s="14" t="s">
        <v>5916</v>
      </c>
      <c r="E44" s="42" t="s">
        <v>5621</v>
      </c>
      <c r="F44" s="54" t="s">
        <v>5423</v>
      </c>
      <c r="G44" s="42" t="s">
        <v>6008</v>
      </c>
      <c r="H44" s="115" t="s">
        <v>6008</v>
      </c>
      <c r="I44" s="116">
        <v>45756</v>
      </c>
      <c r="J44" s="54" t="s">
        <v>5918</v>
      </c>
      <c r="K44" t="str">
        <f t="shared" ca="1" si="0"/>
        <v>12M+</v>
      </c>
    </row>
    <row r="45" spans="1:11" ht="15.75">
      <c r="A45" s="41" t="s">
        <v>6009</v>
      </c>
      <c r="B45" s="118" t="s">
        <v>140</v>
      </c>
      <c r="C45" s="42" t="s">
        <v>27</v>
      </c>
      <c r="D45" s="14" t="s">
        <v>5916</v>
      </c>
      <c r="E45" s="54" t="s">
        <v>5649</v>
      </c>
      <c r="F45" s="54" t="s">
        <v>5416</v>
      </c>
      <c r="G45" s="42" t="s">
        <v>6010</v>
      </c>
      <c r="H45" s="115" t="s">
        <v>6010</v>
      </c>
      <c r="I45" s="116">
        <v>45761</v>
      </c>
      <c r="J45" s="54" t="s">
        <v>5918</v>
      </c>
      <c r="K45" t="str">
        <f t="shared" ca="1" si="0"/>
        <v>12M+</v>
      </c>
    </row>
    <row r="46" spans="1:11">
      <c r="A46" s="70" t="s">
        <v>6011</v>
      </c>
      <c r="B46" s="42" t="s">
        <v>194</v>
      </c>
      <c r="C46" s="42" t="s">
        <v>27</v>
      </c>
      <c r="D46" s="14" t="s">
        <v>5916</v>
      </c>
      <c r="E46" s="54" t="s">
        <v>5649</v>
      </c>
      <c r="F46" s="54" t="s">
        <v>5416</v>
      </c>
      <c r="G46" s="42" t="s">
        <v>6012</v>
      </c>
      <c r="H46" s="115" t="s">
        <v>6012</v>
      </c>
      <c r="I46" s="116">
        <v>45768</v>
      </c>
      <c r="J46" s="54" t="s">
        <v>5918</v>
      </c>
      <c r="K46" t="str">
        <f t="shared" ca="1" si="0"/>
        <v>7-12M</v>
      </c>
    </row>
    <row r="47" spans="1:11">
      <c r="A47" s="70" t="s">
        <v>6013</v>
      </c>
      <c r="B47" s="42" t="s">
        <v>194</v>
      </c>
      <c r="C47" s="42" t="s">
        <v>27</v>
      </c>
      <c r="D47" s="14" t="s">
        <v>5916</v>
      </c>
      <c r="E47" s="54" t="s">
        <v>5649</v>
      </c>
      <c r="F47" s="54" t="s">
        <v>5416</v>
      </c>
      <c r="G47" s="42" t="s">
        <v>6014</v>
      </c>
      <c r="H47" s="115" t="s">
        <v>6014</v>
      </c>
      <c r="I47" s="116">
        <v>45768</v>
      </c>
      <c r="J47" s="54" t="s">
        <v>5918</v>
      </c>
      <c r="K47" t="str">
        <f t="shared" ca="1" si="0"/>
        <v>7-12M</v>
      </c>
    </row>
    <row r="48" spans="1:11">
      <c r="A48" s="70" t="s">
        <v>6015</v>
      </c>
      <c r="B48" s="42" t="s">
        <v>5789</v>
      </c>
      <c r="C48" s="14" t="s">
        <v>44</v>
      </c>
      <c r="D48" s="14" t="s">
        <v>5916</v>
      </c>
      <c r="E48" s="54" t="s">
        <v>5621</v>
      </c>
      <c r="F48" s="54" t="s">
        <v>5425</v>
      </c>
      <c r="G48" s="42" t="s">
        <v>6016</v>
      </c>
      <c r="H48" s="115" t="s">
        <v>6016</v>
      </c>
      <c r="I48" s="121">
        <v>45775</v>
      </c>
      <c r="J48" s="119" t="s">
        <v>5925</v>
      </c>
      <c r="K48" t="str">
        <f t="shared" ca="1" si="0"/>
        <v>7-12M</v>
      </c>
    </row>
    <row r="49" spans="1:11">
      <c r="A49" s="70" t="s">
        <v>6017</v>
      </c>
      <c r="B49" s="42" t="s">
        <v>5488</v>
      </c>
      <c r="C49" s="42" t="s">
        <v>94</v>
      </c>
      <c r="D49" s="14" t="s">
        <v>5916</v>
      </c>
      <c r="E49" s="54" t="s">
        <v>5621</v>
      </c>
      <c r="F49" s="54" t="s">
        <v>5417</v>
      </c>
      <c r="G49" s="42" t="s">
        <v>6018</v>
      </c>
      <c r="H49" s="115" t="s">
        <v>6018</v>
      </c>
      <c r="I49" s="116">
        <v>45782</v>
      </c>
      <c r="J49" s="119" t="s">
        <v>5918</v>
      </c>
      <c r="K49" t="str">
        <f t="shared" ca="1" si="0"/>
        <v>7-12M</v>
      </c>
    </row>
    <row r="50" spans="1:11">
      <c r="A50" s="70" t="s">
        <v>6019</v>
      </c>
      <c r="B50" s="42" t="s">
        <v>5945</v>
      </c>
      <c r="C50" s="42" t="s">
        <v>5780</v>
      </c>
      <c r="D50" s="14" t="s">
        <v>5916</v>
      </c>
      <c r="E50" s="54" t="s">
        <v>5621</v>
      </c>
      <c r="F50" s="54" t="s">
        <v>5420</v>
      </c>
      <c r="G50" s="42" t="s">
        <v>6020</v>
      </c>
      <c r="H50" s="115" t="s">
        <v>6020</v>
      </c>
      <c r="I50" s="116">
        <v>45784</v>
      </c>
      <c r="J50" s="119" t="s">
        <v>5918</v>
      </c>
      <c r="K50" t="str">
        <f t="shared" ca="1" si="0"/>
        <v>7-12M</v>
      </c>
    </row>
    <row r="51" spans="1:11">
      <c r="A51" s="70" t="s">
        <v>6021</v>
      </c>
      <c r="B51" s="42" t="s">
        <v>5945</v>
      </c>
      <c r="C51" s="42" t="s">
        <v>5780</v>
      </c>
      <c r="D51" s="14" t="s">
        <v>5916</v>
      </c>
      <c r="E51" s="54" t="s">
        <v>5621</v>
      </c>
      <c r="F51" s="54" t="s">
        <v>5420</v>
      </c>
      <c r="G51" s="42" t="s">
        <v>6022</v>
      </c>
      <c r="H51" s="115" t="s">
        <v>6022</v>
      </c>
      <c r="I51" s="116">
        <v>45784</v>
      </c>
      <c r="J51" s="119" t="s">
        <v>5918</v>
      </c>
      <c r="K51" t="str">
        <f t="shared" ca="1" si="0"/>
        <v>7-12M</v>
      </c>
    </row>
    <row r="52" spans="1:11">
      <c r="A52" s="70" t="s">
        <v>6023</v>
      </c>
      <c r="B52" s="118" t="s">
        <v>6024</v>
      </c>
      <c r="C52" s="42" t="s">
        <v>5771</v>
      </c>
      <c r="D52" s="14" t="s">
        <v>5916</v>
      </c>
      <c r="E52" s="54" t="s">
        <v>5621</v>
      </c>
      <c r="F52" s="54" t="s">
        <v>5420</v>
      </c>
      <c r="G52" s="42" t="s">
        <v>6025</v>
      </c>
      <c r="H52" s="115" t="s">
        <v>6025</v>
      </c>
      <c r="I52" s="116">
        <v>45789</v>
      </c>
      <c r="J52" s="119" t="s">
        <v>5918</v>
      </c>
      <c r="K52" t="str">
        <f t="shared" ca="1" si="0"/>
        <v>7-12M</v>
      </c>
    </row>
    <row r="53" spans="1:11">
      <c r="A53" s="117" t="s">
        <v>6026</v>
      </c>
      <c r="B53" s="118" t="s">
        <v>5786</v>
      </c>
      <c r="C53" s="42" t="s">
        <v>5771</v>
      </c>
      <c r="D53" s="18" t="s">
        <v>5916</v>
      </c>
      <c r="E53" s="119" t="s">
        <v>5621</v>
      </c>
      <c r="F53" s="119" t="s">
        <v>5430</v>
      </c>
      <c r="G53" s="42" t="s">
        <v>6027</v>
      </c>
      <c r="H53" s="115" t="s">
        <v>6027</v>
      </c>
      <c r="I53" s="121">
        <v>45782</v>
      </c>
      <c r="J53" s="119" t="s">
        <v>5925</v>
      </c>
      <c r="K53" t="str">
        <f t="shared" ca="1" si="0"/>
        <v>7-12M</v>
      </c>
    </row>
    <row r="54" spans="1:11">
      <c r="A54" s="117" t="s">
        <v>6028</v>
      </c>
      <c r="B54" s="118" t="s">
        <v>5786</v>
      </c>
      <c r="C54" s="42" t="s">
        <v>5771</v>
      </c>
      <c r="D54" s="18" t="s">
        <v>5916</v>
      </c>
      <c r="E54" s="119" t="s">
        <v>5621</v>
      </c>
      <c r="F54" s="119" t="s">
        <v>5430</v>
      </c>
      <c r="G54" s="42" t="s">
        <v>6029</v>
      </c>
      <c r="H54" s="115" t="s">
        <v>6029</v>
      </c>
      <c r="I54" s="121">
        <v>45782</v>
      </c>
      <c r="J54" s="119" t="s">
        <v>5918</v>
      </c>
      <c r="K54" t="str">
        <f t="shared" ca="1" si="0"/>
        <v>7-12M</v>
      </c>
    </row>
    <row r="55" spans="1:11">
      <c r="A55" s="117" t="s">
        <v>6030</v>
      </c>
      <c r="B55" s="118" t="s">
        <v>5786</v>
      </c>
      <c r="C55" s="42" t="s">
        <v>5771</v>
      </c>
      <c r="D55" s="18" t="s">
        <v>5916</v>
      </c>
      <c r="E55" s="119" t="s">
        <v>5621</v>
      </c>
      <c r="F55" s="119" t="s">
        <v>5430</v>
      </c>
      <c r="G55" s="42" t="s">
        <v>6031</v>
      </c>
      <c r="H55" s="115" t="s">
        <v>6031</v>
      </c>
      <c r="I55" s="121">
        <v>45775</v>
      </c>
      <c r="J55" s="119" t="s">
        <v>5918</v>
      </c>
      <c r="K55" t="str">
        <f t="shared" ca="1" si="0"/>
        <v>7-12M</v>
      </c>
    </row>
    <row r="56" spans="1:11">
      <c r="A56" s="117" t="s">
        <v>6032</v>
      </c>
      <c r="B56" s="42" t="s">
        <v>6024</v>
      </c>
      <c r="C56" s="42" t="s">
        <v>5771</v>
      </c>
      <c r="D56" s="14" t="s">
        <v>5916</v>
      </c>
      <c r="E56" s="54" t="s">
        <v>5621</v>
      </c>
      <c r="F56" s="54" t="s">
        <v>5420</v>
      </c>
      <c r="G56" s="42" t="s">
        <v>6033</v>
      </c>
      <c r="H56" s="115" t="s">
        <v>6033</v>
      </c>
      <c r="I56" s="116">
        <v>45791</v>
      </c>
      <c r="J56" s="119" t="s">
        <v>5918</v>
      </c>
      <c r="K56" t="str">
        <f t="shared" ca="1" si="0"/>
        <v>7-12M</v>
      </c>
    </row>
    <row r="57" spans="1:11">
      <c r="A57" s="61" t="s">
        <v>6034</v>
      </c>
      <c r="B57" s="42" t="s">
        <v>118</v>
      </c>
      <c r="C57" s="42" t="s">
        <v>5989</v>
      </c>
      <c r="D57" s="14" t="s">
        <v>5916</v>
      </c>
      <c r="E57" s="54" t="s">
        <v>5621</v>
      </c>
      <c r="F57" s="54" t="s">
        <v>5414</v>
      </c>
      <c r="G57" s="42" t="s">
        <v>6035</v>
      </c>
      <c r="H57" s="115" t="s">
        <v>6035</v>
      </c>
      <c r="I57" s="116">
        <v>45791</v>
      </c>
      <c r="J57" s="119" t="s">
        <v>5918</v>
      </c>
      <c r="K57" t="str">
        <f t="shared" ca="1" si="0"/>
        <v>7-12M</v>
      </c>
    </row>
    <row r="58" spans="1:11">
      <c r="A58" s="70" t="s">
        <v>6036</v>
      </c>
      <c r="B58" s="42" t="s">
        <v>5832</v>
      </c>
      <c r="C58" s="42" t="s">
        <v>5771</v>
      </c>
      <c r="D58" s="14" t="s">
        <v>5916</v>
      </c>
      <c r="E58" s="54" t="s">
        <v>5621</v>
      </c>
      <c r="F58" s="54" t="s">
        <v>5417</v>
      </c>
      <c r="G58" s="42" t="s">
        <v>6025</v>
      </c>
      <c r="H58" s="115" t="s">
        <v>6025</v>
      </c>
      <c r="I58" s="116">
        <v>45789</v>
      </c>
      <c r="J58" s="119" t="s">
        <v>5918</v>
      </c>
      <c r="K58" t="str">
        <f t="shared" ca="1" si="0"/>
        <v>7-12M</v>
      </c>
    </row>
    <row r="59" spans="1:11">
      <c r="A59" s="70" t="s">
        <v>6037</v>
      </c>
      <c r="B59" s="118" t="s">
        <v>2380</v>
      </c>
      <c r="C59" s="42" t="s">
        <v>94</v>
      </c>
      <c r="D59" s="14" t="s">
        <v>5916</v>
      </c>
      <c r="E59" s="54" t="s">
        <v>5621</v>
      </c>
      <c r="F59" s="54" t="s">
        <v>5417</v>
      </c>
      <c r="G59" s="42" t="s">
        <v>6038</v>
      </c>
      <c r="H59" s="115" t="s">
        <v>6038</v>
      </c>
      <c r="I59" s="116">
        <v>45789</v>
      </c>
      <c r="J59" s="119" t="s">
        <v>5925</v>
      </c>
      <c r="K59" t="str">
        <f t="shared" ca="1" si="0"/>
        <v>7-12M</v>
      </c>
    </row>
    <row r="60" spans="1:11">
      <c r="A60" s="129" t="s">
        <v>6039</v>
      </c>
      <c r="B60" s="118" t="s">
        <v>5786</v>
      </c>
      <c r="C60" s="42" t="s">
        <v>5771</v>
      </c>
      <c r="D60" s="18" t="s">
        <v>5916</v>
      </c>
      <c r="E60" s="119" t="s">
        <v>5621</v>
      </c>
      <c r="F60" s="119" t="s">
        <v>5430</v>
      </c>
      <c r="G60" s="42" t="s">
        <v>6040</v>
      </c>
      <c r="H60" s="115" t="s">
        <v>6040</v>
      </c>
      <c r="I60" s="121">
        <v>45812</v>
      </c>
      <c r="J60" s="119" t="s">
        <v>5918</v>
      </c>
      <c r="K60" t="str">
        <f t="shared" ca="1" si="0"/>
        <v>7-12M</v>
      </c>
    </row>
    <row r="61" spans="1:11">
      <c r="A61" s="70" t="s">
        <v>6041</v>
      </c>
      <c r="B61" s="42" t="s">
        <v>1983</v>
      </c>
      <c r="C61" s="14" t="s">
        <v>44</v>
      </c>
      <c r="D61" s="14" t="s">
        <v>5916</v>
      </c>
      <c r="E61" s="54" t="s">
        <v>5621</v>
      </c>
      <c r="F61" s="54" t="s">
        <v>5425</v>
      </c>
      <c r="G61" s="42" t="s">
        <v>6042</v>
      </c>
      <c r="H61" s="115" t="s">
        <v>6042</v>
      </c>
      <c r="I61" s="116">
        <v>45810</v>
      </c>
      <c r="J61" s="119" t="s">
        <v>5918</v>
      </c>
      <c r="K61" t="str">
        <f t="shared" ca="1" si="0"/>
        <v>7-12M</v>
      </c>
    </row>
    <row r="62" spans="1:11">
      <c r="A62" s="70" t="s">
        <v>6043</v>
      </c>
      <c r="B62" s="42" t="s">
        <v>5789</v>
      </c>
      <c r="C62" s="14" t="s">
        <v>44</v>
      </c>
      <c r="D62" s="14" t="s">
        <v>5916</v>
      </c>
      <c r="E62" s="54" t="s">
        <v>5649</v>
      </c>
      <c r="F62" s="42" t="s">
        <v>5948</v>
      </c>
      <c r="G62" s="42" t="s">
        <v>6044</v>
      </c>
      <c r="H62" s="115" t="s">
        <v>6044</v>
      </c>
      <c r="I62" s="116">
        <v>45810</v>
      </c>
      <c r="J62" s="54" t="s">
        <v>5918</v>
      </c>
      <c r="K62" t="str">
        <f t="shared" ca="1" si="0"/>
        <v>7-12M</v>
      </c>
    </row>
    <row r="63" spans="1:11">
      <c r="A63" t="s">
        <v>6045</v>
      </c>
      <c r="B63" s="23" t="s">
        <v>5151</v>
      </c>
      <c r="C63" s="23" t="s">
        <v>5151</v>
      </c>
      <c r="D63" s="14" t="s">
        <v>5916</v>
      </c>
      <c r="E63" s="54" t="s">
        <v>5436</v>
      </c>
      <c r="F63" s="54" t="s">
        <v>5436</v>
      </c>
      <c r="G63" s="42" t="s">
        <v>6046</v>
      </c>
      <c r="H63" s="115" t="s">
        <v>6046</v>
      </c>
      <c r="I63" s="116">
        <v>45824</v>
      </c>
      <c r="J63" s="54" t="s">
        <v>5918</v>
      </c>
      <c r="K63" t="str">
        <f t="shared" ca="1" si="0"/>
        <v>7-12M</v>
      </c>
    </row>
    <row r="64" spans="1:11">
      <c r="A64" s="61" t="s">
        <v>6047</v>
      </c>
      <c r="B64" s="42" t="s">
        <v>5789</v>
      </c>
      <c r="C64" s="14" t="s">
        <v>44</v>
      </c>
      <c r="D64" s="14" t="s">
        <v>5916</v>
      </c>
      <c r="E64" s="54" t="s">
        <v>5621</v>
      </c>
      <c r="F64" s="54" t="s">
        <v>5425</v>
      </c>
      <c r="G64" s="42" t="s">
        <v>6048</v>
      </c>
      <c r="H64" s="115" t="s">
        <v>6048</v>
      </c>
      <c r="I64" s="116">
        <v>45824</v>
      </c>
      <c r="J64" s="54" t="s">
        <v>5918</v>
      </c>
      <c r="K64" t="str">
        <f t="shared" ca="1" si="0"/>
        <v>7-12M</v>
      </c>
    </row>
    <row r="65" spans="1:11">
      <c r="A65" s="70" t="s">
        <v>6049</v>
      </c>
      <c r="B65" s="42" t="s">
        <v>6050</v>
      </c>
      <c r="C65" s="42" t="s">
        <v>5771</v>
      </c>
      <c r="D65" s="14" t="s">
        <v>5916</v>
      </c>
      <c r="E65" s="54" t="s">
        <v>5621</v>
      </c>
      <c r="F65" s="54" t="s">
        <v>5430</v>
      </c>
      <c r="G65" s="42" t="s">
        <v>6051</v>
      </c>
      <c r="H65" s="115"/>
      <c r="I65" s="116">
        <v>45593</v>
      </c>
      <c r="J65" s="54" t="s">
        <v>5918</v>
      </c>
      <c r="K65" t="str">
        <f t="shared" ca="1" si="0"/>
        <v>12M+</v>
      </c>
    </row>
    <row r="66" spans="1:11">
      <c r="A66" s="17" t="s">
        <v>6052</v>
      </c>
      <c r="B66" s="42" t="s">
        <v>5786</v>
      </c>
      <c r="C66" s="42" t="s">
        <v>5771</v>
      </c>
      <c r="D66" s="14" t="s">
        <v>5916</v>
      </c>
      <c r="E66" s="54" t="s">
        <v>5621</v>
      </c>
      <c r="F66" s="54" t="s">
        <v>5430</v>
      </c>
      <c r="G66" s="42" t="s">
        <v>6053</v>
      </c>
      <c r="H66" s="115" t="s">
        <v>6053</v>
      </c>
      <c r="I66" s="116">
        <v>45715</v>
      </c>
      <c r="J66" s="54" t="s">
        <v>5918</v>
      </c>
      <c r="K66" t="str">
        <f t="shared" ca="1" si="0"/>
        <v>12M+</v>
      </c>
    </row>
    <row r="67" spans="1:11">
      <c r="A67" s="70" t="s">
        <v>6054</v>
      </c>
      <c r="B67" s="42" t="s">
        <v>5786</v>
      </c>
      <c r="C67" s="42" t="s">
        <v>5771</v>
      </c>
      <c r="D67" s="14" t="s">
        <v>5916</v>
      </c>
      <c r="E67" s="54" t="s">
        <v>5621</v>
      </c>
      <c r="F67" s="54" t="s">
        <v>5430</v>
      </c>
      <c r="G67" s="42" t="s">
        <v>6055</v>
      </c>
      <c r="H67" s="115" t="s">
        <v>6055</v>
      </c>
      <c r="I67" s="116">
        <v>45847</v>
      </c>
      <c r="J67" s="54" t="s">
        <v>5918</v>
      </c>
      <c r="K67" t="str">
        <f t="shared" ref="K67:K130" ca="1" si="1">IF(I67="","",
IF(DATEDIF(I67,TODAY(),"M")&lt;=3,"0-3M",
IF(DATEDIF(I67,TODAY(),"M")&lt;=6,"4-6M",
IF(DATEDIF(I67,TODAY(),"M")&lt;=12,"7-12M","12M+"))))</f>
        <v>7-12M</v>
      </c>
    </row>
    <row r="68" spans="1:11">
      <c r="A68" s="23" t="s">
        <v>6056</v>
      </c>
      <c r="B68" s="42" t="s">
        <v>5789</v>
      </c>
      <c r="C68" s="14" t="s">
        <v>44</v>
      </c>
      <c r="D68" s="14" t="s">
        <v>5916</v>
      </c>
      <c r="E68" s="54" t="s">
        <v>5649</v>
      </c>
      <c r="F68" s="54" t="s">
        <v>5948</v>
      </c>
      <c r="G68" s="42" t="s">
        <v>6057</v>
      </c>
      <c r="H68" s="115" t="s">
        <v>6057</v>
      </c>
      <c r="I68" s="116">
        <v>45852</v>
      </c>
      <c r="J68" s="54" t="s">
        <v>5918</v>
      </c>
      <c r="K68" t="str">
        <f t="shared" ca="1" si="1"/>
        <v>7-12M</v>
      </c>
    </row>
    <row r="69" spans="1:11">
      <c r="A69" s="124" t="s">
        <v>6058</v>
      </c>
      <c r="B69" s="23" t="s">
        <v>5999</v>
      </c>
      <c r="C69" s="42" t="s">
        <v>44</v>
      </c>
      <c r="D69" s="14" t="s">
        <v>5916</v>
      </c>
      <c r="E69" s="54" t="s">
        <v>5993</v>
      </c>
      <c r="F69" s="54" t="s">
        <v>5417</v>
      </c>
      <c r="G69" s="42" t="s">
        <v>6059</v>
      </c>
      <c r="H69" s="115" t="s">
        <v>6059</v>
      </c>
      <c r="I69" s="116">
        <v>45852</v>
      </c>
      <c r="J69" s="54" t="s">
        <v>5918</v>
      </c>
      <c r="K69" t="str">
        <f t="shared" ca="1" si="1"/>
        <v>7-12M</v>
      </c>
    </row>
    <row r="70" spans="1:11">
      <c r="A70" s="160" t="s">
        <v>6060</v>
      </c>
      <c r="B70" s="42" t="s">
        <v>5786</v>
      </c>
      <c r="C70" s="42" t="s">
        <v>5771</v>
      </c>
      <c r="D70" s="14" t="s">
        <v>5916</v>
      </c>
      <c r="E70" s="54" t="s">
        <v>5621</v>
      </c>
      <c r="F70" s="54" t="s">
        <v>5430</v>
      </c>
      <c r="G70" s="42" t="s">
        <v>6061</v>
      </c>
      <c r="H70" s="115" t="s">
        <v>6061</v>
      </c>
      <c r="I70" s="116">
        <v>45852</v>
      </c>
      <c r="J70" s="54" t="s">
        <v>5918</v>
      </c>
      <c r="K70" t="str">
        <f t="shared" ca="1" si="1"/>
        <v>7-12M</v>
      </c>
    </row>
    <row r="71" spans="1:11">
      <c r="A71" s="114" t="s">
        <v>6062</v>
      </c>
      <c r="B71" s="117" t="s">
        <v>571</v>
      </c>
      <c r="C71" s="14" t="s">
        <v>44</v>
      </c>
      <c r="D71" s="14" t="s">
        <v>5916</v>
      </c>
      <c r="E71" s="54" t="s">
        <v>5621</v>
      </c>
      <c r="F71" s="54" t="s">
        <v>5425</v>
      </c>
      <c r="G71" s="42" t="s">
        <v>6063</v>
      </c>
      <c r="H71" s="115" t="s">
        <v>6063</v>
      </c>
      <c r="I71" s="133">
        <v>45861</v>
      </c>
      <c r="J71" s="54" t="s">
        <v>5918</v>
      </c>
      <c r="K71" t="str">
        <f t="shared" ca="1" si="1"/>
        <v>7-12M</v>
      </c>
    </row>
    <row r="72" spans="1:11">
      <c r="A72" s="114" t="s">
        <v>6064</v>
      </c>
      <c r="B72" s="42" t="s">
        <v>5786</v>
      </c>
      <c r="C72" s="42" t="s">
        <v>5771</v>
      </c>
      <c r="D72" s="14" t="s">
        <v>5916</v>
      </c>
      <c r="E72" s="54" t="s">
        <v>5621</v>
      </c>
      <c r="F72" s="54" t="s">
        <v>5430</v>
      </c>
      <c r="G72" s="42" t="s">
        <v>6065</v>
      </c>
      <c r="H72" s="115" t="s">
        <v>6065</v>
      </c>
      <c r="I72" s="116">
        <v>45859</v>
      </c>
      <c r="J72" s="54" t="s">
        <v>5925</v>
      </c>
      <c r="K72" t="str">
        <f t="shared" ca="1" si="1"/>
        <v>7-12M</v>
      </c>
    </row>
    <row r="73" spans="1:11">
      <c r="A73" s="114" t="s">
        <v>6066</v>
      </c>
      <c r="B73" s="42" t="s">
        <v>6067</v>
      </c>
      <c r="C73" s="42" t="s">
        <v>5780</v>
      </c>
      <c r="D73" s="14" t="s">
        <v>5916</v>
      </c>
      <c r="E73" s="54" t="s">
        <v>5621</v>
      </c>
      <c r="F73" s="54" t="s">
        <v>5437</v>
      </c>
      <c r="G73" s="42" t="s">
        <v>6068</v>
      </c>
      <c r="H73" s="115" t="s">
        <v>6068</v>
      </c>
      <c r="I73" s="116">
        <v>45866</v>
      </c>
      <c r="J73" s="54" t="s">
        <v>5918</v>
      </c>
      <c r="K73" t="str">
        <f t="shared" ca="1" si="1"/>
        <v>7-12M</v>
      </c>
    </row>
    <row r="74" spans="1:11">
      <c r="A74" s="100" t="s">
        <v>6069</v>
      </c>
      <c r="B74" s="42" t="s">
        <v>5832</v>
      </c>
      <c r="C74" s="42" t="s">
        <v>5771</v>
      </c>
      <c r="D74" s="14" t="s">
        <v>5916</v>
      </c>
      <c r="E74" s="54" t="s">
        <v>5621</v>
      </c>
      <c r="F74" s="54" t="s">
        <v>5417</v>
      </c>
      <c r="G74" s="42" t="s">
        <v>6070</v>
      </c>
      <c r="H74" s="115" t="s">
        <v>6070</v>
      </c>
      <c r="I74" s="116">
        <v>45861</v>
      </c>
      <c r="J74" s="54" t="s">
        <v>5918</v>
      </c>
      <c r="K74" t="str">
        <f t="shared" ca="1" si="1"/>
        <v>7-12M</v>
      </c>
    </row>
    <row r="75" spans="1:11">
      <c r="A75" s="114" t="s">
        <v>6071</v>
      </c>
      <c r="B75" s="42" t="s">
        <v>5473</v>
      </c>
      <c r="C75" s="42" t="s">
        <v>5771</v>
      </c>
      <c r="D75" s="14" t="s">
        <v>5916</v>
      </c>
      <c r="E75" s="54" t="s">
        <v>5621</v>
      </c>
      <c r="F75" s="54" t="s">
        <v>5430</v>
      </c>
      <c r="G75" s="42" t="s">
        <v>6072</v>
      </c>
      <c r="H75" s="115" t="s">
        <v>6072</v>
      </c>
      <c r="I75" s="116">
        <v>45922</v>
      </c>
      <c r="J75" s="54" t="s">
        <v>5918</v>
      </c>
      <c r="K75" t="str">
        <f t="shared" ca="1" si="1"/>
        <v>7-12M</v>
      </c>
    </row>
    <row r="76" spans="1:11">
      <c r="A76" s="114" t="s">
        <v>6073</v>
      </c>
      <c r="B76" s="42" t="s">
        <v>194</v>
      </c>
      <c r="C76" s="42" t="s">
        <v>27</v>
      </c>
      <c r="D76" s="14" t="s">
        <v>5916</v>
      </c>
      <c r="E76" s="42" t="s">
        <v>5649</v>
      </c>
      <c r="F76" s="42" t="s">
        <v>5416</v>
      </c>
      <c r="G76" s="42" t="s">
        <v>6074</v>
      </c>
      <c r="H76" s="115" t="s">
        <v>6074</v>
      </c>
      <c r="I76" s="116">
        <v>45924</v>
      </c>
      <c r="J76" s="54" t="s">
        <v>5918</v>
      </c>
      <c r="K76" t="str">
        <f t="shared" ca="1" si="1"/>
        <v>7-12M</v>
      </c>
    </row>
    <row r="77" spans="1:11">
      <c r="A77" s="23" t="s">
        <v>6075</v>
      </c>
      <c r="B77" s="42" t="s">
        <v>6076</v>
      </c>
      <c r="C77" s="42" t="s">
        <v>27</v>
      </c>
      <c r="D77" s="14" t="s">
        <v>5916</v>
      </c>
      <c r="E77" s="42" t="s">
        <v>5649</v>
      </c>
      <c r="F77" s="42" t="s">
        <v>5416</v>
      </c>
      <c r="G77" s="42" t="s">
        <v>6077</v>
      </c>
      <c r="H77" s="115" t="s">
        <v>6077</v>
      </c>
      <c r="I77" s="116">
        <v>45924</v>
      </c>
      <c r="J77" s="54" t="s">
        <v>5918</v>
      </c>
      <c r="K77" t="str">
        <f t="shared" ca="1" si="1"/>
        <v>7-12M</v>
      </c>
    </row>
    <row r="78" spans="1:11">
      <c r="A78" s="114" t="s">
        <v>6078</v>
      </c>
      <c r="B78" s="42" t="s">
        <v>140</v>
      </c>
      <c r="C78" s="42" t="s">
        <v>27</v>
      </c>
      <c r="D78" s="14" t="s">
        <v>5916</v>
      </c>
      <c r="E78" s="42" t="s">
        <v>5649</v>
      </c>
      <c r="F78" s="42" t="s">
        <v>5416</v>
      </c>
      <c r="G78" s="42" t="s">
        <v>6079</v>
      </c>
      <c r="H78" s="115" t="s">
        <v>6079</v>
      </c>
      <c r="I78" s="116">
        <v>45929</v>
      </c>
      <c r="J78" s="54" t="s">
        <v>5918</v>
      </c>
      <c r="K78" t="str">
        <f t="shared" ca="1" si="1"/>
        <v>7-12M</v>
      </c>
    </row>
    <row r="79" spans="1:11">
      <c r="A79" s="114" t="s">
        <v>6080</v>
      </c>
      <c r="B79" s="42" t="s">
        <v>6024</v>
      </c>
      <c r="C79" s="42" t="s">
        <v>5771</v>
      </c>
      <c r="D79" s="14" t="s">
        <v>5916</v>
      </c>
      <c r="E79" s="54" t="s">
        <v>5621</v>
      </c>
      <c r="F79" s="54" t="s">
        <v>5437</v>
      </c>
      <c r="G79" s="42" t="s">
        <v>6081</v>
      </c>
      <c r="H79" s="115" t="s">
        <v>6081</v>
      </c>
      <c r="I79" s="116">
        <v>45929</v>
      </c>
      <c r="J79" s="54" t="s">
        <v>5918</v>
      </c>
      <c r="K79" t="str">
        <f t="shared" ca="1" si="1"/>
        <v>7-12M</v>
      </c>
    </row>
    <row r="80" spans="1:11">
      <c r="A80" t="s">
        <v>6082</v>
      </c>
      <c r="B80" s="42" t="s">
        <v>6024</v>
      </c>
      <c r="C80" s="42" t="s">
        <v>5780</v>
      </c>
      <c r="D80" s="14" t="s">
        <v>5916</v>
      </c>
      <c r="E80" s="54" t="s">
        <v>5621</v>
      </c>
      <c r="F80" s="54" t="s">
        <v>5437</v>
      </c>
      <c r="G80" s="42" t="s">
        <v>6083</v>
      </c>
      <c r="H80" s="115" t="s">
        <v>6083</v>
      </c>
      <c r="I80" s="116">
        <v>45929</v>
      </c>
      <c r="J80" s="54" t="s">
        <v>5918</v>
      </c>
      <c r="K80" t="str">
        <f t="shared" ca="1" si="1"/>
        <v>7-12M</v>
      </c>
    </row>
    <row r="81" spans="1:12">
      <c r="A81" s="23" t="s">
        <v>6084</v>
      </c>
      <c r="B81" s="42" t="s">
        <v>683</v>
      </c>
      <c r="C81" s="42" t="s">
        <v>5771</v>
      </c>
      <c r="D81" s="14" t="s">
        <v>5916</v>
      </c>
      <c r="E81" s="54" t="s">
        <v>5621</v>
      </c>
      <c r="F81" s="54" t="s">
        <v>5420</v>
      </c>
      <c r="G81" s="42" t="s">
        <v>6085</v>
      </c>
      <c r="H81" s="115" t="s">
        <v>6085</v>
      </c>
      <c r="I81" s="116">
        <v>45929</v>
      </c>
      <c r="J81" s="54" t="s">
        <v>5918</v>
      </c>
      <c r="K81" t="str">
        <f t="shared" ca="1" si="1"/>
        <v>7-12M</v>
      </c>
    </row>
    <row r="82" spans="1:12">
      <c r="A82" s="114" t="s">
        <v>728</v>
      </c>
      <c r="B82" s="42" t="s">
        <v>6024</v>
      </c>
      <c r="C82" s="42" t="s">
        <v>5771</v>
      </c>
      <c r="D82" s="14" t="s">
        <v>5916</v>
      </c>
      <c r="E82" s="54" t="s">
        <v>5621</v>
      </c>
      <c r="F82" s="54" t="s">
        <v>5417</v>
      </c>
      <c r="G82" s="42" t="s">
        <v>6086</v>
      </c>
      <c r="H82" s="115" t="s">
        <v>6086</v>
      </c>
      <c r="I82" s="116">
        <v>45929</v>
      </c>
      <c r="J82" s="54" t="s">
        <v>5918</v>
      </c>
      <c r="K82" t="str">
        <f t="shared" ca="1" si="1"/>
        <v>7-12M</v>
      </c>
    </row>
    <row r="83" spans="1:12">
      <c r="A83" s="114" t="s">
        <v>6087</v>
      </c>
      <c r="B83" s="42" t="s">
        <v>140</v>
      </c>
      <c r="C83" s="42" t="s">
        <v>27</v>
      </c>
      <c r="D83" s="14" t="s">
        <v>5916</v>
      </c>
      <c r="E83" s="42" t="s">
        <v>5649</v>
      </c>
      <c r="F83" s="42" t="s">
        <v>5416</v>
      </c>
      <c r="G83" s="42" t="s">
        <v>6088</v>
      </c>
      <c r="H83" s="115" t="s">
        <v>6088</v>
      </c>
      <c r="I83" s="116">
        <v>45938</v>
      </c>
      <c r="J83" s="54" t="s">
        <v>5918</v>
      </c>
      <c r="K83" t="str">
        <f t="shared" ca="1" si="1"/>
        <v>7-12M</v>
      </c>
      <c r="L83" t="s">
        <v>6089</v>
      </c>
    </row>
    <row r="84" spans="1:12">
      <c r="A84" s="114" t="s">
        <v>6090</v>
      </c>
      <c r="B84" s="23" t="s">
        <v>5999</v>
      </c>
      <c r="C84" s="42" t="s">
        <v>44</v>
      </c>
      <c r="D84" s="14" t="s">
        <v>5916</v>
      </c>
      <c r="E84" s="54" t="s">
        <v>5993</v>
      </c>
      <c r="F84" s="54" t="s">
        <v>5417</v>
      </c>
      <c r="G84" s="42" t="s">
        <v>6091</v>
      </c>
      <c r="H84" s="42" t="s">
        <v>6091</v>
      </c>
      <c r="I84" s="116">
        <v>45945</v>
      </c>
      <c r="J84" s="54" t="s">
        <v>5918</v>
      </c>
      <c r="K84" t="str">
        <f t="shared" ca="1" si="1"/>
        <v>7-12M</v>
      </c>
    </row>
    <row r="85" spans="1:12">
      <c r="A85" s="114" t="s">
        <v>6092</v>
      </c>
      <c r="B85" s="42" t="s">
        <v>6024</v>
      </c>
      <c r="C85" s="42" t="s">
        <v>5780</v>
      </c>
      <c r="D85" s="14" t="s">
        <v>5916</v>
      </c>
      <c r="E85" s="54" t="s">
        <v>5621</v>
      </c>
      <c r="F85" s="54" t="s">
        <v>5437</v>
      </c>
      <c r="G85" s="42" t="s">
        <v>6093</v>
      </c>
      <c r="H85" s="115" t="s">
        <v>6093</v>
      </c>
      <c r="I85" s="116">
        <v>45946</v>
      </c>
      <c r="J85" s="54" t="s">
        <v>5918</v>
      </c>
      <c r="K85" t="str">
        <f t="shared" ca="1" si="1"/>
        <v>7-12M</v>
      </c>
    </row>
    <row r="86" spans="1:12">
      <c r="A86" s="114" t="s">
        <v>6094</v>
      </c>
      <c r="B86" s="42" t="s">
        <v>5945</v>
      </c>
      <c r="C86" s="42" t="s">
        <v>6095</v>
      </c>
      <c r="D86" s="14" t="s">
        <v>5916</v>
      </c>
      <c r="E86" s="54" t="s">
        <v>5621</v>
      </c>
      <c r="F86" s="54" t="s">
        <v>5437</v>
      </c>
      <c r="G86" s="42" t="s">
        <v>6096</v>
      </c>
      <c r="H86" s="115" t="s">
        <v>6096</v>
      </c>
      <c r="I86" s="116">
        <v>45946</v>
      </c>
      <c r="J86" s="54" t="s">
        <v>5918</v>
      </c>
      <c r="K86" t="str">
        <f t="shared" ca="1" si="1"/>
        <v>7-12M</v>
      </c>
    </row>
    <row r="87" spans="1:12">
      <c r="A87" s="114" t="s">
        <v>6097</v>
      </c>
      <c r="B87" s="42" t="s">
        <v>5488</v>
      </c>
      <c r="C87" s="42" t="s">
        <v>94</v>
      </c>
      <c r="D87" s="14" t="s">
        <v>5916</v>
      </c>
      <c r="E87" s="54" t="s">
        <v>5621</v>
      </c>
      <c r="F87" s="54" t="s">
        <v>5417</v>
      </c>
      <c r="G87" s="42" t="s">
        <v>6098</v>
      </c>
      <c r="H87" s="115" t="s">
        <v>6098</v>
      </c>
      <c r="I87" s="116">
        <v>45943</v>
      </c>
      <c r="J87" s="54" t="s">
        <v>5918</v>
      </c>
      <c r="K87" t="str">
        <f t="shared" ca="1" si="1"/>
        <v>7-12M</v>
      </c>
    </row>
    <row r="88" spans="1:12">
      <c r="A88" s="114" t="s">
        <v>6099</v>
      </c>
      <c r="B88" s="42" t="s">
        <v>6024</v>
      </c>
      <c r="C88" s="42" t="s">
        <v>94</v>
      </c>
      <c r="D88" s="14" t="s">
        <v>5916</v>
      </c>
      <c r="E88" s="54" t="s">
        <v>5621</v>
      </c>
      <c r="F88" s="54" t="s">
        <v>5417</v>
      </c>
      <c r="G88" s="42" t="s">
        <v>6100</v>
      </c>
      <c r="H88" s="115" t="s">
        <v>6100</v>
      </c>
      <c r="I88" s="116">
        <v>45943</v>
      </c>
      <c r="J88" s="54" t="s">
        <v>5918</v>
      </c>
      <c r="K88" t="str">
        <f t="shared" ca="1" si="1"/>
        <v>7-12M</v>
      </c>
    </row>
    <row r="89" spans="1:12">
      <c r="A89" s="114" t="s">
        <v>6101</v>
      </c>
      <c r="B89" s="42" t="s">
        <v>6067</v>
      </c>
      <c r="C89" s="42" t="s">
        <v>5780</v>
      </c>
      <c r="D89" s="14" t="s">
        <v>5916</v>
      </c>
      <c r="E89" s="54" t="s">
        <v>5621</v>
      </c>
      <c r="F89" s="54" t="s">
        <v>5437</v>
      </c>
      <c r="G89" s="42" t="s">
        <v>6102</v>
      </c>
      <c r="H89" s="115" t="s">
        <v>6102</v>
      </c>
      <c r="I89" s="116">
        <v>45947</v>
      </c>
      <c r="J89" s="54" t="s">
        <v>5918</v>
      </c>
      <c r="K89" t="str">
        <f t="shared" ca="1" si="1"/>
        <v>7-12M</v>
      </c>
    </row>
    <row r="90" spans="1:12">
      <c r="A90" s="61" t="s">
        <v>6103</v>
      </c>
      <c r="B90" s="42" t="s">
        <v>6067</v>
      </c>
      <c r="C90" s="42" t="s">
        <v>5780</v>
      </c>
      <c r="D90" s="14" t="s">
        <v>5916</v>
      </c>
      <c r="E90" s="54" t="s">
        <v>5621</v>
      </c>
      <c r="F90" s="54" t="s">
        <v>5437</v>
      </c>
      <c r="G90" s="42" t="s">
        <v>6104</v>
      </c>
      <c r="H90" s="42" t="s">
        <v>6104</v>
      </c>
      <c r="I90" s="116">
        <v>45950</v>
      </c>
      <c r="J90" s="54" t="s">
        <v>5918</v>
      </c>
      <c r="K90" t="str">
        <f t="shared" ca="1" si="1"/>
        <v>4-6M</v>
      </c>
    </row>
    <row r="91" spans="1:12">
      <c r="A91" s="114" t="s">
        <v>6105</v>
      </c>
      <c r="B91" s="42" t="s">
        <v>5832</v>
      </c>
      <c r="C91" s="42" t="s">
        <v>5771</v>
      </c>
      <c r="D91" s="14" t="s">
        <v>5916</v>
      </c>
      <c r="E91" s="54" t="s">
        <v>5621</v>
      </c>
      <c r="F91" s="54" t="s">
        <v>5417</v>
      </c>
      <c r="G91" s="42" t="s">
        <v>6106</v>
      </c>
      <c r="H91" s="42" t="s">
        <v>6106</v>
      </c>
      <c r="I91" s="116">
        <v>45964</v>
      </c>
      <c r="J91" s="54" t="s">
        <v>5918</v>
      </c>
      <c r="K91" t="str">
        <f t="shared" ca="1" si="1"/>
        <v>4-6M</v>
      </c>
    </row>
    <row r="92" spans="1:12">
      <c r="A92" s="23" t="s">
        <v>6107</v>
      </c>
      <c r="B92" s="42" t="s">
        <v>36</v>
      </c>
      <c r="C92" s="42" t="s">
        <v>27</v>
      </c>
      <c r="D92" s="14" t="s">
        <v>5916</v>
      </c>
      <c r="E92" s="54" t="s">
        <v>5649</v>
      </c>
      <c r="F92" s="54" t="s">
        <v>5416</v>
      </c>
      <c r="G92" s="42" t="s">
        <v>6108</v>
      </c>
      <c r="H92" s="42" t="s">
        <v>6108</v>
      </c>
      <c r="I92" s="116">
        <v>45966</v>
      </c>
      <c r="J92" s="54" t="s">
        <v>5918</v>
      </c>
      <c r="K92" t="str">
        <f t="shared" ca="1" si="1"/>
        <v>4-6M</v>
      </c>
    </row>
    <row r="93" spans="1:12">
      <c r="A93" s="23" t="s">
        <v>6109</v>
      </c>
      <c r="B93" s="42" t="s">
        <v>118</v>
      </c>
      <c r="C93" s="42" t="s">
        <v>5989</v>
      </c>
      <c r="D93" s="14" t="s">
        <v>5916</v>
      </c>
      <c r="E93" s="54" t="s">
        <v>5621</v>
      </c>
      <c r="F93" s="54" t="s">
        <v>5414</v>
      </c>
      <c r="G93" s="42" t="s">
        <v>6110</v>
      </c>
      <c r="H93" s="42" t="s">
        <v>6110</v>
      </c>
      <c r="I93" s="116">
        <v>45966</v>
      </c>
      <c r="J93" s="54" t="s">
        <v>5918</v>
      </c>
      <c r="K93" t="str">
        <f t="shared" ca="1" si="1"/>
        <v>4-6M</v>
      </c>
    </row>
    <row r="94" spans="1:12">
      <c r="A94" s="114" t="s">
        <v>3735</v>
      </c>
      <c r="B94" s="42" t="s">
        <v>36</v>
      </c>
      <c r="C94" s="42" t="s">
        <v>27</v>
      </c>
      <c r="D94" s="14" t="s">
        <v>5916</v>
      </c>
      <c r="E94" s="54" t="s">
        <v>5649</v>
      </c>
      <c r="F94" s="54" t="s">
        <v>5416</v>
      </c>
      <c r="G94" s="42" t="s">
        <v>6111</v>
      </c>
      <c r="H94" s="42" t="s">
        <v>6111</v>
      </c>
      <c r="I94" s="116">
        <v>45952</v>
      </c>
      <c r="J94" s="54" t="s">
        <v>5918</v>
      </c>
      <c r="K94" t="str">
        <f t="shared" ca="1" si="1"/>
        <v>4-6M</v>
      </c>
    </row>
    <row r="95" spans="1:12">
      <c r="A95" s="114" t="s">
        <v>6112</v>
      </c>
      <c r="B95" s="42" t="s">
        <v>683</v>
      </c>
      <c r="C95" s="42" t="s">
        <v>5771</v>
      </c>
      <c r="D95" s="14" t="s">
        <v>5916</v>
      </c>
      <c r="E95" s="54" t="s">
        <v>5621</v>
      </c>
      <c r="F95" s="54" t="s">
        <v>5420</v>
      </c>
      <c r="G95" s="42" t="s">
        <v>6113</v>
      </c>
      <c r="H95" s="42" t="s">
        <v>6113</v>
      </c>
      <c r="I95" s="116">
        <v>45971</v>
      </c>
      <c r="J95" s="54" t="s">
        <v>5918</v>
      </c>
      <c r="K95" t="str">
        <f t="shared" ca="1" si="1"/>
        <v>4-6M</v>
      </c>
    </row>
    <row r="96" spans="1:12">
      <c r="A96" s="114" t="s">
        <v>6114</v>
      </c>
      <c r="B96" s="42" t="s">
        <v>159</v>
      </c>
      <c r="C96" s="42" t="s">
        <v>27</v>
      </c>
      <c r="D96" s="14" t="s">
        <v>5916</v>
      </c>
      <c r="E96" s="54" t="s">
        <v>5649</v>
      </c>
      <c r="F96" s="54" t="s">
        <v>5416</v>
      </c>
      <c r="G96" s="42" t="s">
        <v>6115</v>
      </c>
      <c r="H96" s="42" t="s">
        <v>6115</v>
      </c>
      <c r="I96" s="116">
        <v>45985</v>
      </c>
      <c r="J96" s="54" t="s">
        <v>5918</v>
      </c>
      <c r="K96" t="str">
        <f t="shared" ca="1" si="1"/>
        <v>4-6M</v>
      </c>
    </row>
    <row r="97" spans="1:12">
      <c r="A97" s="160" t="s">
        <v>6116</v>
      </c>
      <c r="B97" s="42" t="s">
        <v>36</v>
      </c>
      <c r="C97" s="42" t="s">
        <v>27</v>
      </c>
      <c r="D97" s="14" t="s">
        <v>5916</v>
      </c>
      <c r="E97" s="54" t="s">
        <v>5649</v>
      </c>
      <c r="F97" s="54" t="s">
        <v>5416</v>
      </c>
      <c r="G97" s="42" t="s">
        <v>6117</v>
      </c>
      <c r="H97" s="42" t="s">
        <v>6117</v>
      </c>
      <c r="I97" s="116">
        <v>45985</v>
      </c>
      <c r="J97" s="54" t="s">
        <v>5918</v>
      </c>
      <c r="K97" t="str">
        <f t="shared" ca="1" si="1"/>
        <v>4-6M</v>
      </c>
    </row>
    <row r="98" spans="1:12">
      <c r="A98" s="114" t="s">
        <v>6118</v>
      </c>
      <c r="B98" s="42" t="s">
        <v>5789</v>
      </c>
      <c r="C98" s="42" t="s">
        <v>44</v>
      </c>
      <c r="D98" s="14" t="s">
        <v>5916</v>
      </c>
      <c r="E98" s="54" t="s">
        <v>5621</v>
      </c>
      <c r="F98" s="54" t="s">
        <v>5425</v>
      </c>
      <c r="G98" s="42" t="s">
        <v>6119</v>
      </c>
      <c r="H98" s="42" t="s">
        <v>6119</v>
      </c>
      <c r="I98" s="116">
        <v>45987</v>
      </c>
      <c r="J98" s="54" t="s">
        <v>5918</v>
      </c>
      <c r="K98" t="str">
        <f t="shared" ca="1" si="1"/>
        <v>4-6M</v>
      </c>
    </row>
    <row r="99" spans="1:12">
      <c r="A99" s="23" t="s">
        <v>6120</v>
      </c>
      <c r="B99" s="42" t="s">
        <v>118</v>
      </c>
      <c r="C99" s="42" t="s">
        <v>5989</v>
      </c>
      <c r="D99" s="14" t="s">
        <v>5916</v>
      </c>
      <c r="E99" s="54" t="s">
        <v>5621</v>
      </c>
      <c r="F99" s="54" t="s">
        <v>5414</v>
      </c>
      <c r="G99" s="42" t="s">
        <v>6121</v>
      </c>
      <c r="H99" s="115" t="s">
        <v>6121</v>
      </c>
      <c r="I99" s="116">
        <v>45988</v>
      </c>
      <c r="J99" s="54" t="s">
        <v>5918</v>
      </c>
      <c r="K99" t="str">
        <f t="shared" ca="1" si="1"/>
        <v>4-6M</v>
      </c>
    </row>
    <row r="100" spans="1:12">
      <c r="A100" s="23" t="s">
        <v>6122</v>
      </c>
      <c r="B100" s="118" t="s">
        <v>1558</v>
      </c>
      <c r="C100" s="42" t="s">
        <v>5771</v>
      </c>
      <c r="D100" s="14" t="s">
        <v>5916</v>
      </c>
      <c r="E100" s="54" t="s">
        <v>5621</v>
      </c>
      <c r="F100" s="54" t="s">
        <v>5420</v>
      </c>
      <c r="G100" s="42" t="s">
        <v>6123</v>
      </c>
      <c r="H100" s="115" t="s">
        <v>6123</v>
      </c>
      <c r="I100" s="116">
        <v>45971</v>
      </c>
      <c r="J100" s="54" t="s">
        <v>5918</v>
      </c>
      <c r="K100" t="str">
        <f t="shared" ca="1" si="1"/>
        <v>4-6M</v>
      </c>
    </row>
    <row r="101" spans="1:12">
      <c r="A101" s="23" t="s">
        <v>6124</v>
      </c>
      <c r="B101" s="42" t="s">
        <v>1983</v>
      </c>
      <c r="C101" s="42" t="s">
        <v>44</v>
      </c>
      <c r="D101" s="14" t="s">
        <v>5916</v>
      </c>
      <c r="E101" s="54" t="s">
        <v>5621</v>
      </c>
      <c r="F101" s="54" t="s">
        <v>5425</v>
      </c>
      <c r="G101" s="42" t="s">
        <v>6125</v>
      </c>
      <c r="H101" s="100" t="s">
        <v>6125</v>
      </c>
      <c r="I101" s="116">
        <v>45992</v>
      </c>
      <c r="J101" s="54" t="s">
        <v>5918</v>
      </c>
      <c r="K101" t="str">
        <f t="shared" ca="1" si="1"/>
        <v>4-6M</v>
      </c>
    </row>
    <row r="102" spans="1:12">
      <c r="A102" s="23" t="s">
        <v>6126</v>
      </c>
      <c r="B102" s="42" t="s">
        <v>1983</v>
      </c>
      <c r="C102" s="42" t="s">
        <v>44</v>
      </c>
      <c r="D102" s="14" t="s">
        <v>5916</v>
      </c>
      <c r="E102" s="54" t="s">
        <v>5621</v>
      </c>
      <c r="F102" s="54" t="s">
        <v>5425</v>
      </c>
      <c r="G102" s="42" t="s">
        <v>6127</v>
      </c>
      <c r="H102" s="42" t="s">
        <v>6127</v>
      </c>
      <c r="I102" s="116">
        <v>45999</v>
      </c>
      <c r="J102" s="54" t="s">
        <v>5918</v>
      </c>
      <c r="K102" t="str">
        <f t="shared" ca="1" si="1"/>
        <v>4-6M</v>
      </c>
    </row>
    <row r="103" spans="1:12">
      <c r="A103" s="23" t="s">
        <v>6128</v>
      </c>
      <c r="B103" s="42" t="s">
        <v>6076</v>
      </c>
      <c r="C103" s="42" t="s">
        <v>27</v>
      </c>
      <c r="D103" s="14" t="s">
        <v>5916</v>
      </c>
      <c r="E103" s="54" t="s">
        <v>5649</v>
      </c>
      <c r="F103" s="54" t="s">
        <v>5416</v>
      </c>
      <c r="G103" s="42" t="s">
        <v>6129</v>
      </c>
      <c r="H103" s="42" t="s">
        <v>6129</v>
      </c>
      <c r="I103" s="116">
        <v>45962</v>
      </c>
      <c r="J103" s="54" t="s">
        <v>5918</v>
      </c>
      <c r="K103" t="str">
        <f t="shared" ca="1" si="1"/>
        <v>4-6M</v>
      </c>
    </row>
    <row r="104" spans="1:12">
      <c r="A104" s="23" t="s">
        <v>6130</v>
      </c>
      <c r="B104" s="42" t="s">
        <v>6076</v>
      </c>
      <c r="C104" s="42" t="s">
        <v>27</v>
      </c>
      <c r="D104" s="14" t="s">
        <v>5916</v>
      </c>
      <c r="E104" s="54" t="s">
        <v>5649</v>
      </c>
      <c r="F104" s="54" t="s">
        <v>5416</v>
      </c>
      <c r="G104" s="42" t="s">
        <v>6131</v>
      </c>
      <c r="H104" s="42" t="s">
        <v>6131</v>
      </c>
      <c r="I104" s="116">
        <v>45962</v>
      </c>
      <c r="J104" s="54" t="s">
        <v>5918</v>
      </c>
      <c r="K104" t="str">
        <f t="shared" ca="1" si="1"/>
        <v>4-6M</v>
      </c>
    </row>
    <row r="105" spans="1:12">
      <c r="A105" s="23" t="s">
        <v>6132</v>
      </c>
      <c r="B105" s="42" t="s">
        <v>1983</v>
      </c>
      <c r="C105" s="42" t="s">
        <v>44</v>
      </c>
      <c r="D105" s="14" t="s">
        <v>5916</v>
      </c>
      <c r="E105" s="54" t="s">
        <v>5621</v>
      </c>
      <c r="F105" s="54" t="s">
        <v>5425</v>
      </c>
      <c r="G105" s="42" t="s">
        <v>6133</v>
      </c>
      <c r="H105" s="42" t="s">
        <v>6133</v>
      </c>
      <c r="I105" s="116">
        <v>46006</v>
      </c>
      <c r="J105" s="42" t="s">
        <v>5918</v>
      </c>
      <c r="K105" t="str">
        <f t="shared" ca="1" si="1"/>
        <v>4-6M</v>
      </c>
    </row>
    <row r="106" spans="1:12">
      <c r="A106" s="23" t="s">
        <v>6134</v>
      </c>
      <c r="B106" s="42" t="s">
        <v>683</v>
      </c>
      <c r="C106" s="42" t="s">
        <v>5771</v>
      </c>
      <c r="D106" s="14" t="s">
        <v>5916</v>
      </c>
      <c r="E106" s="54" t="s">
        <v>5621</v>
      </c>
      <c r="F106" s="54"/>
      <c r="G106" s="42" t="s">
        <v>6135</v>
      </c>
      <c r="H106" s="42" t="s">
        <v>6135</v>
      </c>
      <c r="I106" s="116">
        <v>46006</v>
      </c>
      <c r="J106" s="42" t="s">
        <v>5918</v>
      </c>
      <c r="K106" t="str">
        <f t="shared" ca="1" si="1"/>
        <v>4-6M</v>
      </c>
    </row>
    <row r="107" spans="1:12">
      <c r="A107" s="23" t="s">
        <v>6136</v>
      </c>
      <c r="B107" s="42" t="s">
        <v>5490</v>
      </c>
      <c r="C107" s="42" t="s">
        <v>94</v>
      </c>
      <c r="D107" s="14" t="s">
        <v>5916</v>
      </c>
      <c r="E107" s="54" t="s">
        <v>5621</v>
      </c>
      <c r="F107" s="54" t="s">
        <v>5417</v>
      </c>
      <c r="G107" s="42" t="s">
        <v>6137</v>
      </c>
      <c r="H107" s="42" t="s">
        <v>6137</v>
      </c>
      <c r="I107" s="116">
        <v>46006</v>
      </c>
      <c r="J107" s="42" t="s">
        <v>5918</v>
      </c>
      <c r="K107" t="str">
        <f t="shared" ca="1" si="1"/>
        <v>4-6M</v>
      </c>
    </row>
    <row r="108" spans="1:12">
      <c r="A108" s="23" t="s">
        <v>6138</v>
      </c>
      <c r="B108" s="42" t="s">
        <v>683</v>
      </c>
      <c r="C108" s="42" t="s">
        <v>5771</v>
      </c>
      <c r="D108" s="14" t="s">
        <v>5916</v>
      </c>
      <c r="E108" s="54" t="s">
        <v>5621</v>
      </c>
      <c r="F108" s="54"/>
      <c r="G108" s="42" t="s">
        <v>6139</v>
      </c>
      <c r="H108" s="42" t="s">
        <v>6139</v>
      </c>
      <c r="I108" s="116">
        <v>46006</v>
      </c>
      <c r="J108" s="42" t="s">
        <v>5918</v>
      </c>
      <c r="K108" t="str">
        <f t="shared" ca="1" si="1"/>
        <v>4-6M</v>
      </c>
    </row>
    <row r="109" spans="1:12">
      <c r="A109" s="61" t="s">
        <v>6140</v>
      </c>
      <c r="B109" s="42" t="s">
        <v>5936</v>
      </c>
      <c r="C109" s="42" t="s">
        <v>94</v>
      </c>
      <c r="D109" s="14" t="s">
        <v>5916</v>
      </c>
      <c r="E109" s="54" t="s">
        <v>5621</v>
      </c>
      <c r="F109" s="54" t="s">
        <v>5417</v>
      </c>
      <c r="G109" s="42" t="s">
        <v>6141</v>
      </c>
      <c r="H109" s="42" t="s">
        <v>6142</v>
      </c>
      <c r="I109" s="116">
        <v>46008</v>
      </c>
      <c r="J109" s="42" t="s">
        <v>5918</v>
      </c>
      <c r="K109" t="str">
        <f t="shared" ca="1" si="1"/>
        <v>4-6M</v>
      </c>
    </row>
    <row r="110" spans="1:12">
      <c r="A110" s="23" t="s">
        <v>6143</v>
      </c>
      <c r="B110" s="42" t="s">
        <v>5473</v>
      </c>
      <c r="C110" s="42" t="s">
        <v>5771</v>
      </c>
      <c r="D110" s="14" t="s">
        <v>5916</v>
      </c>
      <c r="E110" s="54" t="s">
        <v>5621</v>
      </c>
      <c r="F110" s="54" t="s">
        <v>5430</v>
      </c>
      <c r="G110" s="42" t="s">
        <v>6144</v>
      </c>
      <c r="H110" s="42" t="s">
        <v>6144</v>
      </c>
      <c r="I110" s="116">
        <v>46044</v>
      </c>
      <c r="J110" s="42" t="s">
        <v>5918</v>
      </c>
      <c r="K110" t="str">
        <f t="shared" ca="1" si="1"/>
        <v>0-3M</v>
      </c>
    </row>
    <row r="111" spans="1:12">
      <c r="A111" s="61" t="s">
        <v>6145</v>
      </c>
      <c r="B111" s="54" t="s">
        <v>5945</v>
      </c>
      <c r="C111" s="42" t="s">
        <v>5780</v>
      </c>
      <c r="D111" s="14" t="s">
        <v>5916</v>
      </c>
      <c r="E111" s="54" t="s">
        <v>5621</v>
      </c>
      <c r="F111" s="54" t="s">
        <v>5974</v>
      </c>
      <c r="G111" s="42" t="s">
        <v>6146</v>
      </c>
      <c r="H111" s="42" t="s">
        <v>6146</v>
      </c>
      <c r="I111" s="116">
        <v>46051</v>
      </c>
      <c r="J111" s="42" t="s">
        <v>5918</v>
      </c>
      <c r="K111" t="str">
        <f t="shared" ca="1" si="1"/>
        <v>0-3M</v>
      </c>
    </row>
    <row r="112" spans="1:12">
      <c r="A112" s="179" t="s">
        <v>6147</v>
      </c>
      <c r="B112" s="54" t="s">
        <v>5945</v>
      </c>
      <c r="C112" s="42" t="s">
        <v>5780</v>
      </c>
      <c r="D112" s="14" t="s">
        <v>5916</v>
      </c>
      <c r="E112" s="54" t="s">
        <v>5621</v>
      </c>
      <c r="F112" s="54" t="s">
        <v>5974</v>
      </c>
      <c r="G112" s="42" t="s">
        <v>6148</v>
      </c>
      <c r="H112" s="42" t="s">
        <v>6148</v>
      </c>
      <c r="I112" s="116">
        <v>46051</v>
      </c>
      <c r="J112" s="42" t="s">
        <v>5925</v>
      </c>
      <c r="K112" t="str">
        <f t="shared" ca="1" si="1"/>
        <v>0-3M</v>
      </c>
      <c r="L112" t="s">
        <v>6089</v>
      </c>
    </row>
    <row r="113" spans="1:11">
      <c r="A113" s="179" t="s">
        <v>6149</v>
      </c>
      <c r="B113" s="54" t="s">
        <v>5945</v>
      </c>
      <c r="C113" s="42" t="s">
        <v>5780</v>
      </c>
      <c r="D113" s="14" t="s">
        <v>5916</v>
      </c>
      <c r="E113" s="54" t="s">
        <v>5621</v>
      </c>
      <c r="F113" s="54" t="s">
        <v>5974</v>
      </c>
      <c r="G113" s="42" t="s">
        <v>6150</v>
      </c>
      <c r="H113" s="42" t="s">
        <v>6150</v>
      </c>
      <c r="I113" s="116">
        <v>46051</v>
      </c>
      <c r="J113" s="42" t="s">
        <v>5918</v>
      </c>
      <c r="K113" t="str">
        <f t="shared" ca="1" si="1"/>
        <v>0-3M</v>
      </c>
    </row>
    <row r="114" spans="1:11">
      <c r="A114" s="23" t="s">
        <v>6151</v>
      </c>
      <c r="B114" s="42" t="s">
        <v>5490</v>
      </c>
      <c r="C114" s="42" t="s">
        <v>94</v>
      </c>
      <c r="D114" s="14" t="s">
        <v>5916</v>
      </c>
      <c r="E114" s="54" t="s">
        <v>5621</v>
      </c>
      <c r="F114" s="54"/>
      <c r="G114" s="42" t="s">
        <v>6152</v>
      </c>
      <c r="H114" s="42" t="s">
        <v>6152</v>
      </c>
      <c r="I114" s="116">
        <v>46055</v>
      </c>
      <c r="J114" s="42" t="s">
        <v>5918</v>
      </c>
      <c r="K114" t="str">
        <f t="shared" ca="1" si="1"/>
        <v>0-3M</v>
      </c>
    </row>
    <row r="115" spans="1:11">
      <c r="A115" s="23" t="s">
        <v>6153</v>
      </c>
      <c r="B115" s="42" t="s">
        <v>5945</v>
      </c>
      <c r="C115" s="42" t="s">
        <v>6095</v>
      </c>
      <c r="D115" s="14" t="s">
        <v>5916</v>
      </c>
      <c r="E115" s="54" t="s">
        <v>5621</v>
      </c>
      <c r="F115" s="54" t="s">
        <v>5437</v>
      </c>
      <c r="G115" s="42" t="s">
        <v>6154</v>
      </c>
      <c r="H115" s="42" t="s">
        <v>6154</v>
      </c>
      <c r="I115" s="116">
        <v>46055</v>
      </c>
      <c r="J115" s="42" t="s">
        <v>5918</v>
      </c>
      <c r="K115" t="str">
        <f t="shared" ca="1" si="1"/>
        <v>0-3M</v>
      </c>
    </row>
    <row r="116" spans="1:11">
      <c r="A116" s="23" t="s">
        <v>6155</v>
      </c>
      <c r="B116" s="42" t="s">
        <v>5945</v>
      </c>
      <c r="C116" s="42" t="s">
        <v>6095</v>
      </c>
      <c r="D116" s="14" t="s">
        <v>5916</v>
      </c>
      <c r="E116" s="54" t="s">
        <v>5621</v>
      </c>
      <c r="F116" s="54" t="s">
        <v>5437</v>
      </c>
      <c r="G116" s="42" t="s">
        <v>6156</v>
      </c>
      <c r="H116" s="42" t="s">
        <v>6156</v>
      </c>
      <c r="I116" s="116">
        <v>46055</v>
      </c>
      <c r="J116" s="42" t="s">
        <v>5918</v>
      </c>
      <c r="K116" t="str">
        <f t="shared" ca="1" si="1"/>
        <v>0-3M</v>
      </c>
    </row>
    <row r="117" spans="1:11">
      <c r="A117" s="23" t="s">
        <v>6157</v>
      </c>
      <c r="B117" s="42" t="s">
        <v>5945</v>
      </c>
      <c r="C117" s="42" t="s">
        <v>6095</v>
      </c>
      <c r="D117" s="14" t="s">
        <v>5916</v>
      </c>
      <c r="E117" s="54" t="s">
        <v>5621</v>
      </c>
      <c r="F117" s="54" t="s">
        <v>5437</v>
      </c>
      <c r="G117" s="42" t="s">
        <v>6158</v>
      </c>
      <c r="H117" s="42" t="s">
        <v>6158</v>
      </c>
      <c r="I117" s="116">
        <v>46055</v>
      </c>
      <c r="J117" s="42" t="s">
        <v>5918</v>
      </c>
      <c r="K117" t="str">
        <f t="shared" ca="1" si="1"/>
        <v>0-3M</v>
      </c>
    </row>
    <row r="118" spans="1:11">
      <c r="A118" s="23" t="s">
        <v>6159</v>
      </c>
      <c r="B118" s="42" t="s">
        <v>5789</v>
      </c>
      <c r="C118" s="42" t="s">
        <v>44</v>
      </c>
      <c r="D118" s="14" t="s">
        <v>5916</v>
      </c>
      <c r="E118" s="54" t="s">
        <v>5621</v>
      </c>
      <c r="F118" s="54" t="s">
        <v>6160</v>
      </c>
      <c r="G118" s="42" t="s">
        <v>6161</v>
      </c>
      <c r="H118" s="42" t="s">
        <v>6161</v>
      </c>
      <c r="I118" s="116">
        <v>46055</v>
      </c>
      <c r="J118" s="42" t="s">
        <v>5918</v>
      </c>
      <c r="K118" t="str">
        <f t="shared" ca="1" si="1"/>
        <v>0-3M</v>
      </c>
    </row>
    <row r="119" spans="1:11">
      <c r="A119" s="23" t="s">
        <v>6162</v>
      </c>
      <c r="B119" s="42" t="s">
        <v>683</v>
      </c>
      <c r="C119" s="42" t="s">
        <v>5771</v>
      </c>
      <c r="D119" s="14" t="s">
        <v>5916</v>
      </c>
      <c r="E119" s="54" t="s">
        <v>5621</v>
      </c>
      <c r="F119" s="54" t="s">
        <v>5420</v>
      </c>
      <c r="G119" s="42" t="s">
        <v>6163</v>
      </c>
      <c r="H119" s="42" t="s">
        <v>6163</v>
      </c>
      <c r="I119" s="116">
        <v>46055</v>
      </c>
      <c r="J119" s="42" t="s">
        <v>5918</v>
      </c>
      <c r="K119" t="str">
        <f t="shared" ca="1" si="1"/>
        <v>0-3M</v>
      </c>
    </row>
    <row r="120" spans="1:11">
      <c r="A120" s="23" t="s">
        <v>6164</v>
      </c>
      <c r="B120" s="23" t="s">
        <v>5151</v>
      </c>
      <c r="C120" s="23" t="s">
        <v>5151</v>
      </c>
      <c r="D120" s="14" t="s">
        <v>5916</v>
      </c>
      <c r="E120" s="54" t="s">
        <v>5436</v>
      </c>
      <c r="F120" s="54" t="s">
        <v>5436</v>
      </c>
      <c r="G120" s="42" t="s">
        <v>6165</v>
      </c>
      <c r="H120" s="42" t="s">
        <v>6165</v>
      </c>
      <c r="I120" s="116">
        <v>46057</v>
      </c>
      <c r="J120" s="42" t="s">
        <v>5918</v>
      </c>
      <c r="K120" t="str">
        <f t="shared" ca="1" si="1"/>
        <v>0-3M</v>
      </c>
    </row>
    <row r="121" spans="1:11">
      <c r="A121" s="23" t="s">
        <v>6166</v>
      </c>
      <c r="B121" s="54" t="s">
        <v>5945</v>
      </c>
      <c r="C121" s="42" t="s">
        <v>5780</v>
      </c>
      <c r="D121" s="14" t="s">
        <v>5916</v>
      </c>
      <c r="E121" s="54" t="s">
        <v>5621</v>
      </c>
      <c r="F121" s="54" t="s">
        <v>5974</v>
      </c>
      <c r="G121" s="42" t="s">
        <v>6167</v>
      </c>
      <c r="H121" s="42" t="s">
        <v>6167</v>
      </c>
      <c r="I121" s="116">
        <v>46062</v>
      </c>
      <c r="J121" s="42" t="s">
        <v>5918</v>
      </c>
      <c r="K121" t="str">
        <f t="shared" ca="1" si="1"/>
        <v>0-3M</v>
      </c>
    </row>
    <row r="122" spans="1:11">
      <c r="A122" s="23" t="s">
        <v>6168</v>
      </c>
      <c r="B122" s="42" t="s">
        <v>1558</v>
      </c>
      <c r="C122" s="42" t="s">
        <v>5771</v>
      </c>
      <c r="D122" s="14" t="s">
        <v>5916</v>
      </c>
      <c r="E122" s="54" t="s">
        <v>5621</v>
      </c>
      <c r="F122" s="54"/>
      <c r="G122" s="42" t="s">
        <v>6169</v>
      </c>
      <c r="H122" s="42" t="s">
        <v>6169</v>
      </c>
      <c r="I122" s="116">
        <v>46062</v>
      </c>
      <c r="J122" s="42" t="s">
        <v>5925</v>
      </c>
      <c r="K122" t="str">
        <f t="shared" ca="1" si="1"/>
        <v>0-3M</v>
      </c>
    </row>
    <row r="123" spans="1:11">
      <c r="A123" s="23" t="s">
        <v>6170</v>
      </c>
      <c r="B123" s="54" t="s">
        <v>5945</v>
      </c>
      <c r="C123" s="42" t="s">
        <v>5780</v>
      </c>
      <c r="D123" s="14" t="s">
        <v>5916</v>
      </c>
      <c r="E123" s="54" t="s">
        <v>5621</v>
      </c>
      <c r="F123" s="54" t="s">
        <v>5974</v>
      </c>
      <c r="G123" s="42" t="s">
        <v>6171</v>
      </c>
      <c r="H123" s="42" t="s">
        <v>6171</v>
      </c>
      <c r="I123" s="116">
        <v>46062</v>
      </c>
      <c r="J123" s="42" t="s">
        <v>5918</v>
      </c>
      <c r="K123" t="str">
        <f t="shared" ca="1" si="1"/>
        <v>0-3M</v>
      </c>
    </row>
    <row r="124" spans="1:11">
      <c r="A124" s="23" t="s">
        <v>6172</v>
      </c>
      <c r="B124" s="42" t="s">
        <v>6024</v>
      </c>
      <c r="C124" s="42" t="s">
        <v>44</v>
      </c>
      <c r="D124" s="14" t="s">
        <v>5916</v>
      </c>
      <c r="E124" s="54" t="s">
        <v>5621</v>
      </c>
      <c r="F124" s="54" t="s">
        <v>6160</v>
      </c>
      <c r="G124" s="42" t="s">
        <v>6173</v>
      </c>
      <c r="H124" s="42" t="s">
        <v>6173</v>
      </c>
      <c r="I124" s="116">
        <v>46062</v>
      </c>
      <c r="J124" s="42" t="s">
        <v>5918</v>
      </c>
      <c r="K124" t="str">
        <f t="shared" ca="1" si="1"/>
        <v>0-3M</v>
      </c>
    </row>
    <row r="125" spans="1:11">
      <c r="A125" s="23" t="s">
        <v>6174</v>
      </c>
      <c r="B125" s="42" t="s">
        <v>5789</v>
      </c>
      <c r="C125" s="42" t="s">
        <v>44</v>
      </c>
      <c r="D125" s="14" t="s">
        <v>5916</v>
      </c>
      <c r="E125" s="54" t="s">
        <v>5621</v>
      </c>
      <c r="F125" s="54" t="s">
        <v>6160</v>
      </c>
      <c r="G125" s="42" t="s">
        <v>6175</v>
      </c>
      <c r="H125" s="42" t="s">
        <v>6175</v>
      </c>
      <c r="I125" s="116">
        <v>46064</v>
      </c>
      <c r="J125" s="42" t="s">
        <v>5918</v>
      </c>
      <c r="K125" t="str">
        <f t="shared" ca="1" si="1"/>
        <v>0-3M</v>
      </c>
    </row>
    <row r="126" spans="1:11">
      <c r="A126" s="23" t="s">
        <v>6176</v>
      </c>
      <c r="B126" s="42" t="s">
        <v>1558</v>
      </c>
      <c r="C126" s="42" t="s">
        <v>5771</v>
      </c>
      <c r="D126" s="14" t="s">
        <v>5916</v>
      </c>
      <c r="E126" s="54" t="s">
        <v>5621</v>
      </c>
      <c r="F126" s="54" t="s">
        <v>5420</v>
      </c>
      <c r="G126" s="42" t="s">
        <v>6177</v>
      </c>
      <c r="H126" s="42" t="s">
        <v>6177</v>
      </c>
      <c r="I126" s="116">
        <v>46064</v>
      </c>
      <c r="J126" s="42" t="s">
        <v>5918</v>
      </c>
      <c r="K126" t="str">
        <f t="shared" ca="1" si="1"/>
        <v>0-3M</v>
      </c>
    </row>
    <row r="127" spans="1:11">
      <c r="A127" s="23" t="s">
        <v>6178</v>
      </c>
      <c r="B127" s="42" t="s">
        <v>683</v>
      </c>
      <c r="C127" s="42" t="s">
        <v>5771</v>
      </c>
      <c r="D127" s="14" t="s">
        <v>5916</v>
      </c>
      <c r="E127" s="54" t="s">
        <v>5621</v>
      </c>
      <c r="F127" s="54" t="s">
        <v>5420</v>
      </c>
      <c r="G127" s="42" t="s">
        <v>6179</v>
      </c>
      <c r="H127" s="115" t="s">
        <v>6179</v>
      </c>
      <c r="I127" s="116">
        <v>45992</v>
      </c>
      <c r="J127" s="42" t="s">
        <v>5918</v>
      </c>
      <c r="K127" t="str">
        <f t="shared" ca="1" si="1"/>
        <v>4-6M</v>
      </c>
    </row>
    <row r="128" spans="1:11">
      <c r="A128" s="23" t="s">
        <v>6180</v>
      </c>
      <c r="B128" s="42" t="s">
        <v>1558</v>
      </c>
      <c r="C128" s="42" t="s">
        <v>5771</v>
      </c>
      <c r="D128" s="14" t="s">
        <v>5916</v>
      </c>
      <c r="E128" s="54" t="s">
        <v>5621</v>
      </c>
      <c r="F128" s="54"/>
      <c r="G128" s="42" t="s">
        <v>6181</v>
      </c>
      <c r="H128" s="42" t="s">
        <v>6181</v>
      </c>
      <c r="I128" s="116">
        <v>46069</v>
      </c>
      <c r="J128" s="42" t="s">
        <v>5918</v>
      </c>
      <c r="K128" t="str">
        <f t="shared" ca="1" si="1"/>
        <v>0-3M</v>
      </c>
    </row>
    <row r="129" spans="1:11">
      <c r="A129" s="23" t="s">
        <v>6182</v>
      </c>
      <c r="B129" s="42" t="s">
        <v>5488</v>
      </c>
      <c r="C129" s="42" t="s">
        <v>94</v>
      </c>
      <c r="D129" s="14" t="s">
        <v>5916</v>
      </c>
      <c r="E129" s="54" t="s">
        <v>5621</v>
      </c>
      <c r="F129" s="54"/>
      <c r="G129" s="42" t="s">
        <v>6183</v>
      </c>
      <c r="H129" s="42" t="s">
        <v>6183</v>
      </c>
      <c r="I129" s="116">
        <v>46071</v>
      </c>
      <c r="J129" s="42" t="s">
        <v>5918</v>
      </c>
      <c r="K129" t="str">
        <f t="shared" ca="1" si="1"/>
        <v>0-3M</v>
      </c>
    </row>
    <row r="130" spans="1:11">
      <c r="A130" s="23" t="s">
        <v>6184</v>
      </c>
      <c r="B130" s="42" t="s">
        <v>118</v>
      </c>
      <c r="C130" s="42" t="s">
        <v>5771</v>
      </c>
      <c r="D130" s="14" t="s">
        <v>5916</v>
      </c>
      <c r="E130" s="54" t="s">
        <v>5621</v>
      </c>
      <c r="F130" s="54" t="s">
        <v>5414</v>
      </c>
      <c r="G130" s="42" t="s">
        <v>6185</v>
      </c>
      <c r="H130" s="115" t="s">
        <v>6185</v>
      </c>
      <c r="I130" s="116">
        <v>46050</v>
      </c>
      <c r="J130" s="54" t="s">
        <v>5918</v>
      </c>
      <c r="K130" t="str">
        <f t="shared" ca="1" si="1"/>
        <v>0-3M</v>
      </c>
    </row>
    <row r="131" spans="1:11">
      <c r="A131" s="23" t="s">
        <v>6186</v>
      </c>
      <c r="B131" s="42" t="s">
        <v>159</v>
      </c>
      <c r="C131" s="42" t="s">
        <v>27</v>
      </c>
      <c r="D131" s="14" t="s">
        <v>5916</v>
      </c>
      <c r="E131" s="54" t="s">
        <v>5649</v>
      </c>
      <c r="F131" s="54" t="s">
        <v>5416</v>
      </c>
      <c r="G131" s="42" t="s">
        <v>6187</v>
      </c>
      <c r="H131" s="42" t="s">
        <v>6187</v>
      </c>
      <c r="I131" s="116">
        <v>46078</v>
      </c>
      <c r="J131" s="54" t="s">
        <v>5918</v>
      </c>
      <c r="K131" t="str">
        <f t="shared" ref="K131:K171" ca="1" si="2">IF(I131="","",
IF(DATEDIF(I131,TODAY(),"M")&lt;=3,"0-3M",
IF(DATEDIF(I131,TODAY(),"M")&lt;=6,"4-6M",
IF(DATEDIF(I131,TODAY(),"M")&lt;=12,"7-12M","12M+"))))</f>
        <v>0-3M</v>
      </c>
    </row>
    <row r="132" spans="1:11">
      <c r="A132" s="23" t="s">
        <v>6188</v>
      </c>
      <c r="B132" s="42" t="s">
        <v>571</v>
      </c>
      <c r="C132" s="42" t="s">
        <v>44</v>
      </c>
      <c r="D132" s="14" t="s">
        <v>5916</v>
      </c>
      <c r="E132" s="54" t="s">
        <v>5621</v>
      </c>
      <c r="F132" s="54" t="s">
        <v>6160</v>
      </c>
      <c r="G132" s="42" t="s">
        <v>6189</v>
      </c>
      <c r="H132" s="42" t="s">
        <v>6189</v>
      </c>
      <c r="I132" s="116">
        <v>46078</v>
      </c>
      <c r="J132" s="54" t="s">
        <v>5918</v>
      </c>
      <c r="K132" t="str">
        <f t="shared" ca="1" si="2"/>
        <v>0-3M</v>
      </c>
    </row>
    <row r="133" spans="1:11">
      <c r="A133" s="23" t="s">
        <v>6190</v>
      </c>
      <c r="B133" s="42" t="s">
        <v>6076</v>
      </c>
      <c r="C133" s="42" t="s">
        <v>27</v>
      </c>
      <c r="D133" s="14" t="s">
        <v>5916</v>
      </c>
      <c r="E133" s="54" t="s">
        <v>5649</v>
      </c>
      <c r="F133" s="54" t="s">
        <v>5416</v>
      </c>
      <c r="G133" s="42" t="s">
        <v>6191</v>
      </c>
      <c r="H133" s="115" t="s">
        <v>6191</v>
      </c>
      <c r="I133" s="116">
        <v>46083</v>
      </c>
      <c r="J133" s="54" t="s">
        <v>5918</v>
      </c>
      <c r="K133" t="str">
        <f t="shared" ca="1" si="2"/>
        <v>0-3M</v>
      </c>
    </row>
    <row r="134" spans="1:11">
      <c r="A134" s="23" t="s">
        <v>6192</v>
      </c>
      <c r="B134" s="23" t="s">
        <v>6193</v>
      </c>
      <c r="C134" s="42" t="s">
        <v>6194</v>
      </c>
      <c r="D134" s="14" t="s">
        <v>5916</v>
      </c>
      <c r="E134" s="54" t="s">
        <v>5436</v>
      </c>
      <c r="F134" s="54" t="s">
        <v>5436</v>
      </c>
      <c r="G134" s="42" t="s">
        <v>6195</v>
      </c>
      <c r="H134" s="42" t="s">
        <v>6195</v>
      </c>
      <c r="I134" s="116">
        <v>46083</v>
      </c>
      <c r="J134" s="54" t="s">
        <v>5925</v>
      </c>
      <c r="K134" t="str">
        <f t="shared" ca="1" si="2"/>
        <v>0-3M</v>
      </c>
    </row>
    <row r="135" spans="1:11">
      <c r="A135" s="23" t="s">
        <v>6196</v>
      </c>
      <c r="B135" s="23" t="s">
        <v>6193</v>
      </c>
      <c r="C135" s="42" t="s">
        <v>6194</v>
      </c>
      <c r="D135" s="14" t="s">
        <v>5916</v>
      </c>
      <c r="E135" s="54" t="s">
        <v>5436</v>
      </c>
      <c r="F135" s="54" t="s">
        <v>5436</v>
      </c>
      <c r="G135" s="42" t="s">
        <v>6197</v>
      </c>
      <c r="H135" s="42" t="s">
        <v>6197</v>
      </c>
      <c r="I135" s="116">
        <v>46083</v>
      </c>
      <c r="J135" s="54" t="s">
        <v>5925</v>
      </c>
      <c r="K135" t="str">
        <f t="shared" ca="1" si="2"/>
        <v>0-3M</v>
      </c>
    </row>
    <row r="136" spans="1:11">
      <c r="A136" s="23" t="s">
        <v>6198</v>
      </c>
      <c r="B136" s="42" t="s">
        <v>1983</v>
      </c>
      <c r="C136" s="42" t="s">
        <v>44</v>
      </c>
      <c r="D136" s="14" t="s">
        <v>5916</v>
      </c>
      <c r="E136" s="54" t="s">
        <v>5621</v>
      </c>
      <c r="F136" s="54" t="s">
        <v>6160</v>
      </c>
      <c r="G136" s="42" t="s">
        <v>6199</v>
      </c>
      <c r="H136" s="42" t="s">
        <v>6199</v>
      </c>
      <c r="I136" s="116">
        <v>46083</v>
      </c>
      <c r="J136" s="54" t="s">
        <v>5918</v>
      </c>
      <c r="K136" t="str">
        <f t="shared" ca="1" si="2"/>
        <v>0-3M</v>
      </c>
    </row>
    <row r="137" spans="1:11">
      <c r="A137" s="23" t="s">
        <v>6200</v>
      </c>
      <c r="B137" s="42" t="s">
        <v>1983</v>
      </c>
      <c r="C137" s="42" t="s">
        <v>44</v>
      </c>
      <c r="D137" s="14" t="s">
        <v>5916</v>
      </c>
      <c r="E137" s="54" t="s">
        <v>5621</v>
      </c>
      <c r="F137" s="54" t="s">
        <v>6160</v>
      </c>
      <c r="G137" s="42" t="s">
        <v>6201</v>
      </c>
      <c r="H137" s="42" t="s">
        <v>6201</v>
      </c>
      <c r="I137" s="116">
        <v>46083</v>
      </c>
      <c r="J137" s="54" t="s">
        <v>5918</v>
      </c>
      <c r="K137" t="str">
        <f t="shared" ca="1" si="2"/>
        <v>0-3M</v>
      </c>
    </row>
    <row r="138" spans="1:11">
      <c r="A138" s="23" t="s">
        <v>6202</v>
      </c>
      <c r="B138" s="42" t="s">
        <v>6024</v>
      </c>
      <c r="C138" s="42" t="s">
        <v>44</v>
      </c>
      <c r="D138" s="14" t="s">
        <v>5916</v>
      </c>
      <c r="E138" s="54" t="s">
        <v>5621</v>
      </c>
      <c r="F138" s="54" t="s">
        <v>6160</v>
      </c>
      <c r="G138" s="42" t="s">
        <v>6203</v>
      </c>
      <c r="H138" s="42" t="s">
        <v>6203</v>
      </c>
      <c r="I138" s="116">
        <v>46083</v>
      </c>
      <c r="J138" s="54" t="s">
        <v>5918</v>
      </c>
      <c r="K138" t="str">
        <f t="shared" ca="1" si="2"/>
        <v>0-3M</v>
      </c>
    </row>
    <row r="139" spans="1:11">
      <c r="A139" s="23" t="s">
        <v>6204</v>
      </c>
      <c r="B139" s="42" t="s">
        <v>6024</v>
      </c>
      <c r="C139" s="42" t="s">
        <v>5771</v>
      </c>
      <c r="D139" s="14" t="s">
        <v>5916</v>
      </c>
      <c r="E139" s="54" t="s">
        <v>5621</v>
      </c>
      <c r="F139" s="54"/>
      <c r="G139" s="42" t="s">
        <v>6205</v>
      </c>
      <c r="H139" s="42" t="s">
        <v>6205</v>
      </c>
      <c r="I139" s="116">
        <v>46083</v>
      </c>
      <c r="J139" s="54" t="s">
        <v>5925</v>
      </c>
      <c r="K139" t="str">
        <f t="shared" ca="1" si="2"/>
        <v>0-3M</v>
      </c>
    </row>
    <row r="140" spans="1:11">
      <c r="A140" s="23" t="s">
        <v>4316</v>
      </c>
      <c r="B140" s="42" t="s">
        <v>5488</v>
      </c>
      <c r="C140" s="42" t="s">
        <v>94</v>
      </c>
      <c r="D140" s="14" t="s">
        <v>5916</v>
      </c>
      <c r="E140" s="54" t="s">
        <v>5621</v>
      </c>
      <c r="F140" s="54" t="s">
        <v>5417</v>
      </c>
      <c r="G140" s="42" t="s">
        <v>6206</v>
      </c>
      <c r="H140" s="42" t="s">
        <v>6206</v>
      </c>
      <c r="I140" s="116">
        <v>46090</v>
      </c>
      <c r="J140" s="54" t="s">
        <v>5918</v>
      </c>
      <c r="K140" t="str">
        <f t="shared" ca="1" si="2"/>
        <v>0-3M</v>
      </c>
    </row>
    <row r="141" spans="1:11">
      <c r="A141" s="23" t="s">
        <v>6207</v>
      </c>
      <c r="B141" s="42" t="s">
        <v>2380</v>
      </c>
      <c r="C141" s="42" t="s">
        <v>94</v>
      </c>
      <c r="D141" s="14" t="s">
        <v>5916</v>
      </c>
      <c r="E141" s="54" t="s">
        <v>5621</v>
      </c>
      <c r="F141" s="54" t="s">
        <v>5417</v>
      </c>
      <c r="G141" s="42" t="s">
        <v>6208</v>
      </c>
      <c r="H141" s="42" t="s">
        <v>6208</v>
      </c>
      <c r="I141" s="116">
        <v>46090</v>
      </c>
      <c r="J141" s="54" t="s">
        <v>5918</v>
      </c>
      <c r="K141" t="str">
        <f t="shared" ca="1" si="2"/>
        <v>0-3M</v>
      </c>
    </row>
    <row r="142" spans="1:11">
      <c r="A142" s="23" t="s">
        <v>6209</v>
      </c>
      <c r="B142" s="42" t="s">
        <v>5490</v>
      </c>
      <c r="C142" s="42" t="s">
        <v>94</v>
      </c>
      <c r="D142" s="14" t="s">
        <v>5916</v>
      </c>
      <c r="E142" s="54" t="s">
        <v>5621</v>
      </c>
      <c r="F142" s="54" t="s">
        <v>5417</v>
      </c>
      <c r="G142" s="42" t="s">
        <v>6210</v>
      </c>
      <c r="H142" s="42" t="s">
        <v>6210</v>
      </c>
      <c r="I142" s="116">
        <v>46092</v>
      </c>
      <c r="J142" s="54" t="s">
        <v>5918</v>
      </c>
      <c r="K142" t="str">
        <f t="shared" ca="1" si="2"/>
        <v>0-3M</v>
      </c>
    </row>
    <row r="143" spans="1:11">
      <c r="A143" s="23" t="s">
        <v>6211</v>
      </c>
      <c r="B143" s="42" t="s">
        <v>5789</v>
      </c>
      <c r="C143" s="42" t="s">
        <v>44</v>
      </c>
      <c r="D143" s="14" t="s">
        <v>5916</v>
      </c>
      <c r="E143" s="54" t="s">
        <v>5621</v>
      </c>
      <c r="F143" s="54" t="s">
        <v>6160</v>
      </c>
      <c r="G143" s="42" t="s">
        <v>6212</v>
      </c>
      <c r="H143" s="42" t="s">
        <v>6212</v>
      </c>
      <c r="I143" s="116">
        <v>46099</v>
      </c>
      <c r="J143" s="54" t="s">
        <v>5918</v>
      </c>
      <c r="K143" t="str">
        <f t="shared" ca="1" si="2"/>
        <v>0-3M</v>
      </c>
    </row>
    <row r="144" spans="1:11">
      <c r="A144" s="17" t="s">
        <v>6213</v>
      </c>
      <c r="B144" s="118" t="s">
        <v>118</v>
      </c>
      <c r="C144" s="118" t="s">
        <v>5771</v>
      </c>
      <c r="D144" s="18" t="s">
        <v>5916</v>
      </c>
      <c r="E144" s="119" t="s">
        <v>5621</v>
      </c>
      <c r="F144" s="119" t="s">
        <v>6160</v>
      </c>
      <c r="G144" s="118" t="s">
        <v>6214</v>
      </c>
      <c r="H144" s="118" t="s">
        <v>6214</v>
      </c>
      <c r="I144" s="121">
        <v>46099</v>
      </c>
      <c r="J144" s="119" t="s">
        <v>5918</v>
      </c>
      <c r="K144" t="str">
        <f t="shared" ca="1" si="2"/>
        <v>0-3M</v>
      </c>
    </row>
    <row r="145" spans="1:11">
      <c r="A145" s="17" t="s">
        <v>6215</v>
      </c>
      <c r="B145" s="42" t="s">
        <v>5936</v>
      </c>
      <c r="C145" s="42" t="s">
        <v>94</v>
      </c>
      <c r="D145" s="14" t="s">
        <v>5916</v>
      </c>
      <c r="E145" s="54" t="s">
        <v>5621</v>
      </c>
      <c r="F145" s="54" t="s">
        <v>5417</v>
      </c>
      <c r="G145" s="42" t="s">
        <v>6216</v>
      </c>
      <c r="H145" s="42" t="s">
        <v>6216</v>
      </c>
      <c r="I145" s="121">
        <v>46111</v>
      </c>
      <c r="J145" s="54" t="s">
        <v>5918</v>
      </c>
      <c r="K145" t="str">
        <f t="shared" ca="1" si="2"/>
        <v>0-3M</v>
      </c>
    </row>
    <row r="146" spans="1:11">
      <c r="A146" s="17" t="s">
        <v>6217</v>
      </c>
      <c r="B146" s="42" t="s">
        <v>6076</v>
      </c>
      <c r="C146" s="42" t="s">
        <v>27</v>
      </c>
      <c r="D146" s="14" t="s">
        <v>5916</v>
      </c>
      <c r="E146" s="54" t="s">
        <v>5649</v>
      </c>
      <c r="F146" s="54" t="s">
        <v>5416</v>
      </c>
      <c r="G146" s="42" t="s">
        <v>6218</v>
      </c>
      <c r="H146" s="42" t="s">
        <v>6218</v>
      </c>
      <c r="I146" s="116">
        <v>46097</v>
      </c>
      <c r="J146" s="54" t="s">
        <v>5925</v>
      </c>
      <c r="K146" t="str">
        <f t="shared" ca="1" si="2"/>
        <v>0-3M</v>
      </c>
    </row>
    <row r="147" spans="1:11">
      <c r="A147" s="23" t="s">
        <v>6219</v>
      </c>
      <c r="B147" s="42" t="s">
        <v>5789</v>
      </c>
      <c r="C147" s="42" t="s">
        <v>44</v>
      </c>
      <c r="D147" s="14" t="s">
        <v>5916</v>
      </c>
      <c r="E147" s="54" t="s">
        <v>5621</v>
      </c>
      <c r="F147" s="54" t="s">
        <v>6160</v>
      </c>
      <c r="G147" s="42" t="s">
        <v>6220</v>
      </c>
      <c r="H147" s="42" t="s">
        <v>6220</v>
      </c>
      <c r="I147" s="116">
        <v>46106</v>
      </c>
      <c r="J147" s="54" t="s">
        <v>5918</v>
      </c>
      <c r="K147" t="str">
        <f t="shared" ca="1" si="2"/>
        <v>0-3M</v>
      </c>
    </row>
    <row r="148" spans="1:11">
      <c r="A148" s="23" t="s">
        <v>6221</v>
      </c>
      <c r="B148" s="42" t="s">
        <v>5999</v>
      </c>
      <c r="C148" s="42" t="s">
        <v>5771</v>
      </c>
      <c r="D148" s="14" t="s">
        <v>5916</v>
      </c>
      <c r="E148" s="54" t="s">
        <v>5621</v>
      </c>
      <c r="F148" s="54"/>
      <c r="G148" s="42" t="s">
        <v>6222</v>
      </c>
      <c r="H148" s="42" t="s">
        <v>6222</v>
      </c>
      <c r="I148" s="116">
        <v>46132</v>
      </c>
      <c r="J148" s="54" t="s">
        <v>5918</v>
      </c>
      <c r="K148" t="str">
        <f t="shared" ca="1" si="2"/>
        <v>0-3M</v>
      </c>
    </row>
    <row r="149" spans="1:11">
      <c r="A149" s="23" t="s">
        <v>6223</v>
      </c>
      <c r="B149" s="42" t="s">
        <v>5999</v>
      </c>
      <c r="C149" s="42" t="s">
        <v>44</v>
      </c>
      <c r="D149" s="14" t="s">
        <v>5916</v>
      </c>
      <c r="E149" s="54" t="s">
        <v>5621</v>
      </c>
      <c r="F149" s="54"/>
      <c r="G149" s="42" t="s">
        <v>6224</v>
      </c>
      <c r="H149" s="42" t="s">
        <v>6224</v>
      </c>
      <c r="I149" s="116">
        <v>46132</v>
      </c>
      <c r="J149" s="54" t="s">
        <v>5918</v>
      </c>
      <c r="K149" t="str">
        <f t="shared" ca="1" si="2"/>
        <v>0-3M</v>
      </c>
    </row>
    <row r="150" spans="1:11">
      <c r="A150" s="23" t="s">
        <v>6225</v>
      </c>
      <c r="B150" s="42" t="s">
        <v>5999</v>
      </c>
      <c r="C150" s="42" t="s">
        <v>44</v>
      </c>
      <c r="D150" s="14" t="s">
        <v>5916</v>
      </c>
      <c r="E150" s="54" t="s">
        <v>5621</v>
      </c>
      <c r="F150" s="54"/>
      <c r="G150" s="42" t="s">
        <v>6226</v>
      </c>
      <c r="H150" s="42" t="s">
        <v>6226</v>
      </c>
      <c r="I150" s="116">
        <v>46132</v>
      </c>
      <c r="J150" s="54" t="s">
        <v>5925</v>
      </c>
      <c r="K150" t="str">
        <f t="shared" ca="1" si="2"/>
        <v>0-3M</v>
      </c>
    </row>
    <row r="151" spans="1:11">
      <c r="A151" s="23" t="s">
        <v>6227</v>
      </c>
      <c r="B151" s="42" t="s">
        <v>1983</v>
      </c>
      <c r="C151" s="42" t="s">
        <v>44</v>
      </c>
      <c r="D151" s="14" t="s">
        <v>5916</v>
      </c>
      <c r="E151" s="54" t="s">
        <v>5621</v>
      </c>
      <c r="F151" s="54" t="s">
        <v>5425</v>
      </c>
      <c r="G151" s="42" t="s">
        <v>6228</v>
      </c>
      <c r="H151" s="42" t="s">
        <v>6228</v>
      </c>
      <c r="I151" s="116">
        <v>46132</v>
      </c>
      <c r="J151" s="54" t="s">
        <v>5918</v>
      </c>
      <c r="K151" t="str">
        <f t="shared" ca="1" si="2"/>
        <v>0-3M</v>
      </c>
    </row>
    <row r="152" spans="1:11">
      <c r="A152" s="23" t="s">
        <v>6229</v>
      </c>
      <c r="B152" s="42" t="s">
        <v>1983</v>
      </c>
      <c r="C152" s="42" t="s">
        <v>44</v>
      </c>
      <c r="D152" s="14" t="s">
        <v>5916</v>
      </c>
      <c r="E152" s="54" t="s">
        <v>5621</v>
      </c>
      <c r="F152" s="54" t="s">
        <v>5425</v>
      </c>
      <c r="G152" s="42" t="s">
        <v>6230</v>
      </c>
      <c r="H152" s="42" t="s">
        <v>6230</v>
      </c>
      <c r="I152" s="116">
        <v>46132</v>
      </c>
      <c r="J152" s="54" t="s">
        <v>5918</v>
      </c>
      <c r="K152" t="str">
        <f t="shared" ca="1" si="2"/>
        <v>0-3M</v>
      </c>
    </row>
    <row r="153" spans="1:11">
      <c r="A153" s="23" t="s">
        <v>6231</v>
      </c>
      <c r="B153" s="42" t="s">
        <v>5999</v>
      </c>
      <c r="C153" s="42" t="s">
        <v>44</v>
      </c>
      <c r="D153" s="14" t="s">
        <v>5916</v>
      </c>
      <c r="E153" s="54" t="s">
        <v>5621</v>
      </c>
      <c r="F153" s="54"/>
      <c r="G153" s="42" t="s">
        <v>6232</v>
      </c>
      <c r="H153" s="42" t="s">
        <v>6232</v>
      </c>
      <c r="I153" s="116">
        <v>46132</v>
      </c>
      <c r="J153" s="54" t="s">
        <v>5918</v>
      </c>
      <c r="K153" t="str">
        <f t="shared" ca="1" si="2"/>
        <v>0-3M</v>
      </c>
    </row>
    <row r="154" spans="1:11">
      <c r="A154" s="23" t="s">
        <v>6233</v>
      </c>
      <c r="B154" s="42" t="s">
        <v>5999</v>
      </c>
      <c r="C154" s="42" t="s">
        <v>44</v>
      </c>
      <c r="D154" s="14" t="s">
        <v>5916</v>
      </c>
      <c r="E154" s="54" t="s">
        <v>5621</v>
      </c>
      <c r="F154" s="54"/>
      <c r="G154" s="42" t="s">
        <v>6234</v>
      </c>
      <c r="H154" s="42" t="s">
        <v>6234</v>
      </c>
      <c r="I154" s="116">
        <v>46132</v>
      </c>
      <c r="J154" s="54" t="s">
        <v>5918</v>
      </c>
      <c r="K154" t="str">
        <f t="shared" ca="1" si="2"/>
        <v>0-3M</v>
      </c>
    </row>
    <row r="155" spans="1:11">
      <c r="A155" s="23" t="s">
        <v>6235</v>
      </c>
      <c r="B155" s="180" t="s">
        <v>140</v>
      </c>
      <c r="C155" s="42" t="s">
        <v>27</v>
      </c>
      <c r="D155" s="14" t="s">
        <v>5916</v>
      </c>
      <c r="E155" s="54" t="s">
        <v>5649</v>
      </c>
      <c r="F155" s="54" t="s">
        <v>5416</v>
      </c>
      <c r="G155" s="42" t="s">
        <v>6236</v>
      </c>
      <c r="H155" s="42" t="s">
        <v>6236</v>
      </c>
      <c r="I155" s="116">
        <v>46141</v>
      </c>
      <c r="J155" s="54" t="s">
        <v>5918</v>
      </c>
      <c r="K155" t="str">
        <f t="shared" ca="1" si="2"/>
        <v>0-3M</v>
      </c>
    </row>
    <row r="156" spans="1:11">
      <c r="A156" s="23" t="s">
        <v>6237</v>
      </c>
      <c r="B156" s="42" t="s">
        <v>159</v>
      </c>
      <c r="C156" s="42" t="s">
        <v>27</v>
      </c>
      <c r="D156" s="14" t="s">
        <v>5916</v>
      </c>
      <c r="E156" s="54" t="s">
        <v>5649</v>
      </c>
      <c r="F156" s="54" t="s">
        <v>5416</v>
      </c>
      <c r="G156" s="42" t="s">
        <v>6238</v>
      </c>
      <c r="H156" s="42" t="s">
        <v>6238</v>
      </c>
      <c r="I156" s="116">
        <v>46141</v>
      </c>
      <c r="J156" s="54" t="s">
        <v>5925</v>
      </c>
      <c r="K156" t="str">
        <f t="shared" ca="1" si="2"/>
        <v>0-3M</v>
      </c>
    </row>
    <row r="157" spans="1:11">
      <c r="A157" s="23" t="s">
        <v>6239</v>
      </c>
      <c r="B157" s="42" t="s">
        <v>194</v>
      </c>
      <c r="C157" s="42" t="s">
        <v>27</v>
      </c>
      <c r="D157" s="14" t="s">
        <v>5916</v>
      </c>
      <c r="E157" s="54" t="s">
        <v>5649</v>
      </c>
      <c r="F157" s="54" t="s">
        <v>5416</v>
      </c>
      <c r="G157" s="42" t="s">
        <v>6240</v>
      </c>
      <c r="H157" s="42" t="s">
        <v>6240</v>
      </c>
      <c r="I157" s="116">
        <v>46141</v>
      </c>
      <c r="J157" s="54" t="s">
        <v>5918</v>
      </c>
      <c r="K157" t="str">
        <f t="shared" ca="1" si="2"/>
        <v>0-3M</v>
      </c>
    </row>
    <row r="158" spans="1:11">
      <c r="A158" s="23" t="s">
        <v>6241</v>
      </c>
      <c r="B158" s="42" t="s">
        <v>194</v>
      </c>
      <c r="C158" s="42" t="s">
        <v>27</v>
      </c>
      <c r="D158" s="14" t="s">
        <v>5916</v>
      </c>
      <c r="E158" s="54" t="s">
        <v>5649</v>
      </c>
      <c r="F158" s="54" t="s">
        <v>5416</v>
      </c>
      <c r="G158" s="42" t="s">
        <v>6242</v>
      </c>
      <c r="H158" s="42" t="s">
        <v>6242</v>
      </c>
      <c r="I158" s="116">
        <v>46141</v>
      </c>
      <c r="J158" s="54" t="s">
        <v>5918</v>
      </c>
      <c r="K158" t="str">
        <f t="shared" ca="1" si="2"/>
        <v>0-3M</v>
      </c>
    </row>
    <row r="159" spans="1:11">
      <c r="A159" s="23" t="s">
        <v>6243</v>
      </c>
      <c r="B159" s="42" t="s">
        <v>159</v>
      </c>
      <c r="C159" s="42" t="s">
        <v>27</v>
      </c>
      <c r="D159" s="14" t="s">
        <v>5916</v>
      </c>
      <c r="E159" s="54" t="s">
        <v>5649</v>
      </c>
      <c r="F159" s="54" t="s">
        <v>5416</v>
      </c>
      <c r="G159" s="42" t="s">
        <v>6244</v>
      </c>
      <c r="H159" s="42" t="s">
        <v>6244</v>
      </c>
      <c r="I159" s="116">
        <v>46141</v>
      </c>
      <c r="J159" s="54" t="s">
        <v>5925</v>
      </c>
      <c r="K159" t="str">
        <f t="shared" ca="1" si="2"/>
        <v>0-3M</v>
      </c>
    </row>
    <row r="160" spans="1:11">
      <c r="A160" s="23" t="s">
        <v>6245</v>
      </c>
      <c r="B160" s="180" t="s">
        <v>140</v>
      </c>
      <c r="C160" s="42" t="s">
        <v>27</v>
      </c>
      <c r="D160" s="14" t="s">
        <v>5916</v>
      </c>
      <c r="E160" s="54" t="s">
        <v>5649</v>
      </c>
      <c r="F160" s="54" t="s">
        <v>5416</v>
      </c>
      <c r="G160" s="42" t="s">
        <v>6246</v>
      </c>
      <c r="H160" s="42" t="s">
        <v>6246</v>
      </c>
      <c r="I160" s="116">
        <v>46141</v>
      </c>
      <c r="J160" s="54" t="s">
        <v>5918</v>
      </c>
      <c r="K160" t="str">
        <f t="shared" ca="1" si="2"/>
        <v>0-3M</v>
      </c>
    </row>
    <row r="161" spans="1:11">
      <c r="A161" s="23" t="s">
        <v>6247</v>
      </c>
      <c r="B161" s="42" t="s">
        <v>6076</v>
      </c>
      <c r="C161" s="42" t="s">
        <v>27</v>
      </c>
      <c r="D161" s="14" t="s">
        <v>5916</v>
      </c>
      <c r="E161" s="54" t="s">
        <v>5649</v>
      </c>
      <c r="F161" s="54" t="s">
        <v>5416</v>
      </c>
      <c r="G161" s="42" t="s">
        <v>6248</v>
      </c>
      <c r="H161" s="42" t="s">
        <v>6248</v>
      </c>
      <c r="I161" s="116">
        <v>46141</v>
      </c>
      <c r="J161" s="54" t="s">
        <v>5925</v>
      </c>
      <c r="K161" t="str">
        <f t="shared" ca="1" si="2"/>
        <v>0-3M</v>
      </c>
    </row>
    <row r="162" spans="1:11">
      <c r="A162" s="23" t="s">
        <v>6249</v>
      </c>
      <c r="B162" s="42" t="s">
        <v>6076</v>
      </c>
      <c r="C162" s="42" t="s">
        <v>27</v>
      </c>
      <c r="D162" s="14" t="s">
        <v>5916</v>
      </c>
      <c r="E162" s="54" t="s">
        <v>5649</v>
      </c>
      <c r="F162" s="54" t="s">
        <v>5416</v>
      </c>
      <c r="G162" s="42" t="s">
        <v>6250</v>
      </c>
      <c r="H162" s="42" t="s">
        <v>6250</v>
      </c>
      <c r="I162" s="116">
        <v>46141</v>
      </c>
      <c r="J162" s="54" t="s">
        <v>5925</v>
      </c>
      <c r="K162" t="str">
        <f t="shared" ca="1" si="2"/>
        <v>0-3M</v>
      </c>
    </row>
    <row r="163" spans="1:11">
      <c r="A163" s="23" t="s">
        <v>6251</v>
      </c>
      <c r="B163" s="42" t="s">
        <v>6076</v>
      </c>
      <c r="C163" s="42" t="s">
        <v>27</v>
      </c>
      <c r="D163" s="14" t="s">
        <v>5916</v>
      </c>
      <c r="E163" s="54" t="s">
        <v>5649</v>
      </c>
      <c r="F163" s="54" t="s">
        <v>5416</v>
      </c>
      <c r="G163" s="42" t="s">
        <v>6252</v>
      </c>
      <c r="H163" s="42" t="s">
        <v>6252</v>
      </c>
      <c r="I163" s="116">
        <v>46141</v>
      </c>
      <c r="J163" s="54" t="s">
        <v>5925</v>
      </c>
      <c r="K163" t="str">
        <f t="shared" ca="1" si="2"/>
        <v>0-3M</v>
      </c>
    </row>
    <row r="164" spans="1:11">
      <c r="A164" s="23" t="s">
        <v>6253</v>
      </c>
      <c r="B164" s="42" t="s">
        <v>6076</v>
      </c>
      <c r="C164" s="42" t="s">
        <v>27</v>
      </c>
      <c r="D164" s="14" t="s">
        <v>5916</v>
      </c>
      <c r="E164" s="54" t="s">
        <v>5649</v>
      </c>
      <c r="F164" s="54" t="s">
        <v>5416</v>
      </c>
      <c r="G164" s="42" t="s">
        <v>6254</v>
      </c>
      <c r="H164" s="42" t="s">
        <v>6254</v>
      </c>
      <c r="I164" s="116">
        <v>46141</v>
      </c>
      <c r="J164" s="54" t="s">
        <v>5925</v>
      </c>
      <c r="K164" t="str">
        <f t="shared" ca="1" si="2"/>
        <v>0-3M</v>
      </c>
    </row>
    <row r="165" spans="1:11">
      <c r="A165" s="23" t="s">
        <v>6255</v>
      </c>
      <c r="B165" s="42" t="s">
        <v>6076</v>
      </c>
      <c r="C165" s="42" t="s">
        <v>27</v>
      </c>
      <c r="D165" s="14" t="s">
        <v>5916</v>
      </c>
      <c r="E165" s="54" t="s">
        <v>5649</v>
      </c>
      <c r="F165" s="54" t="s">
        <v>5416</v>
      </c>
      <c r="G165" s="42" t="s">
        <v>6256</v>
      </c>
      <c r="H165" s="42" t="s">
        <v>6256</v>
      </c>
      <c r="I165" s="116">
        <v>46141</v>
      </c>
      <c r="J165" s="54" t="s">
        <v>5918</v>
      </c>
      <c r="K165" t="str">
        <f t="shared" ca="1" si="2"/>
        <v>0-3M</v>
      </c>
    </row>
    <row r="166" spans="1:11">
      <c r="A166" s="23" t="s">
        <v>5151</v>
      </c>
      <c r="B166" s="23" t="s">
        <v>6193</v>
      </c>
      <c r="C166" s="23" t="s">
        <v>5151</v>
      </c>
      <c r="D166" s="14" t="s">
        <v>5916</v>
      </c>
      <c r="E166" s="54" t="s">
        <v>5436</v>
      </c>
      <c r="F166" s="54" t="s">
        <v>5436</v>
      </c>
      <c r="G166" s="42" t="s">
        <v>6257</v>
      </c>
      <c r="H166" s="42" t="s">
        <v>6257</v>
      </c>
      <c r="I166" s="116">
        <v>46083</v>
      </c>
      <c r="J166" s="54" t="s">
        <v>5918</v>
      </c>
      <c r="K166" t="str">
        <f t="shared" ca="1" si="2"/>
        <v>0-3M</v>
      </c>
    </row>
    <row r="167" spans="1:11">
      <c r="A167" s="23" t="s">
        <v>6258</v>
      </c>
      <c r="B167" s="42" t="s">
        <v>159</v>
      </c>
      <c r="C167" s="42" t="s">
        <v>27</v>
      </c>
      <c r="D167" s="14" t="s">
        <v>5916</v>
      </c>
      <c r="E167" s="54" t="s">
        <v>5649</v>
      </c>
      <c r="F167" s="54" t="s">
        <v>5416</v>
      </c>
      <c r="G167" s="42" t="s">
        <v>6259</v>
      </c>
      <c r="H167" s="42" t="s">
        <v>6259</v>
      </c>
      <c r="I167" s="116">
        <v>46153</v>
      </c>
      <c r="J167" s="54" t="s">
        <v>5918</v>
      </c>
      <c r="K167" t="str">
        <f t="shared" ca="1" si="2"/>
        <v>0-3M</v>
      </c>
    </row>
    <row r="168" spans="1:11">
      <c r="A168" s="23" t="s">
        <v>6260</v>
      </c>
      <c r="B168" s="42" t="s">
        <v>159</v>
      </c>
      <c r="C168" s="42" t="s">
        <v>27</v>
      </c>
      <c r="D168" s="14" t="s">
        <v>5916</v>
      </c>
      <c r="E168" s="54" t="s">
        <v>5649</v>
      </c>
      <c r="F168" s="54" t="s">
        <v>5416</v>
      </c>
      <c r="G168" s="42" t="s">
        <v>6261</v>
      </c>
      <c r="H168" s="42" t="s">
        <v>6261</v>
      </c>
      <c r="I168" s="116">
        <v>46153</v>
      </c>
      <c r="J168" s="54" t="s">
        <v>5918</v>
      </c>
      <c r="K168" t="str">
        <f t="shared" ca="1" si="2"/>
        <v>0-3M</v>
      </c>
    </row>
    <row r="169" spans="1:11">
      <c r="A169" s="23"/>
      <c r="B169" s="42"/>
      <c r="C169" s="42"/>
      <c r="D169" s="14"/>
      <c r="E169" s="54"/>
      <c r="F169" s="54"/>
      <c r="G169" s="42"/>
      <c r="H169" s="42"/>
      <c r="I169" s="116"/>
      <c r="J169" s="54"/>
      <c r="K169" t="str">
        <f t="shared" ca="1" si="2"/>
        <v/>
      </c>
    </row>
    <row r="170" spans="1:11">
      <c r="A170" s="23"/>
      <c r="B170" s="42"/>
      <c r="C170" s="42"/>
      <c r="D170" s="14"/>
      <c r="E170" s="54"/>
      <c r="F170" s="54"/>
      <c r="G170" s="42"/>
      <c r="H170" s="42"/>
      <c r="I170" s="116"/>
      <c r="J170" s="54"/>
      <c r="K170" t="str">
        <f t="shared" ca="1" si="2"/>
        <v/>
      </c>
    </row>
    <row r="171" spans="1:11">
      <c r="A171" s="23"/>
      <c r="B171" s="180"/>
      <c r="C171" s="42"/>
      <c r="D171" s="14"/>
      <c r="E171" s="54"/>
      <c r="F171" s="54"/>
      <c r="G171" s="42"/>
      <c r="H171" s="42"/>
      <c r="I171" s="116"/>
      <c r="J171" s="54"/>
      <c r="K171" t="str">
        <f t="shared" ca="1" si="2"/>
        <v/>
      </c>
    </row>
    <row r="172" spans="1:11">
      <c r="A172" s="23"/>
      <c r="B172" s="42"/>
      <c r="C172" s="42"/>
      <c r="D172" s="14"/>
      <c r="E172" s="54"/>
      <c r="F172" s="54"/>
      <c r="G172" s="42"/>
      <c r="H172" s="42"/>
      <c r="I172" s="116"/>
      <c r="J172" s="54"/>
      <c r="K172" t="str">
        <f ca="1">IF(I172="","",
IF(DATEDIF(I172,TODAY(),"M")&lt;=3,"0-3M",
IF(DATEDIF(I172,TODAY(),"M")&lt;=6,"4-6M",
IF(DATEDIF(I172,TODAY(),"M")&lt;=12,"7-12M","12M+"))))</f>
        <v/>
      </c>
    </row>
    <row r="173" spans="1:11">
      <c r="A173" s="23"/>
      <c r="B173" s="42"/>
      <c r="C173" s="42"/>
      <c r="D173" s="14"/>
      <c r="E173" s="54"/>
      <c r="F173" s="54"/>
      <c r="G173" s="42"/>
      <c r="H173" s="42"/>
      <c r="I173" s="116"/>
      <c r="J173" s="54"/>
      <c r="K173" t="str">
        <f t="shared" ref="K173:K176" ca="1" si="3">IF(I173="","",
IF(DATEDIF(I173,TODAY(),"M")&lt;=3,"0-3M",
IF(DATEDIF(I173,TODAY(),"M")&lt;=6,"4-6M",
IF(DATEDIF(I173,TODAY(),"M")&lt;=12,"7-12M","12M+"))))</f>
        <v/>
      </c>
    </row>
    <row r="174" spans="1:11">
      <c r="A174" s="23"/>
      <c r="B174" s="42"/>
      <c r="C174" s="42"/>
      <c r="D174" s="14"/>
      <c r="E174" s="54"/>
      <c r="F174" s="54"/>
      <c r="G174" s="42"/>
      <c r="H174" s="42"/>
      <c r="I174" s="116"/>
      <c r="J174" s="54"/>
      <c r="K174" t="str">
        <f t="shared" ca="1" si="3"/>
        <v/>
      </c>
    </row>
    <row r="175" spans="1:11">
      <c r="A175" s="23"/>
      <c r="B175" s="42"/>
      <c r="C175" s="42"/>
      <c r="D175" s="14"/>
      <c r="E175" s="54"/>
      <c r="F175" s="54"/>
      <c r="G175" s="42"/>
      <c r="H175" s="42"/>
      <c r="I175" s="116"/>
      <c r="J175" s="54"/>
      <c r="K175" t="str">
        <f t="shared" ca="1" si="3"/>
        <v/>
      </c>
    </row>
    <row r="176" spans="1:11">
      <c r="A176" s="23"/>
      <c r="B176" s="42"/>
      <c r="C176" s="42"/>
      <c r="D176" s="14"/>
      <c r="E176" s="54"/>
      <c r="F176" s="54"/>
      <c r="G176" s="42"/>
      <c r="H176" s="42"/>
      <c r="I176" s="116"/>
      <c r="J176" s="54"/>
      <c r="K176" t="str">
        <f t="shared" ca="1" si="3"/>
        <v/>
      </c>
    </row>
    <row r="177" spans="1:10">
      <c r="A177" s="117"/>
      <c r="B177" s="42"/>
      <c r="C177" s="42"/>
      <c r="D177" s="14"/>
      <c r="E177" s="54"/>
      <c r="F177" s="54"/>
      <c r="G177" s="42"/>
      <c r="H177" s="115"/>
      <c r="I177" s="116"/>
      <c r="J177" s="54"/>
    </row>
    <row r="178" spans="1:10">
      <c r="A178" s="127"/>
      <c r="B178" s="118"/>
      <c r="C178" s="118"/>
      <c r="D178" s="18"/>
      <c r="E178" s="119"/>
      <c r="F178" s="119"/>
      <c r="G178" s="118"/>
      <c r="H178" s="120"/>
      <c r="I178" s="121"/>
      <c r="J178" s="119"/>
    </row>
    <row r="179" spans="1:10">
      <c r="A179" s="70"/>
      <c r="B179" s="42"/>
      <c r="C179" s="14"/>
      <c r="D179" s="14"/>
      <c r="E179" s="54"/>
      <c r="F179" s="42"/>
      <c r="G179" s="42"/>
      <c r="H179" s="115"/>
      <c r="I179" s="116"/>
      <c r="J179" s="54"/>
    </row>
    <row r="180" spans="1:10">
      <c r="A180" s="70"/>
      <c r="B180" s="42"/>
      <c r="C180" s="14"/>
      <c r="D180" s="14"/>
      <c r="E180" s="54"/>
      <c r="F180" s="54"/>
      <c r="G180" s="42"/>
      <c r="H180" s="115"/>
      <c r="I180" s="116"/>
      <c r="J180" s="54"/>
    </row>
    <row r="181" spans="1:10">
      <c r="A181" s="70"/>
      <c r="B181" s="118"/>
      <c r="C181" s="42"/>
      <c r="D181" s="14"/>
      <c r="E181" s="54"/>
      <c r="F181" s="54"/>
      <c r="G181" s="42"/>
      <c r="H181" s="115"/>
      <c r="I181" s="116"/>
      <c r="J181" s="54"/>
    </row>
    <row r="182" spans="1:10">
      <c r="A182" s="117"/>
      <c r="B182" s="118"/>
      <c r="C182" s="118"/>
      <c r="D182" s="18"/>
      <c r="E182" s="119"/>
      <c r="F182" s="119"/>
      <c r="G182" s="42"/>
      <c r="H182" s="115"/>
      <c r="I182" s="121"/>
      <c r="J182" s="119"/>
    </row>
    <row r="183" spans="1:10">
      <c r="A183" s="70"/>
      <c r="B183" s="42"/>
      <c r="C183" s="42"/>
      <c r="D183" s="14"/>
      <c r="E183" s="54"/>
      <c r="F183" s="54"/>
      <c r="G183" s="42"/>
      <c r="H183" s="115"/>
      <c r="I183" s="116"/>
      <c r="J183" s="54"/>
    </row>
    <row r="184" spans="1:10">
      <c r="A184" s="128"/>
      <c r="B184" s="42"/>
      <c r="C184" s="14"/>
      <c r="D184" s="14"/>
      <c r="E184" s="54"/>
      <c r="F184" s="54"/>
      <c r="G184" s="42"/>
      <c r="H184" s="115"/>
      <c r="I184" s="116"/>
      <c r="J184" s="54"/>
    </row>
    <row r="185" spans="1:10">
      <c r="A185" s="61"/>
      <c r="B185" s="42"/>
      <c r="C185" s="14"/>
      <c r="D185" s="14"/>
      <c r="E185" s="54"/>
      <c r="F185" s="54"/>
      <c r="G185" s="42"/>
      <c r="H185" s="115"/>
      <c r="I185" s="116"/>
      <c r="J185" s="54"/>
    </row>
    <row r="186" spans="1:10">
      <c r="A186" s="70"/>
      <c r="B186" s="42"/>
      <c r="C186" s="42"/>
      <c r="D186" s="14"/>
      <c r="E186" s="54"/>
      <c r="F186" s="54"/>
      <c r="G186" s="42"/>
      <c r="H186" s="115"/>
      <c r="I186" s="116"/>
      <c r="J186" s="54"/>
    </row>
    <row r="187" spans="1:10">
      <c r="A187" s="128"/>
      <c r="B187" s="14"/>
      <c r="C187" s="14"/>
      <c r="D187" s="14"/>
      <c r="E187" s="54"/>
      <c r="F187" s="54"/>
      <c r="G187" s="54"/>
      <c r="H187" s="54"/>
      <c r="I187" s="116"/>
      <c r="J187" s="54"/>
    </row>
    <row r="188" spans="1:10">
      <c r="A188" s="17"/>
      <c r="B188" s="42"/>
      <c r="C188" s="2"/>
      <c r="D188" s="130"/>
      <c r="E188" s="131"/>
      <c r="F188" s="54"/>
      <c r="G188" s="42"/>
      <c r="H188" s="115"/>
      <c r="I188" s="116"/>
      <c r="J188" s="54"/>
    </row>
    <row r="189" spans="1:10">
      <c r="A189" s="128"/>
      <c r="B189" s="42"/>
      <c r="C189" s="14"/>
      <c r="D189" s="14"/>
      <c r="E189" s="54"/>
      <c r="F189" s="54"/>
      <c r="G189" s="42"/>
      <c r="H189" s="115"/>
      <c r="I189" s="116"/>
      <c r="J189" s="54"/>
    </row>
    <row r="190" spans="1:10">
      <c r="A190" s="61"/>
      <c r="B190" s="125"/>
      <c r="C190" s="42"/>
      <c r="D190" s="14"/>
      <c r="E190" s="54"/>
      <c r="F190" s="54"/>
      <c r="G190" s="42"/>
      <c r="H190" s="115"/>
      <c r="I190" s="116"/>
      <c r="J190" s="54"/>
    </row>
    <row r="191" spans="1:10">
      <c r="A191" s="128"/>
      <c r="B191" s="42"/>
      <c r="C191" s="42"/>
      <c r="D191" s="14"/>
      <c r="E191" s="42"/>
      <c r="F191" s="42"/>
      <c r="G191" s="42"/>
      <c r="H191" s="115"/>
      <c r="I191" s="116"/>
      <c r="J191" s="54"/>
    </row>
    <row r="192" spans="1:10">
      <c r="A192" s="70"/>
      <c r="B192" s="42"/>
      <c r="C192" s="42"/>
      <c r="D192" s="14"/>
      <c r="E192" s="54"/>
      <c r="F192" s="54"/>
      <c r="G192" s="42"/>
      <c r="H192" s="115"/>
      <c r="I192" s="116"/>
      <c r="J192" s="54"/>
    </row>
    <row r="193" spans="1:10">
      <c r="A193" s="23"/>
      <c r="B193" s="42"/>
      <c r="C193" s="14"/>
      <c r="D193" s="14"/>
      <c r="E193" s="54"/>
      <c r="F193" s="54"/>
      <c r="G193" s="42"/>
      <c r="H193" s="115"/>
      <c r="I193" s="116"/>
      <c r="J193" s="54"/>
    </row>
    <row r="194" spans="1:10">
      <c r="A194" s="128"/>
      <c r="B194" s="42"/>
      <c r="C194" s="42"/>
      <c r="D194" s="14"/>
      <c r="E194" s="42"/>
      <c r="F194" s="42"/>
      <c r="G194" s="42"/>
      <c r="H194" s="115"/>
      <c r="I194" s="116"/>
      <c r="J194" s="54"/>
    </row>
    <row r="195" spans="1:10">
      <c r="A195" s="124"/>
      <c r="B195" s="42"/>
      <c r="C195" s="42"/>
      <c r="D195" s="14"/>
      <c r="E195" s="54"/>
      <c r="F195" s="54"/>
      <c r="G195" s="42"/>
      <c r="H195" s="115"/>
      <c r="I195" s="116"/>
      <c r="J195" s="54"/>
    </row>
    <row r="196" spans="1:10">
      <c r="A196" s="128"/>
      <c r="B196" s="42"/>
      <c r="C196" s="42"/>
      <c r="D196" s="14"/>
      <c r="E196" s="54"/>
      <c r="F196" s="54"/>
      <c r="G196" s="42"/>
      <c r="H196" s="115"/>
      <c r="I196" s="116"/>
      <c r="J196" s="54"/>
    </row>
    <row r="197" spans="1:10">
      <c r="A197" s="124"/>
      <c r="B197" s="42"/>
      <c r="C197" s="42"/>
      <c r="D197" s="14"/>
      <c r="E197" s="54"/>
      <c r="F197" s="54"/>
      <c r="G197" s="42"/>
      <c r="H197" s="115"/>
      <c r="I197" s="116"/>
      <c r="J197" s="54"/>
    </row>
    <row r="198" spans="1:10">
      <c r="A198" s="128"/>
      <c r="B198" s="14"/>
      <c r="C198" s="14"/>
      <c r="D198" s="14"/>
      <c r="E198" s="54"/>
      <c r="F198" s="54"/>
      <c r="G198" s="42"/>
      <c r="H198" s="115"/>
      <c r="I198" s="116"/>
      <c r="J198" s="54"/>
    </row>
    <row r="199" spans="1:10">
      <c r="A199" s="128"/>
      <c r="B199" s="42"/>
      <c r="C199" s="42"/>
      <c r="D199" s="14"/>
      <c r="E199" s="42"/>
      <c r="F199" s="42"/>
      <c r="G199" s="42"/>
      <c r="H199" s="115"/>
      <c r="I199" s="116"/>
      <c r="J199" s="54"/>
    </row>
    <row r="200" spans="1:10">
      <c r="A200" s="114"/>
      <c r="B200" s="132"/>
      <c r="C200" s="14"/>
      <c r="D200" s="14"/>
      <c r="E200" s="54"/>
      <c r="F200" s="54"/>
      <c r="G200" s="42"/>
      <c r="H200" s="115"/>
      <c r="I200" s="133"/>
      <c r="J200" s="54"/>
    </row>
    <row r="201" spans="1:10">
      <c r="A201" s="114"/>
      <c r="B201" s="126"/>
      <c r="C201" s="42"/>
      <c r="D201" s="14"/>
      <c r="E201" s="42"/>
      <c r="F201" s="42"/>
      <c r="G201" s="42"/>
      <c r="H201" s="115"/>
      <c r="I201" s="133"/>
      <c r="J201" s="54"/>
    </row>
    <row r="202" spans="1:10" ht="15.75">
      <c r="A202" s="57"/>
      <c r="B202" s="42"/>
      <c r="C202" s="42"/>
      <c r="D202" s="14"/>
      <c r="E202" s="54"/>
      <c r="F202" s="54"/>
      <c r="G202" s="42"/>
      <c r="H202" s="115"/>
      <c r="I202" s="116"/>
      <c r="J202" s="54"/>
    </row>
    <row r="203" spans="1:10">
      <c r="A203" s="114"/>
      <c r="B203" s="118"/>
      <c r="C203" s="42"/>
      <c r="D203" s="14"/>
      <c r="E203" s="54"/>
      <c r="F203" s="54"/>
      <c r="G203" s="42"/>
      <c r="H203" s="115"/>
      <c r="I203" s="116"/>
      <c r="J203" s="54"/>
    </row>
    <row r="204" spans="1:10">
      <c r="A204" s="100"/>
      <c r="B204" s="42"/>
      <c r="C204" s="42"/>
      <c r="D204" s="14"/>
      <c r="E204" s="54"/>
      <c r="F204" s="54"/>
      <c r="G204" s="42"/>
      <c r="H204" s="115"/>
      <c r="I204" s="116"/>
      <c r="J204" s="54"/>
    </row>
    <row r="205" spans="1:10">
      <c r="A205" s="114"/>
      <c r="B205" s="42"/>
      <c r="C205" s="42"/>
      <c r="D205" s="14"/>
      <c r="E205" s="54"/>
      <c r="F205" s="54"/>
      <c r="G205" s="42"/>
      <c r="H205" s="42"/>
      <c r="I205" s="116"/>
      <c r="J205" s="54"/>
    </row>
    <row r="206" spans="1:10">
      <c r="A206" s="114"/>
      <c r="B206" s="42"/>
      <c r="C206" s="42"/>
      <c r="D206" s="14"/>
      <c r="E206" s="54"/>
      <c r="F206" s="54"/>
      <c r="G206" s="42"/>
      <c r="H206" s="42"/>
      <c r="I206" s="116"/>
      <c r="J206" s="54"/>
    </row>
    <row r="207" spans="1:10">
      <c r="A207" s="114"/>
      <c r="B207" s="42"/>
      <c r="C207" s="42"/>
      <c r="D207" s="14"/>
      <c r="E207" s="42"/>
      <c r="F207" s="42"/>
      <c r="G207" s="42"/>
      <c r="H207" s="42"/>
      <c r="I207" s="116"/>
      <c r="J207" s="54"/>
    </row>
    <row r="208" spans="1:10">
      <c r="A208" s="114"/>
      <c r="B208" s="42"/>
      <c r="C208" s="42"/>
      <c r="D208" s="14"/>
      <c r="E208" s="42"/>
      <c r="F208" s="42"/>
      <c r="G208" s="42"/>
      <c r="H208" s="42"/>
      <c r="I208" s="116"/>
      <c r="J208" s="54"/>
    </row>
    <row r="209" spans="1:10">
      <c r="A209" s="114"/>
      <c r="B209" s="42"/>
      <c r="C209" s="42"/>
      <c r="D209" s="14"/>
      <c r="E209" s="54"/>
      <c r="F209" s="54"/>
      <c r="G209" s="42"/>
      <c r="H209" s="42"/>
      <c r="I209" s="116"/>
      <c r="J209" s="54"/>
    </row>
    <row r="210" spans="1:10">
      <c r="A210" s="114"/>
      <c r="B210" s="42"/>
      <c r="C210" s="42"/>
      <c r="D210" s="14"/>
      <c r="E210" s="42"/>
      <c r="F210" s="42"/>
      <c r="G210" s="42"/>
      <c r="H210" s="42"/>
      <c r="I210" s="116"/>
      <c r="J210" s="54"/>
    </row>
    <row r="211" spans="1:10">
      <c r="A211" s="114"/>
      <c r="B211" s="42"/>
      <c r="C211" s="42"/>
      <c r="D211" s="14"/>
      <c r="E211" s="42"/>
      <c r="F211" s="42"/>
      <c r="G211" s="42"/>
      <c r="H211" s="42"/>
      <c r="I211" s="116"/>
      <c r="J211" s="54"/>
    </row>
    <row r="212" spans="1:10">
      <c r="A212" s="114"/>
      <c r="B212" s="42"/>
      <c r="C212" s="42"/>
      <c r="D212" s="14"/>
      <c r="E212" s="54"/>
      <c r="F212" s="54"/>
      <c r="G212" s="42"/>
      <c r="H212" s="42"/>
      <c r="I212" s="116"/>
      <c r="J212" s="54"/>
    </row>
    <row r="213" spans="1:10">
      <c r="A213" s="114"/>
      <c r="B213" s="42"/>
      <c r="C213" s="42"/>
      <c r="D213" s="14"/>
      <c r="E213" s="54"/>
      <c r="F213" s="54"/>
      <c r="G213" s="42"/>
      <c r="H213" s="42"/>
      <c r="I213" s="116"/>
      <c r="J213" s="54"/>
    </row>
    <row r="214" spans="1:10">
      <c r="A214" s="114"/>
      <c r="B214" s="42"/>
      <c r="C214" s="42"/>
      <c r="D214" s="14"/>
      <c r="E214" s="54"/>
      <c r="F214" s="54"/>
      <c r="G214" s="42"/>
      <c r="H214" s="42"/>
      <c r="I214" s="116"/>
      <c r="J214" s="54"/>
    </row>
    <row r="215" spans="1:10">
      <c r="A215" s="114"/>
      <c r="B215" s="42"/>
      <c r="C215" s="42"/>
      <c r="D215" s="14"/>
      <c r="E215" s="54"/>
      <c r="F215" s="54"/>
      <c r="G215" s="42"/>
      <c r="H215" s="42"/>
      <c r="I215" s="116"/>
      <c r="J215" s="54"/>
    </row>
    <row r="216" spans="1:10">
      <c r="A216" s="114"/>
      <c r="B216" s="42"/>
      <c r="C216" s="42"/>
      <c r="D216" s="14"/>
      <c r="E216" s="54"/>
      <c r="F216" s="54"/>
      <c r="G216" s="42"/>
      <c r="H216" s="42"/>
      <c r="I216" s="116"/>
      <c r="J216" s="54"/>
    </row>
    <row r="217" spans="1:10">
      <c r="A217" s="114"/>
      <c r="B217" s="42"/>
      <c r="C217" s="42"/>
      <c r="D217" s="14"/>
      <c r="E217" s="54"/>
      <c r="F217" s="54"/>
      <c r="G217" s="42"/>
      <c r="H217" s="42"/>
      <c r="I217" s="116"/>
      <c r="J217" s="54"/>
    </row>
    <row r="218" spans="1:10">
      <c r="A218" s="100"/>
      <c r="B218" s="42"/>
      <c r="C218" s="42"/>
      <c r="D218" s="14"/>
      <c r="E218" s="54"/>
      <c r="F218" s="54"/>
      <c r="G218" s="134"/>
      <c r="H218" s="134"/>
      <c r="I218" s="116"/>
      <c r="J218" s="5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252AB-BE9A-42A4-B0E7-7B2B31FCE471}">
  <sheetPr codeName="Sheet13"/>
  <dimension ref="A1:J20"/>
  <sheetViews>
    <sheetView topLeftCell="A2" workbookViewId="0"/>
  </sheetViews>
  <sheetFormatPr defaultRowHeight="15"/>
  <cols>
    <col min="1" max="1" width="19.28515625" customWidth="1"/>
    <col min="2" max="2" width="20" customWidth="1"/>
    <col min="3" max="3" width="16.7109375" bestFit="1" customWidth="1"/>
    <col min="7" max="7" width="18.7109375" customWidth="1"/>
    <col min="8" max="8" width="18.5703125" customWidth="1"/>
    <col min="9" max="9" width="16.42578125" customWidth="1"/>
  </cols>
  <sheetData>
    <row r="1" spans="1:10">
      <c r="A1" s="141" t="s">
        <v>5906</v>
      </c>
      <c r="B1" s="141" t="s">
        <v>56</v>
      </c>
      <c r="C1" s="141" t="s">
        <v>5907</v>
      </c>
      <c r="D1" s="141" t="s">
        <v>5908</v>
      </c>
      <c r="E1" s="141" t="s">
        <v>5909</v>
      </c>
      <c r="F1" s="141" t="s">
        <v>5910</v>
      </c>
      <c r="G1" s="141" t="s">
        <v>5911</v>
      </c>
      <c r="H1" s="141" t="s">
        <v>5911</v>
      </c>
      <c r="I1" s="141" t="s">
        <v>5912</v>
      </c>
      <c r="J1" s="141" t="s">
        <v>5913</v>
      </c>
    </row>
    <row r="2" spans="1:10">
      <c r="A2" s="117" t="s">
        <v>140</v>
      </c>
      <c r="B2" s="42" t="s">
        <v>27</v>
      </c>
      <c r="C2" s="42" t="s">
        <v>27</v>
      </c>
      <c r="D2" s="42" t="s">
        <v>56</v>
      </c>
      <c r="E2" s="42" t="s">
        <v>5649</v>
      </c>
      <c r="F2" s="42" t="s">
        <v>5416</v>
      </c>
      <c r="G2" s="42" t="s">
        <v>6262</v>
      </c>
      <c r="H2" s="115" t="s">
        <v>6262</v>
      </c>
      <c r="I2" s="116">
        <v>44819</v>
      </c>
      <c r="J2" s="42" t="s">
        <v>5918</v>
      </c>
    </row>
    <row r="3" spans="1:10">
      <c r="A3" s="117" t="s">
        <v>5832</v>
      </c>
      <c r="B3" s="118" t="s">
        <v>232</v>
      </c>
      <c r="C3" s="42" t="s">
        <v>5418</v>
      </c>
      <c r="D3" s="14" t="s">
        <v>56</v>
      </c>
      <c r="E3" s="42" t="s">
        <v>5621</v>
      </c>
      <c r="F3" s="42" t="s">
        <v>5417</v>
      </c>
      <c r="G3" s="42" t="s">
        <v>6263</v>
      </c>
      <c r="H3" s="115" t="s">
        <v>6263</v>
      </c>
      <c r="I3" s="116">
        <v>45418</v>
      </c>
      <c r="J3" s="14" t="s">
        <v>5918</v>
      </c>
    </row>
    <row r="4" spans="1:10">
      <c r="A4" s="117" t="s">
        <v>5472</v>
      </c>
      <c r="B4" s="118" t="s">
        <v>5472</v>
      </c>
      <c r="C4" s="42" t="s">
        <v>5430</v>
      </c>
      <c r="D4" s="14" t="s">
        <v>5442</v>
      </c>
      <c r="E4" s="54" t="s">
        <v>5649</v>
      </c>
      <c r="F4" s="42" t="s">
        <v>5430</v>
      </c>
      <c r="G4" s="42" t="s">
        <v>6264</v>
      </c>
      <c r="H4" s="115" t="s">
        <v>6264</v>
      </c>
      <c r="I4" s="116">
        <v>45530</v>
      </c>
      <c r="J4" s="42" t="s">
        <v>5918</v>
      </c>
    </row>
    <row r="5" spans="1:10" ht="15.75">
      <c r="A5" s="117" t="s">
        <v>2380</v>
      </c>
      <c r="B5" s="70" t="s">
        <v>4881</v>
      </c>
      <c r="C5" s="42" t="s">
        <v>5418</v>
      </c>
      <c r="D5" s="42" t="s">
        <v>56</v>
      </c>
      <c r="E5" s="143" t="s">
        <v>5621</v>
      </c>
      <c r="F5" s="42" t="s">
        <v>5417</v>
      </c>
      <c r="G5" s="42" t="s">
        <v>6265</v>
      </c>
      <c r="H5" s="115" t="s">
        <v>6265</v>
      </c>
      <c r="I5" s="116">
        <v>44704</v>
      </c>
      <c r="J5" s="14" t="s">
        <v>5918</v>
      </c>
    </row>
    <row r="6" spans="1:10">
      <c r="A6" s="117" t="s">
        <v>683</v>
      </c>
      <c r="B6" s="42" t="s">
        <v>33</v>
      </c>
      <c r="C6" s="42" t="s">
        <v>5771</v>
      </c>
      <c r="D6" s="14" t="s">
        <v>56</v>
      </c>
      <c r="E6" s="14" t="s">
        <v>5621</v>
      </c>
      <c r="F6" s="14" t="s">
        <v>5420</v>
      </c>
      <c r="G6" s="42" t="s">
        <v>6266</v>
      </c>
      <c r="H6" s="115" t="s">
        <v>6266</v>
      </c>
      <c r="I6" s="116">
        <v>45343</v>
      </c>
      <c r="J6" s="14" t="s">
        <v>5918</v>
      </c>
    </row>
    <row r="7" spans="1:10">
      <c r="A7" s="117" t="s">
        <v>5454</v>
      </c>
      <c r="B7" s="42" t="s">
        <v>28</v>
      </c>
      <c r="C7" s="42" t="s">
        <v>5780</v>
      </c>
      <c r="D7" s="14" t="s">
        <v>5442</v>
      </c>
      <c r="E7" s="42" t="s">
        <v>5621</v>
      </c>
      <c r="F7" s="54" t="s">
        <v>5420</v>
      </c>
      <c r="G7" s="42" t="s">
        <v>6267</v>
      </c>
      <c r="H7" s="115" t="s">
        <v>6267</v>
      </c>
      <c r="I7" s="116">
        <v>45446</v>
      </c>
      <c r="J7" s="42" t="s">
        <v>5918</v>
      </c>
    </row>
    <row r="8" spans="1:10">
      <c r="A8" s="117" t="s">
        <v>5479</v>
      </c>
      <c r="B8" s="144" t="s">
        <v>5437</v>
      </c>
      <c r="C8" s="144" t="s">
        <v>6268</v>
      </c>
      <c r="D8" s="145" t="s">
        <v>56</v>
      </c>
      <c r="E8" s="144" t="s">
        <v>5621</v>
      </c>
      <c r="F8" s="144" t="s">
        <v>5437</v>
      </c>
      <c r="G8" s="42" t="s">
        <v>6269</v>
      </c>
      <c r="H8" s="115" t="s">
        <v>6269</v>
      </c>
      <c r="I8" s="146">
        <v>45320</v>
      </c>
      <c r="J8" s="144" t="s">
        <v>5918</v>
      </c>
    </row>
    <row r="9" spans="1:10">
      <c r="A9" s="117" t="s">
        <v>1983</v>
      </c>
      <c r="B9" s="42" t="s">
        <v>1983</v>
      </c>
      <c r="C9" s="14" t="s">
        <v>44</v>
      </c>
      <c r="D9" s="42" t="s">
        <v>56</v>
      </c>
      <c r="E9" s="42" t="s">
        <v>5621</v>
      </c>
      <c r="F9" s="42" t="s">
        <v>5425</v>
      </c>
      <c r="G9" s="42" t="s">
        <v>6270</v>
      </c>
      <c r="H9" s="115" t="s">
        <v>6270</v>
      </c>
      <c r="I9" s="116">
        <v>45112</v>
      </c>
      <c r="J9" s="42" t="s">
        <v>5918</v>
      </c>
    </row>
    <row r="10" spans="1:10">
      <c r="A10" s="117" t="s">
        <v>1447</v>
      </c>
      <c r="B10" s="42" t="s">
        <v>45</v>
      </c>
      <c r="C10" s="14" t="s">
        <v>44</v>
      </c>
      <c r="D10" s="42" t="s">
        <v>56</v>
      </c>
      <c r="E10" s="42" t="s">
        <v>5621</v>
      </c>
      <c r="F10" s="42" t="s">
        <v>5425</v>
      </c>
      <c r="G10" s="42" t="s">
        <v>6271</v>
      </c>
      <c r="H10" s="115" t="s">
        <v>6271</v>
      </c>
      <c r="I10" s="116">
        <v>43236</v>
      </c>
      <c r="J10" s="42" t="s">
        <v>5918</v>
      </c>
    </row>
    <row r="11" spans="1:10">
      <c r="A11" s="117" t="s">
        <v>28</v>
      </c>
      <c r="B11" s="42" t="s">
        <v>28</v>
      </c>
      <c r="C11" s="42" t="s">
        <v>5780</v>
      </c>
      <c r="D11" s="42" t="s">
        <v>56</v>
      </c>
      <c r="E11" s="42" t="s">
        <v>5621</v>
      </c>
      <c r="F11" s="42" t="s">
        <v>5420</v>
      </c>
      <c r="G11" s="42" t="s">
        <v>6272</v>
      </c>
      <c r="H11" s="115" t="s">
        <v>6272</v>
      </c>
      <c r="I11" s="116">
        <v>44466</v>
      </c>
      <c r="J11" s="42" t="s">
        <v>5918</v>
      </c>
    </row>
    <row r="12" spans="1:10">
      <c r="A12" s="70" t="s">
        <v>5473</v>
      </c>
      <c r="B12" s="42" t="s">
        <v>5430</v>
      </c>
      <c r="C12" s="42" t="s">
        <v>5430</v>
      </c>
      <c r="D12" s="14" t="s">
        <v>56</v>
      </c>
      <c r="E12" s="42" t="s">
        <v>5621</v>
      </c>
      <c r="F12" s="42" t="s">
        <v>5430</v>
      </c>
      <c r="G12" s="42" t="s">
        <v>6273</v>
      </c>
      <c r="H12" s="115" t="s">
        <v>6273</v>
      </c>
      <c r="I12" s="116">
        <v>45636</v>
      </c>
      <c r="J12" s="42" t="s">
        <v>5918</v>
      </c>
    </row>
    <row r="13" spans="1:10">
      <c r="A13" s="117" t="s">
        <v>159</v>
      </c>
      <c r="B13" s="42" t="s">
        <v>160</v>
      </c>
      <c r="C13" s="42" t="s">
        <v>27</v>
      </c>
      <c r="D13" s="42" t="s">
        <v>56</v>
      </c>
      <c r="E13" s="42" t="s">
        <v>5649</v>
      </c>
      <c r="F13" s="42" t="s">
        <v>5416</v>
      </c>
      <c r="G13" s="42" t="s">
        <v>6274</v>
      </c>
      <c r="H13" s="115" t="s">
        <v>6274</v>
      </c>
      <c r="I13" s="116">
        <v>44930</v>
      </c>
      <c r="J13" s="42" t="s">
        <v>5918</v>
      </c>
    </row>
    <row r="14" spans="1:10">
      <c r="A14" s="117" t="s">
        <v>194</v>
      </c>
      <c r="B14" s="42" t="s">
        <v>160</v>
      </c>
      <c r="C14" s="42" t="s">
        <v>27</v>
      </c>
      <c r="D14" s="42" t="s">
        <v>56</v>
      </c>
      <c r="E14" s="42" t="s">
        <v>5649</v>
      </c>
      <c r="F14" s="42" t="s">
        <v>5416</v>
      </c>
      <c r="G14" s="42" t="s">
        <v>6275</v>
      </c>
      <c r="H14" s="115" t="s">
        <v>6275</v>
      </c>
      <c r="I14" s="116">
        <v>44298</v>
      </c>
      <c r="J14" s="42" t="s">
        <v>5918</v>
      </c>
    </row>
    <row r="15" spans="1:10">
      <c r="A15" s="61" t="s">
        <v>118</v>
      </c>
      <c r="B15" s="42" t="s">
        <v>32</v>
      </c>
      <c r="C15" s="42" t="s">
        <v>27</v>
      </c>
      <c r="D15" s="42" t="s">
        <v>56</v>
      </c>
      <c r="E15" s="42" t="s">
        <v>5621</v>
      </c>
      <c r="F15" s="42" t="s">
        <v>5414</v>
      </c>
      <c r="G15" s="42" t="s">
        <v>6276</v>
      </c>
      <c r="H15" s="115" t="s">
        <v>6276</v>
      </c>
      <c r="I15" s="116">
        <v>44530</v>
      </c>
      <c r="J15" s="42" t="s">
        <v>5918</v>
      </c>
    </row>
    <row r="16" spans="1:10">
      <c r="A16" t="s">
        <v>5498</v>
      </c>
      <c r="B16" s="42" t="s">
        <v>1030</v>
      </c>
      <c r="C16" s="42" t="s">
        <v>5418</v>
      </c>
      <c r="D16" s="42" t="s">
        <v>56</v>
      </c>
      <c r="E16" s="42" t="s">
        <v>5993</v>
      </c>
      <c r="F16" s="42" t="s">
        <v>5994</v>
      </c>
      <c r="G16" s="42" t="s">
        <v>6277</v>
      </c>
      <c r="H16" s="115" t="s">
        <v>6277</v>
      </c>
      <c r="I16" s="116">
        <v>44277</v>
      </c>
      <c r="J16" s="42" t="s">
        <v>5918</v>
      </c>
    </row>
    <row r="17" spans="1:10">
      <c r="A17" s="61" t="s">
        <v>6278</v>
      </c>
      <c r="B17" s="126" t="s">
        <v>1030</v>
      </c>
      <c r="C17" s="126" t="s">
        <v>5418</v>
      </c>
      <c r="D17" s="14" t="s">
        <v>56</v>
      </c>
      <c r="E17" s="54" t="s">
        <v>5621</v>
      </c>
      <c r="F17" s="54" t="s">
        <v>5417</v>
      </c>
      <c r="G17" s="42" t="s">
        <v>6279</v>
      </c>
      <c r="H17" s="115" t="s">
        <v>6279</v>
      </c>
      <c r="I17" s="116">
        <v>45673</v>
      </c>
      <c r="J17" s="42" t="s">
        <v>5918</v>
      </c>
    </row>
    <row r="18" spans="1:10">
      <c r="A18" s="124" t="s">
        <v>5490</v>
      </c>
      <c r="B18" s="70" t="s">
        <v>1030</v>
      </c>
      <c r="C18" s="42" t="s">
        <v>5418</v>
      </c>
      <c r="D18" s="14" t="s">
        <v>56</v>
      </c>
      <c r="E18" s="54" t="s">
        <v>5621</v>
      </c>
      <c r="F18" s="54" t="s">
        <v>5417</v>
      </c>
      <c r="G18" s="42" t="s">
        <v>6280</v>
      </c>
      <c r="H18" s="115" t="s">
        <v>6280</v>
      </c>
      <c r="I18" s="116">
        <v>45691</v>
      </c>
      <c r="J18" s="54" t="s">
        <v>5918</v>
      </c>
    </row>
    <row r="19" spans="1:10">
      <c r="A19" s="128" t="s">
        <v>6076</v>
      </c>
      <c r="B19" s="42" t="s">
        <v>27</v>
      </c>
      <c r="C19" s="42" t="s">
        <v>27</v>
      </c>
      <c r="D19" s="14" t="s">
        <v>56</v>
      </c>
      <c r="E19" s="42" t="s">
        <v>5649</v>
      </c>
      <c r="F19" s="42" t="s">
        <v>5416</v>
      </c>
      <c r="G19" s="42" t="s">
        <v>6281</v>
      </c>
      <c r="H19" s="115" t="s">
        <v>6281</v>
      </c>
      <c r="I19" s="116">
        <v>45854</v>
      </c>
      <c r="J19" s="54" t="s">
        <v>5918</v>
      </c>
    </row>
    <row r="20" spans="1:10">
      <c r="A20" s="23" t="s">
        <v>6067</v>
      </c>
      <c r="B20" s="42" t="s">
        <v>5437</v>
      </c>
      <c r="C20" s="42" t="s">
        <v>5421</v>
      </c>
      <c r="D20" s="14" t="s">
        <v>56</v>
      </c>
      <c r="E20" s="54" t="s">
        <v>5621</v>
      </c>
      <c r="F20" s="54" t="s">
        <v>5420</v>
      </c>
      <c r="G20" s="42" t="s">
        <v>6282</v>
      </c>
      <c r="H20" s="115" t="s">
        <v>6282</v>
      </c>
      <c r="I20" s="116">
        <v>45946</v>
      </c>
      <c r="J20" s="54" t="s">
        <v>5918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6D56E-C75D-49DD-A362-D5B8547D671C}">
  <sheetPr codeName="Sheet14"/>
  <dimension ref="A1:AG269"/>
  <sheetViews>
    <sheetView workbookViewId="0">
      <selection activeCell="B8" sqref="B8"/>
    </sheetView>
  </sheetViews>
  <sheetFormatPr defaultRowHeight="15"/>
  <cols>
    <col min="1" max="1" width="24.7109375" bestFit="1" customWidth="1"/>
    <col min="2" max="2" width="15.28515625" bestFit="1" customWidth="1"/>
    <col min="3" max="3" width="16.5703125" bestFit="1" customWidth="1"/>
    <col min="4" max="4" width="5.140625" bestFit="1" customWidth="1"/>
    <col min="5" max="5" width="9.28515625" bestFit="1" customWidth="1"/>
    <col min="6" max="6" width="13.140625" bestFit="1" customWidth="1"/>
    <col min="7" max="8" width="10.42578125" bestFit="1" customWidth="1"/>
    <col min="9" max="9" width="10.7109375" bestFit="1" customWidth="1"/>
    <col min="10" max="10" width="14.5703125" bestFit="1" customWidth="1"/>
    <col min="22" max="22" width="22.7109375" bestFit="1" customWidth="1"/>
    <col min="23" max="23" width="15.42578125" customWidth="1"/>
    <col min="32" max="32" width="22.7109375" bestFit="1" customWidth="1"/>
    <col min="33" max="33" width="25.28515625" bestFit="1" customWidth="1"/>
  </cols>
  <sheetData>
    <row r="1" spans="1:33">
      <c r="A1" s="141" t="s">
        <v>5906</v>
      </c>
      <c r="B1" s="141" t="s">
        <v>56</v>
      </c>
      <c r="C1" s="141" t="s">
        <v>5907</v>
      </c>
      <c r="D1" s="141" t="s">
        <v>5908</v>
      </c>
      <c r="E1" s="141" t="s">
        <v>5909</v>
      </c>
      <c r="F1" s="141" t="s">
        <v>5910</v>
      </c>
      <c r="G1" s="141" t="s">
        <v>5911</v>
      </c>
      <c r="H1" s="141" t="s">
        <v>5911</v>
      </c>
      <c r="I1" s="141" t="s">
        <v>5912</v>
      </c>
      <c r="J1" s="141" t="s">
        <v>5913</v>
      </c>
      <c r="V1" s="6" t="s">
        <v>5765</v>
      </c>
      <c r="W1" s="6" t="s">
        <v>5438</v>
      </c>
    </row>
    <row r="2" spans="1:33">
      <c r="A2" s="117" t="s">
        <v>25</v>
      </c>
      <c r="B2" s="42" t="s">
        <v>25</v>
      </c>
      <c r="C2" s="42" t="s">
        <v>5780</v>
      </c>
      <c r="D2" s="42" t="s">
        <v>21</v>
      </c>
      <c r="E2" s="42" t="s">
        <v>5621</v>
      </c>
      <c r="F2" s="42" t="s">
        <v>5420</v>
      </c>
      <c r="G2" s="42" t="s">
        <v>6283</v>
      </c>
      <c r="H2" s="115" t="s">
        <v>6283</v>
      </c>
      <c r="I2" s="116">
        <v>44935</v>
      </c>
      <c r="J2" s="42" t="s">
        <v>5918</v>
      </c>
      <c r="V2" s="2" t="s">
        <v>5771</v>
      </c>
      <c r="W2" s="2" t="s">
        <v>5771</v>
      </c>
    </row>
    <row r="3" spans="1:33">
      <c r="A3" s="117" t="s">
        <v>160</v>
      </c>
      <c r="B3" s="42" t="s">
        <v>27</v>
      </c>
      <c r="C3" s="42" t="s">
        <v>27</v>
      </c>
      <c r="D3" s="42" t="s">
        <v>21</v>
      </c>
      <c r="E3" s="42" t="s">
        <v>5649</v>
      </c>
      <c r="F3" s="42" t="s">
        <v>5416</v>
      </c>
      <c r="G3" s="42" t="s">
        <v>6284</v>
      </c>
      <c r="H3" s="115" t="s">
        <v>6284</v>
      </c>
      <c r="I3" s="116">
        <v>43248</v>
      </c>
      <c r="J3" s="42" t="s">
        <v>5918</v>
      </c>
      <c r="V3" s="2" t="s">
        <v>5771</v>
      </c>
      <c r="W3" s="2" t="s">
        <v>5771</v>
      </c>
    </row>
    <row r="4" spans="1:33">
      <c r="A4" s="117" t="s">
        <v>6285</v>
      </c>
      <c r="B4" s="42" t="s">
        <v>5430</v>
      </c>
      <c r="C4" s="42" t="s">
        <v>5430</v>
      </c>
      <c r="D4" s="14" t="s">
        <v>21</v>
      </c>
      <c r="E4" s="54" t="s">
        <v>5621</v>
      </c>
      <c r="F4" s="42" t="s">
        <v>5430</v>
      </c>
      <c r="G4" s="42" t="s">
        <v>6286</v>
      </c>
      <c r="H4" s="115" t="s">
        <v>6286</v>
      </c>
      <c r="I4" s="116">
        <v>45670</v>
      </c>
      <c r="J4" s="54" t="s">
        <v>5817</v>
      </c>
      <c r="V4" s="2" t="s">
        <v>5771</v>
      </c>
      <c r="W4" s="2" t="s">
        <v>232</v>
      </c>
    </row>
    <row r="5" spans="1:33">
      <c r="A5" s="117" t="s">
        <v>45</v>
      </c>
      <c r="B5" s="42" t="s">
        <v>45</v>
      </c>
      <c r="C5" s="14" t="s">
        <v>44</v>
      </c>
      <c r="D5" s="42" t="s">
        <v>21</v>
      </c>
      <c r="E5" s="42" t="s">
        <v>5621</v>
      </c>
      <c r="F5" s="42" t="s">
        <v>5425</v>
      </c>
      <c r="G5" s="42" t="s">
        <v>6287</v>
      </c>
      <c r="H5" s="115" t="s">
        <v>6287</v>
      </c>
      <c r="I5" s="116">
        <v>42914</v>
      </c>
      <c r="J5" s="42" t="s">
        <v>5918</v>
      </c>
      <c r="V5" s="136" t="s">
        <v>5771</v>
      </c>
      <c r="W5" s="23" t="s">
        <v>118</v>
      </c>
      <c r="AF5" s="60" t="s">
        <v>5765</v>
      </c>
      <c r="AG5" s="60" t="s">
        <v>5438</v>
      </c>
    </row>
    <row r="6" spans="1:33">
      <c r="A6" s="117" t="s">
        <v>5433</v>
      </c>
      <c r="B6" s="42" t="s">
        <v>5430</v>
      </c>
      <c r="C6" s="42" t="s">
        <v>5430</v>
      </c>
      <c r="D6" s="14" t="s">
        <v>21</v>
      </c>
      <c r="E6" s="54" t="s">
        <v>5621</v>
      </c>
      <c r="F6" s="54" t="s">
        <v>5430</v>
      </c>
      <c r="G6" s="42" t="s">
        <v>6288</v>
      </c>
      <c r="H6" s="115" t="s">
        <v>6288</v>
      </c>
      <c r="I6" s="116">
        <v>45672</v>
      </c>
      <c r="J6" s="54" t="s">
        <v>5918</v>
      </c>
      <c r="V6" s="2" t="s">
        <v>5778</v>
      </c>
      <c r="W6" s="2" t="s">
        <v>27</v>
      </c>
      <c r="AF6" t="s">
        <v>5714</v>
      </c>
      <c r="AG6" t="s">
        <v>5424</v>
      </c>
    </row>
    <row r="7" spans="1:33">
      <c r="A7" s="70" t="s">
        <v>5432</v>
      </c>
      <c r="B7" s="42" t="s">
        <v>5430</v>
      </c>
      <c r="C7" s="42" t="s">
        <v>5430</v>
      </c>
      <c r="D7" s="14" t="s">
        <v>21</v>
      </c>
      <c r="E7" s="54" t="s">
        <v>5621</v>
      </c>
      <c r="F7" s="54" t="s">
        <v>5430</v>
      </c>
      <c r="G7" s="42" t="s">
        <v>6289</v>
      </c>
      <c r="H7" s="115" t="s">
        <v>6289</v>
      </c>
      <c r="I7" s="116">
        <v>45733</v>
      </c>
      <c r="J7" s="54" t="s">
        <v>5918</v>
      </c>
      <c r="V7" s="2" t="s">
        <v>5771</v>
      </c>
      <c r="W7" s="113" t="s">
        <v>232</v>
      </c>
      <c r="AG7" t="s">
        <v>5434</v>
      </c>
    </row>
    <row r="8" spans="1:33">
      <c r="A8" s="117" t="s">
        <v>232</v>
      </c>
      <c r="B8" s="42" t="s">
        <v>5418</v>
      </c>
      <c r="C8" s="42" t="s">
        <v>5418</v>
      </c>
      <c r="D8" s="42" t="s">
        <v>21</v>
      </c>
      <c r="E8" s="42" t="s">
        <v>5621</v>
      </c>
      <c r="F8" s="42" t="s">
        <v>5417</v>
      </c>
      <c r="G8" s="42" t="s">
        <v>6290</v>
      </c>
      <c r="H8" s="115" t="s">
        <v>6290</v>
      </c>
      <c r="I8" s="116">
        <v>44857</v>
      </c>
      <c r="J8" s="42" t="s">
        <v>5918</v>
      </c>
      <c r="V8" s="2" t="s">
        <v>5771</v>
      </c>
      <c r="W8" s="113" t="s">
        <v>232</v>
      </c>
      <c r="AF8" t="s">
        <v>6291</v>
      </c>
    </row>
    <row r="9" spans="1:33">
      <c r="A9" s="117" t="s">
        <v>48</v>
      </c>
      <c r="B9" s="14" t="s">
        <v>44</v>
      </c>
      <c r="C9" s="14" t="s">
        <v>44</v>
      </c>
      <c r="D9" s="42" t="s">
        <v>21</v>
      </c>
      <c r="E9" s="42" t="s">
        <v>5621</v>
      </c>
      <c r="F9" s="42" t="s">
        <v>5425</v>
      </c>
      <c r="G9" s="42" t="s">
        <v>6292</v>
      </c>
      <c r="H9" s="115" t="s">
        <v>6292</v>
      </c>
      <c r="I9" s="116">
        <v>44515</v>
      </c>
      <c r="J9" s="42" t="s">
        <v>5918</v>
      </c>
      <c r="V9" s="2" t="s">
        <v>5778</v>
      </c>
      <c r="W9" s="2" t="s">
        <v>27</v>
      </c>
      <c r="AF9" t="s">
        <v>5780</v>
      </c>
      <c r="AG9" t="s">
        <v>5780</v>
      </c>
    </row>
    <row r="10" spans="1:33">
      <c r="A10" s="117" t="s">
        <v>5466</v>
      </c>
      <c r="B10" s="14" t="s">
        <v>44</v>
      </c>
      <c r="C10" s="14" t="s">
        <v>44</v>
      </c>
      <c r="D10" s="14" t="s">
        <v>21</v>
      </c>
      <c r="E10" s="54" t="s">
        <v>5621</v>
      </c>
      <c r="F10" s="54" t="s">
        <v>5425</v>
      </c>
      <c r="G10" s="42" t="s">
        <v>6293</v>
      </c>
      <c r="H10" s="115" t="s">
        <v>6293</v>
      </c>
      <c r="I10" s="116">
        <v>45439</v>
      </c>
      <c r="J10" s="54" t="s">
        <v>5817</v>
      </c>
      <c r="V10" s="2" t="s">
        <v>44</v>
      </c>
      <c r="W10" s="2" t="s">
        <v>5784</v>
      </c>
      <c r="AG10" t="s">
        <v>25</v>
      </c>
    </row>
    <row r="11" spans="1:33">
      <c r="A11" s="70" t="s">
        <v>5426</v>
      </c>
      <c r="B11" s="14" t="s">
        <v>44</v>
      </c>
      <c r="C11" s="14" t="s">
        <v>44</v>
      </c>
      <c r="D11" s="14" t="s">
        <v>21</v>
      </c>
      <c r="E11" s="54" t="s">
        <v>5621</v>
      </c>
      <c r="F11" s="54" t="s">
        <v>5425</v>
      </c>
      <c r="G11" s="42" t="s">
        <v>6294</v>
      </c>
      <c r="H11" s="115" t="s">
        <v>6294</v>
      </c>
      <c r="I11" s="116">
        <v>45733</v>
      </c>
      <c r="J11" s="54" t="s">
        <v>5918</v>
      </c>
      <c r="V11" s="2" t="s">
        <v>5771</v>
      </c>
      <c r="W11" s="2" t="s">
        <v>1030</v>
      </c>
      <c r="AG11" t="s">
        <v>28</v>
      </c>
    </row>
    <row r="12" spans="1:33">
      <c r="A12" s="70" t="s">
        <v>6295</v>
      </c>
      <c r="B12" s="14" t="s">
        <v>44</v>
      </c>
      <c r="C12" s="14" t="s">
        <v>44</v>
      </c>
      <c r="D12" s="14" t="s">
        <v>21</v>
      </c>
      <c r="E12" s="54" t="s">
        <v>5621</v>
      </c>
      <c r="F12" s="54" t="s">
        <v>5425</v>
      </c>
      <c r="G12" s="42" t="s">
        <v>6296</v>
      </c>
      <c r="H12" s="115" t="s">
        <v>6296</v>
      </c>
      <c r="I12" s="116">
        <v>45733</v>
      </c>
      <c r="J12" s="54" t="s">
        <v>5918</v>
      </c>
      <c r="V12" s="2" t="s">
        <v>45</v>
      </c>
      <c r="W12" s="2" t="s">
        <v>45</v>
      </c>
      <c r="AG12" t="s">
        <v>232</v>
      </c>
    </row>
    <row r="13" spans="1:33">
      <c r="A13" s="117" t="s">
        <v>33</v>
      </c>
      <c r="B13" s="42" t="s">
        <v>33</v>
      </c>
      <c r="C13" s="42" t="s">
        <v>5771</v>
      </c>
      <c r="D13" s="42" t="s">
        <v>21</v>
      </c>
      <c r="E13" s="42" t="s">
        <v>5621</v>
      </c>
      <c r="F13" s="42" t="s">
        <v>5420</v>
      </c>
      <c r="G13" s="42" t="s">
        <v>6297</v>
      </c>
      <c r="H13" s="115" t="s">
        <v>6297</v>
      </c>
      <c r="I13" s="116">
        <v>45266</v>
      </c>
      <c r="J13" s="14" t="s">
        <v>5918</v>
      </c>
      <c r="V13" s="2" t="s">
        <v>5714</v>
      </c>
      <c r="W13" s="2" t="s">
        <v>5424</v>
      </c>
      <c r="AG13" t="s">
        <v>392</v>
      </c>
    </row>
    <row r="14" spans="1:33">
      <c r="A14" s="117" t="s">
        <v>4881</v>
      </c>
      <c r="B14" s="42" t="s">
        <v>4881</v>
      </c>
      <c r="C14" s="42" t="s">
        <v>5418</v>
      </c>
      <c r="D14" s="42" t="s">
        <v>21</v>
      </c>
      <c r="E14" s="42" t="s">
        <v>5621</v>
      </c>
      <c r="F14" s="42" t="s">
        <v>5417</v>
      </c>
      <c r="G14" s="42" t="s">
        <v>6298</v>
      </c>
      <c r="H14" s="115" t="s">
        <v>6298</v>
      </c>
      <c r="I14" s="116">
        <v>45383</v>
      </c>
      <c r="J14" s="14" t="s">
        <v>5918</v>
      </c>
      <c r="V14" s="2" t="e">
        <v>#N/A</v>
      </c>
      <c r="W14" s="2" t="s">
        <v>5784</v>
      </c>
      <c r="AF14" t="s">
        <v>6299</v>
      </c>
    </row>
    <row r="15" spans="1:33">
      <c r="A15" s="117" t="s">
        <v>36</v>
      </c>
      <c r="B15" s="42" t="s">
        <v>27</v>
      </c>
      <c r="C15" s="42" t="s">
        <v>27</v>
      </c>
      <c r="D15" s="42" t="s">
        <v>21</v>
      </c>
      <c r="E15" s="42" t="s">
        <v>5649</v>
      </c>
      <c r="F15" s="42" t="s">
        <v>5416</v>
      </c>
      <c r="G15" s="42" t="s">
        <v>6300</v>
      </c>
      <c r="H15" s="115" t="s">
        <v>6300</v>
      </c>
      <c r="I15" s="116">
        <v>44236</v>
      </c>
      <c r="J15" s="42" t="s">
        <v>5918</v>
      </c>
      <c r="V15" s="2" t="s">
        <v>5778</v>
      </c>
      <c r="W15" s="2" t="s">
        <v>27</v>
      </c>
      <c r="AF15" t="s">
        <v>5853</v>
      </c>
      <c r="AG15" t="s">
        <v>5780</v>
      </c>
    </row>
    <row r="16" spans="1:33">
      <c r="A16" s="70" t="s">
        <v>5488</v>
      </c>
      <c r="B16" s="42" t="s">
        <v>1030</v>
      </c>
      <c r="C16" s="42" t="s">
        <v>5418</v>
      </c>
      <c r="D16" s="14" t="s">
        <v>21</v>
      </c>
      <c r="E16" s="54" t="s">
        <v>5621</v>
      </c>
      <c r="F16" s="54" t="s">
        <v>5417</v>
      </c>
      <c r="G16" s="42" t="s">
        <v>6301</v>
      </c>
      <c r="H16" s="115" t="s">
        <v>6301</v>
      </c>
      <c r="I16" s="116">
        <v>45749</v>
      </c>
      <c r="J16" s="54" t="s">
        <v>5918</v>
      </c>
      <c r="V16" s="2" t="s">
        <v>45</v>
      </c>
      <c r="W16" s="2" t="s">
        <v>45</v>
      </c>
      <c r="AG16" t="s">
        <v>25</v>
      </c>
    </row>
    <row r="17" spans="1:33">
      <c r="A17" s="70" t="s">
        <v>6302</v>
      </c>
      <c r="B17" s="42" t="s">
        <v>5430</v>
      </c>
      <c r="C17" s="42" t="s">
        <v>5430</v>
      </c>
      <c r="D17" s="14" t="s">
        <v>21</v>
      </c>
      <c r="E17" s="54" t="s">
        <v>5621</v>
      </c>
      <c r="F17" s="54" t="s">
        <v>5430</v>
      </c>
      <c r="G17" s="42" t="s">
        <v>6303</v>
      </c>
      <c r="H17" s="115" t="s">
        <v>6303</v>
      </c>
      <c r="I17" s="116">
        <v>45775</v>
      </c>
      <c r="J17" s="119" t="s">
        <v>5918</v>
      </c>
      <c r="V17" s="2" t="s">
        <v>45</v>
      </c>
      <c r="W17" s="2" t="s">
        <v>45</v>
      </c>
      <c r="AG17" t="s">
        <v>392</v>
      </c>
    </row>
    <row r="18" spans="1:33">
      <c r="A18" s="70" t="s">
        <v>5801</v>
      </c>
      <c r="B18" s="42" t="s">
        <v>5430</v>
      </c>
      <c r="C18" s="42" t="s">
        <v>5430</v>
      </c>
      <c r="D18" s="14" t="s">
        <v>21</v>
      </c>
      <c r="E18" s="54" t="s">
        <v>5621</v>
      </c>
      <c r="F18" s="54" t="s">
        <v>5430</v>
      </c>
      <c r="G18" s="42" t="s">
        <v>6304</v>
      </c>
      <c r="H18" s="115" t="s">
        <v>6304</v>
      </c>
      <c r="I18" s="116">
        <v>45775</v>
      </c>
      <c r="J18" s="119" t="s">
        <v>5918</v>
      </c>
      <c r="V18" s="2" t="s">
        <v>5780</v>
      </c>
      <c r="W18" s="2" t="s">
        <v>5780</v>
      </c>
      <c r="AF18" t="s">
        <v>6305</v>
      </c>
    </row>
    <row r="19" spans="1:33">
      <c r="A19" s="128" t="s">
        <v>5429</v>
      </c>
      <c r="B19" s="14" t="s">
        <v>44</v>
      </c>
      <c r="C19" s="14" t="s">
        <v>44</v>
      </c>
      <c r="D19" s="14" t="s">
        <v>21</v>
      </c>
      <c r="E19" s="54" t="s">
        <v>5621</v>
      </c>
      <c r="F19" s="54" t="s">
        <v>5425</v>
      </c>
      <c r="G19" s="42" t="s">
        <v>6306</v>
      </c>
      <c r="H19" s="115" t="s">
        <v>6306</v>
      </c>
      <c r="I19" s="116">
        <v>45841</v>
      </c>
      <c r="J19" s="54" t="s">
        <v>5918</v>
      </c>
      <c r="V19" s="2" t="s">
        <v>5780</v>
      </c>
      <c r="W19" s="2" t="s">
        <v>5780</v>
      </c>
      <c r="AF19" t="s">
        <v>5652</v>
      </c>
      <c r="AG19" t="s">
        <v>5424</v>
      </c>
    </row>
    <row r="20" spans="1:33">
      <c r="A20" s="114" t="s">
        <v>6307</v>
      </c>
      <c r="B20" s="42" t="s">
        <v>5418</v>
      </c>
      <c r="C20" s="42" t="s">
        <v>5418</v>
      </c>
      <c r="D20" s="14" t="s">
        <v>21</v>
      </c>
      <c r="E20" s="54" t="s">
        <v>5621</v>
      </c>
      <c r="F20" s="54" t="s">
        <v>5417</v>
      </c>
      <c r="G20" s="42" t="s">
        <v>6308</v>
      </c>
      <c r="H20" s="42" t="s">
        <v>6308</v>
      </c>
      <c r="I20" s="116">
        <v>45924</v>
      </c>
      <c r="J20" s="54" t="s">
        <v>5918</v>
      </c>
      <c r="V20" s="2" t="s">
        <v>5714</v>
      </c>
      <c r="W20" s="2" t="s">
        <v>5424</v>
      </c>
      <c r="AF20" t="s">
        <v>6309</v>
      </c>
    </row>
    <row r="21" spans="1:33">
      <c r="A21" s="23" t="s">
        <v>5883</v>
      </c>
      <c r="B21" s="42" t="s">
        <v>5771</v>
      </c>
      <c r="C21" s="42" t="s">
        <v>5771</v>
      </c>
      <c r="D21" s="14" t="s">
        <v>20</v>
      </c>
      <c r="E21" s="54" t="s">
        <v>5621</v>
      </c>
      <c r="F21" s="42" t="s">
        <v>5771</v>
      </c>
      <c r="G21" s="42" t="s">
        <v>6310</v>
      </c>
      <c r="H21" s="42" t="s">
        <v>6310</v>
      </c>
      <c r="I21" s="116">
        <v>45967</v>
      </c>
      <c r="J21" s="54" t="s">
        <v>5918</v>
      </c>
      <c r="V21" s="2" t="s">
        <v>5780</v>
      </c>
      <c r="W21" s="2" t="s">
        <v>392</v>
      </c>
      <c r="AF21" t="s">
        <v>5771</v>
      </c>
      <c r="AG21" t="s">
        <v>5772</v>
      </c>
    </row>
    <row r="22" spans="1:33">
      <c r="V22" s="2" t="s">
        <v>5771</v>
      </c>
      <c r="W22" s="2" t="s">
        <v>4881</v>
      </c>
      <c r="AG22" t="s">
        <v>5780</v>
      </c>
    </row>
    <row r="23" spans="1:33">
      <c r="V23" s="2" t="s">
        <v>44</v>
      </c>
      <c r="W23" s="2" t="s">
        <v>5803</v>
      </c>
      <c r="AG23" t="s">
        <v>5771</v>
      </c>
    </row>
    <row r="24" spans="1:33">
      <c r="V24" s="2" t="s">
        <v>5771</v>
      </c>
      <c r="W24" s="2" t="s">
        <v>5771</v>
      </c>
      <c r="AG24" t="s">
        <v>5786</v>
      </c>
    </row>
    <row r="25" spans="1:33">
      <c r="V25" s="2" t="s">
        <v>44</v>
      </c>
      <c r="W25" s="2" t="s">
        <v>5803</v>
      </c>
      <c r="AG25" t="s">
        <v>5432</v>
      </c>
    </row>
    <row r="26" spans="1:33">
      <c r="V26" s="2" t="s">
        <v>5771</v>
      </c>
      <c r="W26" s="2" t="s">
        <v>5771</v>
      </c>
      <c r="AG26" t="s">
        <v>6311</v>
      </c>
    </row>
    <row r="27" spans="1:33">
      <c r="V27" s="2" t="s">
        <v>44</v>
      </c>
      <c r="W27" s="2" t="s">
        <v>5784</v>
      </c>
      <c r="AG27" t="s">
        <v>25</v>
      </c>
    </row>
    <row r="28" spans="1:33">
      <c r="V28" s="2" t="s">
        <v>44</v>
      </c>
      <c r="W28" s="2" t="s">
        <v>5784</v>
      </c>
      <c r="AG28" t="s">
        <v>5424</v>
      </c>
    </row>
    <row r="29" spans="1:33">
      <c r="V29" s="2" t="s">
        <v>5771</v>
      </c>
      <c r="W29" s="2" t="s">
        <v>33</v>
      </c>
      <c r="AG29" t="s">
        <v>5431</v>
      </c>
    </row>
    <row r="30" spans="1:33">
      <c r="V30" s="136" t="s">
        <v>5771</v>
      </c>
      <c r="W30" s="2" t="s">
        <v>5818</v>
      </c>
      <c r="AG30" t="s">
        <v>28</v>
      </c>
    </row>
    <row r="31" spans="1:33">
      <c r="V31" s="136" t="s">
        <v>5771</v>
      </c>
      <c r="W31" s="2" t="s">
        <v>5818</v>
      </c>
      <c r="AG31" t="s">
        <v>5818</v>
      </c>
    </row>
    <row r="32" spans="1:33">
      <c r="V32" s="136" t="s">
        <v>5771</v>
      </c>
      <c r="W32" s="2" t="s">
        <v>5818</v>
      </c>
      <c r="AG32" t="s">
        <v>5422</v>
      </c>
    </row>
    <row r="33" spans="22:33">
      <c r="V33" s="136" t="s">
        <v>5771</v>
      </c>
      <c r="W33" s="2" t="s">
        <v>5818</v>
      </c>
      <c r="AG33" t="s">
        <v>160</v>
      </c>
    </row>
    <row r="34" spans="22:33">
      <c r="V34" s="2" t="s">
        <v>44</v>
      </c>
      <c r="W34" s="2" t="s">
        <v>5803</v>
      </c>
      <c r="AG34" t="s">
        <v>232</v>
      </c>
    </row>
    <row r="35" spans="22:33">
      <c r="V35" s="2" t="s">
        <v>5780</v>
      </c>
      <c r="W35" s="2" t="s">
        <v>25</v>
      </c>
      <c r="AG35" t="s">
        <v>5433</v>
      </c>
    </row>
    <row r="36" spans="22:33">
      <c r="V36" s="2" t="s">
        <v>5780</v>
      </c>
      <c r="W36" s="2" t="s">
        <v>392</v>
      </c>
      <c r="AG36" t="s">
        <v>33</v>
      </c>
    </row>
    <row r="37" spans="22:33">
      <c r="V37" s="2" t="s">
        <v>5778</v>
      </c>
      <c r="W37" s="2" t="s">
        <v>27</v>
      </c>
      <c r="AG37" t="s">
        <v>5805</v>
      </c>
    </row>
    <row r="38" spans="22:33">
      <c r="V38" s="2" t="s">
        <v>45</v>
      </c>
      <c r="W38" s="2" t="s">
        <v>45</v>
      </c>
      <c r="AG38" t="s">
        <v>5803</v>
      </c>
    </row>
    <row r="39" spans="22:33">
      <c r="V39" s="2" t="s">
        <v>5714</v>
      </c>
      <c r="W39" s="2" t="s">
        <v>5424</v>
      </c>
      <c r="AG39" t="s">
        <v>5419</v>
      </c>
    </row>
    <row r="40" spans="22:33">
      <c r="V40" s="2" t="s">
        <v>5780</v>
      </c>
      <c r="W40" s="2" t="s">
        <v>25</v>
      </c>
      <c r="AG40" t="s">
        <v>5434</v>
      </c>
    </row>
    <row r="41" spans="22:33">
      <c r="V41" s="2" t="s">
        <v>5780</v>
      </c>
      <c r="W41" s="2" t="s">
        <v>25</v>
      </c>
      <c r="AG41" t="s">
        <v>392</v>
      </c>
    </row>
    <row r="42" spans="22:33">
      <c r="V42" s="2" t="s">
        <v>5771</v>
      </c>
      <c r="W42" s="17" t="s">
        <v>5863</v>
      </c>
      <c r="AG42" t="s">
        <v>4881</v>
      </c>
    </row>
    <row r="43" spans="22:33">
      <c r="V43" s="2" t="s">
        <v>5771</v>
      </c>
      <c r="W43" s="17" t="s">
        <v>5863</v>
      </c>
      <c r="AG43" t="s">
        <v>5784</v>
      </c>
    </row>
    <row r="44" spans="22:33">
      <c r="V44" s="2" t="s">
        <v>44</v>
      </c>
      <c r="W44" s="2" t="s">
        <v>5784</v>
      </c>
      <c r="AG44" t="s">
        <v>5863</v>
      </c>
    </row>
    <row r="45" spans="22:33">
      <c r="V45" s="2" t="s">
        <v>5780</v>
      </c>
      <c r="W45" s="2" t="s">
        <v>392</v>
      </c>
      <c r="AG45" t="s">
        <v>118</v>
      </c>
    </row>
    <row r="46" spans="22:33">
      <c r="V46" s="2" t="s">
        <v>45</v>
      </c>
      <c r="W46" s="2" t="s">
        <v>45</v>
      </c>
      <c r="AG46" t="s">
        <v>1030</v>
      </c>
    </row>
    <row r="47" spans="22:33">
      <c r="V47" s="2" t="s">
        <v>44</v>
      </c>
      <c r="W47" s="2" t="s">
        <v>45</v>
      </c>
      <c r="AG47" t="s">
        <v>5415</v>
      </c>
    </row>
    <row r="48" spans="22:33">
      <c r="V48" s="2" t="s">
        <v>5771</v>
      </c>
      <c r="W48" s="2" t="s">
        <v>5772</v>
      </c>
      <c r="AF48" t="s">
        <v>6312</v>
      </c>
    </row>
    <row r="49" spans="22:33">
      <c r="V49" s="2" t="s">
        <v>44</v>
      </c>
      <c r="W49" s="2" t="s">
        <v>5784</v>
      </c>
      <c r="AF49" t="s">
        <v>5814</v>
      </c>
      <c r="AG49" t="s">
        <v>5771</v>
      </c>
    </row>
    <row r="50" spans="22:33">
      <c r="V50" s="2" t="s">
        <v>5780</v>
      </c>
      <c r="W50" s="2" t="s">
        <v>392</v>
      </c>
      <c r="AG50" t="s">
        <v>5432</v>
      </c>
    </row>
    <row r="51" spans="22:33">
      <c r="V51" s="2">
        <v>0</v>
      </c>
      <c r="W51" s="2" t="s">
        <v>5818</v>
      </c>
      <c r="AG51" t="s">
        <v>118</v>
      </c>
    </row>
    <row r="52" spans="22:33">
      <c r="V52" s="2" t="s">
        <v>5771</v>
      </c>
      <c r="W52" s="2" t="s">
        <v>5771</v>
      </c>
      <c r="AF52" t="s">
        <v>6313</v>
      </c>
    </row>
    <row r="53" spans="22:33">
      <c r="V53" s="136" t="s">
        <v>5771</v>
      </c>
      <c r="W53" s="2" t="s">
        <v>5432</v>
      </c>
      <c r="AF53" t="s">
        <v>5778</v>
      </c>
      <c r="AG53" t="s">
        <v>5780</v>
      </c>
    </row>
    <row r="54" spans="22:33">
      <c r="V54" s="2" t="s">
        <v>5771</v>
      </c>
      <c r="W54" s="2" t="s">
        <v>1030</v>
      </c>
      <c r="AG54" t="s">
        <v>27</v>
      </c>
    </row>
    <row r="55" spans="22:33">
      <c r="V55" s="136" t="s">
        <v>5771</v>
      </c>
      <c r="W55" s="2" t="s">
        <v>5433</v>
      </c>
      <c r="AG55" t="s">
        <v>5778</v>
      </c>
    </row>
    <row r="56" spans="22:33">
      <c r="V56" s="136" t="s">
        <v>5771</v>
      </c>
      <c r="W56" s="2" t="s">
        <v>5433</v>
      </c>
      <c r="AG56" t="s">
        <v>5431</v>
      </c>
    </row>
    <row r="57" spans="22:33">
      <c r="V57" s="136" t="s">
        <v>5771</v>
      </c>
      <c r="W57" s="2" t="s">
        <v>5433</v>
      </c>
      <c r="AG57" t="s">
        <v>36</v>
      </c>
    </row>
    <row r="58" spans="22:33">
      <c r="V58" s="136" t="s">
        <v>5771</v>
      </c>
      <c r="W58" s="23" t="s">
        <v>5786</v>
      </c>
      <c r="AG58" t="s">
        <v>5818</v>
      </c>
    </row>
    <row r="59" spans="22:33">
      <c r="V59" s="136" t="s">
        <v>5771</v>
      </c>
      <c r="W59" s="2" t="s">
        <v>5433</v>
      </c>
      <c r="AG59" t="s">
        <v>160</v>
      </c>
    </row>
    <row r="60" spans="22:33">
      <c r="V60" s="136" t="s">
        <v>5771</v>
      </c>
      <c r="W60" s="2" t="s">
        <v>5433</v>
      </c>
      <c r="AG60" t="s">
        <v>5434</v>
      </c>
    </row>
    <row r="61" spans="22:33">
      <c r="V61" s="136" t="s">
        <v>5771</v>
      </c>
      <c r="W61" s="2" t="s">
        <v>5433</v>
      </c>
      <c r="AF61" t="s">
        <v>6314</v>
      </c>
    </row>
    <row r="62" spans="22:33">
      <c r="V62" s="136" t="s">
        <v>5771</v>
      </c>
      <c r="W62" s="2" t="s">
        <v>5433</v>
      </c>
      <c r="AF62" t="s">
        <v>5846</v>
      </c>
      <c r="AG62" t="s">
        <v>5432</v>
      </c>
    </row>
    <row r="63" spans="22:33">
      <c r="V63" s="136" t="s">
        <v>5771</v>
      </c>
      <c r="W63" s="2" t="s">
        <v>5433</v>
      </c>
      <c r="AG63" t="s">
        <v>5846</v>
      </c>
    </row>
    <row r="64" spans="22:33">
      <c r="V64" s="136" t="s">
        <v>5771</v>
      </c>
      <c r="W64" s="2" t="s">
        <v>5433</v>
      </c>
      <c r="AF64" t="s">
        <v>6315</v>
      </c>
    </row>
    <row r="65" spans="22:33">
      <c r="V65" s="136" t="s">
        <v>5771</v>
      </c>
      <c r="W65" s="2" t="s">
        <v>5433</v>
      </c>
      <c r="AF65" t="s">
        <v>45</v>
      </c>
      <c r="AG65" t="s">
        <v>45</v>
      </c>
    </row>
    <row r="66" spans="22:33">
      <c r="V66" s="136" t="s">
        <v>5771</v>
      </c>
      <c r="W66" s="2" t="s">
        <v>5433</v>
      </c>
      <c r="AF66" t="s">
        <v>6316</v>
      </c>
    </row>
    <row r="67" spans="22:33">
      <c r="V67" s="136" t="s">
        <v>5771</v>
      </c>
      <c r="W67" s="2" t="s">
        <v>5432</v>
      </c>
      <c r="AF67" t="s">
        <v>5685</v>
      </c>
      <c r="AG67" t="s">
        <v>5685</v>
      </c>
    </row>
    <row r="68" spans="22:33">
      <c r="V68" s="136" t="s">
        <v>5771</v>
      </c>
      <c r="W68" s="2" t="s">
        <v>5434</v>
      </c>
      <c r="AF68" t="s">
        <v>6317</v>
      </c>
    </row>
    <row r="69" spans="22:33">
      <c r="V69" s="2" t="s">
        <v>5771</v>
      </c>
      <c r="W69" s="2" t="s">
        <v>33</v>
      </c>
      <c r="AF69" t="s">
        <v>44</v>
      </c>
      <c r="AG69" t="s">
        <v>45</v>
      </c>
    </row>
    <row r="70" spans="22:33">
      <c r="V70" s="136" t="s">
        <v>5771</v>
      </c>
      <c r="W70" s="2" t="s">
        <v>118</v>
      </c>
      <c r="AG70" t="s">
        <v>5803</v>
      </c>
    </row>
    <row r="71" spans="22:33">
      <c r="V71" s="136" t="s">
        <v>5771</v>
      </c>
      <c r="W71" s="2" t="s">
        <v>5422</v>
      </c>
      <c r="AG71" t="s">
        <v>5429</v>
      </c>
    </row>
    <row r="72" spans="22:33">
      <c r="V72" s="136" t="s">
        <v>5771</v>
      </c>
      <c r="W72" s="2" t="s">
        <v>118</v>
      </c>
      <c r="AG72" t="s">
        <v>392</v>
      </c>
    </row>
    <row r="73" spans="22:33">
      <c r="V73" s="136" t="s">
        <v>5771</v>
      </c>
      <c r="W73" s="137" t="s">
        <v>118</v>
      </c>
      <c r="AG73" t="s">
        <v>5784</v>
      </c>
    </row>
    <row r="74" spans="22:33">
      <c r="V74" s="136" t="s">
        <v>5771</v>
      </c>
      <c r="W74" s="2" t="s">
        <v>118</v>
      </c>
      <c r="AG74" t="s">
        <v>5415</v>
      </c>
    </row>
    <row r="75" spans="22:33">
      <c r="V75" s="2" t="s">
        <v>44</v>
      </c>
      <c r="W75" s="2" t="s">
        <v>5803</v>
      </c>
      <c r="AF75" t="s">
        <v>6318</v>
      </c>
    </row>
    <row r="76" spans="22:33">
      <c r="V76" s="2" t="s">
        <v>5771</v>
      </c>
      <c r="W76" s="2" t="s">
        <v>4881</v>
      </c>
      <c r="AF76" t="s">
        <v>5415</v>
      </c>
      <c r="AG76" t="s">
        <v>5415</v>
      </c>
    </row>
    <row r="77" spans="22:33">
      <c r="V77" s="2" t="s">
        <v>5780</v>
      </c>
      <c r="W77" s="2" t="s">
        <v>392</v>
      </c>
      <c r="AF77" t="s">
        <v>6319</v>
      </c>
    </row>
    <row r="78" spans="22:33">
      <c r="V78" s="136" t="s">
        <v>5771</v>
      </c>
      <c r="W78" s="2" t="s">
        <v>5434</v>
      </c>
      <c r="AF78" t="s">
        <v>53</v>
      </c>
    </row>
    <row r="79" spans="22:33">
      <c r="V79" s="2" t="s">
        <v>5780</v>
      </c>
      <c r="W79" s="2" t="s">
        <v>392</v>
      </c>
    </row>
    <row r="80" spans="22:33">
      <c r="V80" s="136" t="s">
        <v>5771</v>
      </c>
      <c r="W80" s="2" t="s">
        <v>5431</v>
      </c>
    </row>
    <row r="81" spans="22:23">
      <c r="V81" s="2" t="s">
        <v>5778</v>
      </c>
      <c r="W81" s="2" t="s">
        <v>5431</v>
      </c>
    </row>
    <row r="82" spans="22:23">
      <c r="V82" s="136" t="s">
        <v>5771</v>
      </c>
      <c r="W82" s="2" t="s">
        <v>5431</v>
      </c>
    </row>
    <row r="83" spans="22:23">
      <c r="V83" s="136" t="s">
        <v>5771</v>
      </c>
      <c r="W83" s="2" t="s">
        <v>5431</v>
      </c>
    </row>
    <row r="84" spans="22:23">
      <c r="V84" s="2" t="s">
        <v>5780</v>
      </c>
      <c r="W84" s="2" t="s">
        <v>392</v>
      </c>
    </row>
    <row r="85" spans="22:23">
      <c r="V85" s="2" t="s">
        <v>45</v>
      </c>
      <c r="W85" s="2" t="s">
        <v>45</v>
      </c>
    </row>
    <row r="86" spans="22:23">
      <c r="V86" s="2" t="s">
        <v>45</v>
      </c>
      <c r="W86" s="2" t="s">
        <v>45</v>
      </c>
    </row>
    <row r="87" spans="22:23">
      <c r="V87" s="2" t="s">
        <v>5771</v>
      </c>
      <c r="W87" s="2" t="s">
        <v>118</v>
      </c>
    </row>
    <row r="88" spans="22:23">
      <c r="V88" s="2" t="s">
        <v>5814</v>
      </c>
      <c r="W88" s="2" t="s">
        <v>118</v>
      </c>
    </row>
    <row r="89" spans="22:23">
      <c r="V89" s="2" t="s">
        <v>44</v>
      </c>
      <c r="W89" s="2" t="s">
        <v>5429</v>
      </c>
    </row>
    <row r="90" spans="22:23">
      <c r="V90" s="2" t="s">
        <v>45</v>
      </c>
      <c r="W90" s="2" t="s">
        <v>45</v>
      </c>
    </row>
    <row r="91" spans="22:23">
      <c r="V91" s="2" t="s">
        <v>5771</v>
      </c>
      <c r="W91" s="136" t="s">
        <v>160</v>
      </c>
    </row>
    <row r="92" spans="22:23">
      <c r="V92" s="2" t="s">
        <v>45</v>
      </c>
      <c r="W92" s="2" t="s">
        <v>45</v>
      </c>
    </row>
    <row r="93" spans="22:23">
      <c r="V93" s="2" t="s">
        <v>5771</v>
      </c>
      <c r="W93" s="2" t="s">
        <v>33</v>
      </c>
    </row>
    <row r="94" spans="22:23">
      <c r="V94" s="2" t="s">
        <v>5814</v>
      </c>
      <c r="W94" s="2" t="s">
        <v>5771</v>
      </c>
    </row>
    <row r="95" spans="22:23">
      <c r="V95" s="2" t="s">
        <v>5780</v>
      </c>
      <c r="W95" s="2" t="s">
        <v>392</v>
      </c>
    </row>
    <row r="96" spans="22:23">
      <c r="V96" s="2" t="s">
        <v>5652</v>
      </c>
      <c r="W96" s="2" t="s">
        <v>5424</v>
      </c>
    </row>
    <row r="97" spans="22:23">
      <c r="V97" s="136" t="s">
        <v>5771</v>
      </c>
      <c r="W97" s="2" t="s">
        <v>118</v>
      </c>
    </row>
    <row r="98" spans="22:23">
      <c r="V98" s="136" t="s">
        <v>5771</v>
      </c>
      <c r="W98" s="2" t="s">
        <v>118</v>
      </c>
    </row>
    <row r="99" spans="22:23">
      <c r="V99" s="136" t="s">
        <v>5771</v>
      </c>
      <c r="W99" s="2" t="s">
        <v>118</v>
      </c>
    </row>
    <row r="100" spans="22:23">
      <c r="V100" s="136" t="s">
        <v>5771</v>
      </c>
      <c r="W100" s="2" t="s">
        <v>118</v>
      </c>
    </row>
    <row r="101" spans="22:23">
      <c r="V101" s="2" t="s">
        <v>45</v>
      </c>
      <c r="W101" s="2" t="s">
        <v>45</v>
      </c>
    </row>
    <row r="102" spans="22:23">
      <c r="V102" s="2" t="s">
        <v>5778</v>
      </c>
      <c r="W102" s="2" t="s">
        <v>36</v>
      </c>
    </row>
    <row r="103" spans="22:23">
      <c r="V103" s="2" t="s">
        <v>5778</v>
      </c>
      <c r="W103" s="2" t="s">
        <v>36</v>
      </c>
    </row>
    <row r="104" spans="22:23">
      <c r="V104" s="2" t="s">
        <v>5778</v>
      </c>
      <c r="W104" s="2" t="s">
        <v>36</v>
      </c>
    </row>
    <row r="105" spans="22:23">
      <c r="V105" s="2" t="s">
        <v>5778</v>
      </c>
      <c r="W105" s="2" t="s">
        <v>36</v>
      </c>
    </row>
    <row r="106" spans="22:23">
      <c r="V106" s="2" t="s">
        <v>5771</v>
      </c>
      <c r="W106" s="2" t="s">
        <v>33</v>
      </c>
    </row>
    <row r="107" spans="22:23">
      <c r="V107" s="2" t="s">
        <v>44</v>
      </c>
      <c r="W107" s="2" t="s">
        <v>5803</v>
      </c>
    </row>
    <row r="108" spans="22:23">
      <c r="V108" s="2" t="s">
        <v>5771</v>
      </c>
      <c r="W108" s="2" t="s">
        <v>5422</v>
      </c>
    </row>
    <row r="109" spans="22:23">
      <c r="V109" s="2" t="s">
        <v>5771</v>
      </c>
      <c r="W109" s="2" t="s">
        <v>25</v>
      </c>
    </row>
    <row r="110" spans="22:23">
      <c r="V110" s="2" t="s">
        <v>5771</v>
      </c>
      <c r="W110" s="2" t="s">
        <v>5424</v>
      </c>
    </row>
    <row r="111" spans="22:23">
      <c r="V111" s="2" t="s">
        <v>5771</v>
      </c>
      <c r="W111" s="70" t="s">
        <v>5419</v>
      </c>
    </row>
    <row r="112" spans="22:23">
      <c r="V112" s="2" t="s">
        <v>5771</v>
      </c>
      <c r="W112" s="70" t="s">
        <v>1030</v>
      </c>
    </row>
    <row r="113" spans="22:23">
      <c r="V113" s="2" t="s">
        <v>5771</v>
      </c>
      <c r="W113" s="2" t="s">
        <v>1030</v>
      </c>
    </row>
    <row r="114" spans="22:23">
      <c r="V114" s="2" t="s">
        <v>5771</v>
      </c>
      <c r="W114" s="70" t="s">
        <v>4881</v>
      </c>
    </row>
    <row r="115" spans="22:23">
      <c r="V115" s="2" t="s">
        <v>5771</v>
      </c>
      <c r="W115" s="2" t="s">
        <v>1030</v>
      </c>
    </row>
    <row r="116" spans="22:23">
      <c r="V116" s="2" t="s">
        <v>5771</v>
      </c>
      <c r="W116" s="70" t="s">
        <v>1030</v>
      </c>
    </row>
    <row r="117" spans="22:23">
      <c r="V117" s="2" t="s">
        <v>5771</v>
      </c>
      <c r="W117" s="2" t="s">
        <v>1030</v>
      </c>
    </row>
    <row r="118" spans="22:23">
      <c r="V118" s="2" t="s">
        <v>5771</v>
      </c>
      <c r="W118" s="2" t="s">
        <v>4881</v>
      </c>
    </row>
    <row r="119" spans="22:23">
      <c r="V119" s="2" t="s">
        <v>5771</v>
      </c>
      <c r="W119" s="2" t="s">
        <v>1030</v>
      </c>
    </row>
    <row r="120" spans="22:23">
      <c r="V120" s="2" t="s">
        <v>5771</v>
      </c>
      <c r="W120" s="2" t="s">
        <v>5424</v>
      </c>
    </row>
    <row r="121" spans="22:23">
      <c r="V121" s="2" t="s">
        <v>5771</v>
      </c>
      <c r="W121" s="2" t="s">
        <v>1030</v>
      </c>
    </row>
    <row r="122" spans="22:23">
      <c r="V122" s="2" t="s">
        <v>5771</v>
      </c>
      <c r="W122" s="2" t="s">
        <v>4881</v>
      </c>
    </row>
    <row r="123" spans="22:23">
      <c r="V123" s="2" t="s">
        <v>5771</v>
      </c>
      <c r="W123" s="2" t="s">
        <v>5818</v>
      </c>
    </row>
    <row r="124" spans="22:23">
      <c r="V124" s="2" t="s">
        <v>5780</v>
      </c>
      <c r="W124" s="2" t="s">
        <v>392</v>
      </c>
    </row>
    <row r="125" spans="22:23">
      <c r="V125" s="2" t="s">
        <v>5780</v>
      </c>
      <c r="W125" s="2" t="s">
        <v>392</v>
      </c>
    </row>
    <row r="126" spans="22:23">
      <c r="V126" s="2" t="s">
        <v>44</v>
      </c>
      <c r="W126" s="2" t="s">
        <v>5784</v>
      </c>
    </row>
    <row r="127" spans="22:23">
      <c r="V127" s="2" t="s">
        <v>5778</v>
      </c>
      <c r="W127" s="136" t="s">
        <v>36</v>
      </c>
    </row>
    <row r="128" spans="22:23">
      <c r="V128" s="2" t="s">
        <v>5778</v>
      </c>
      <c r="W128" s="136" t="s">
        <v>160</v>
      </c>
    </row>
    <row r="129" spans="22:23">
      <c r="V129" s="136" t="s">
        <v>5771</v>
      </c>
      <c r="W129" s="2" t="s">
        <v>5434</v>
      </c>
    </row>
    <row r="130" spans="22:23">
      <c r="V130" s="136"/>
      <c r="W130" s="2"/>
    </row>
    <row r="131" spans="22:23">
      <c r="V131" s="2" t="s">
        <v>5778</v>
      </c>
      <c r="W131" s="2" t="s">
        <v>5818</v>
      </c>
    </row>
    <row r="132" spans="22:23">
      <c r="V132" s="2" t="s">
        <v>5780</v>
      </c>
      <c r="W132" s="2" t="s">
        <v>25</v>
      </c>
    </row>
    <row r="133" spans="22:23">
      <c r="V133" s="2" t="s">
        <v>5771</v>
      </c>
      <c r="W133" s="2" t="s">
        <v>25</v>
      </c>
    </row>
    <row r="134" spans="22:23">
      <c r="V134" s="2" t="s">
        <v>5771</v>
      </c>
      <c r="W134" s="2" t="s">
        <v>1030</v>
      </c>
    </row>
    <row r="135" spans="22:23">
      <c r="V135" s="136" t="s">
        <v>5771</v>
      </c>
      <c r="W135" s="2" t="s">
        <v>5432</v>
      </c>
    </row>
    <row r="136" spans="22:23">
      <c r="V136" s="136" t="s">
        <v>5771</v>
      </c>
      <c r="W136" s="2" t="s">
        <v>5432</v>
      </c>
    </row>
    <row r="137" spans="22:23">
      <c r="V137" s="136" t="s">
        <v>5771</v>
      </c>
      <c r="W137" s="2" t="s">
        <v>5432</v>
      </c>
    </row>
    <row r="138" spans="22:23">
      <c r="V138" s="2" t="s">
        <v>44</v>
      </c>
      <c r="W138" s="2" t="s">
        <v>5803</v>
      </c>
    </row>
    <row r="139" spans="22:23">
      <c r="V139" s="2" t="s">
        <v>5778</v>
      </c>
      <c r="W139" s="2" t="s">
        <v>27</v>
      </c>
    </row>
    <row r="140" spans="22:23">
      <c r="V140" s="2" t="s">
        <v>5778</v>
      </c>
      <c r="W140" s="2" t="s">
        <v>27</v>
      </c>
    </row>
    <row r="141" spans="22:23">
      <c r="V141" s="2" t="s">
        <v>5780</v>
      </c>
      <c r="W141" s="2" t="s">
        <v>5780</v>
      </c>
    </row>
    <row r="142" spans="22:23">
      <c r="V142" s="2" t="s">
        <v>45</v>
      </c>
      <c r="W142" s="2" t="s">
        <v>45</v>
      </c>
    </row>
    <row r="143" spans="22:23">
      <c r="V143" s="136" t="s">
        <v>5771</v>
      </c>
      <c r="W143" s="2" t="s">
        <v>5432</v>
      </c>
    </row>
    <row r="144" spans="22:23">
      <c r="V144" s="136" t="s">
        <v>5771</v>
      </c>
      <c r="W144" s="2" t="s">
        <v>5422</v>
      </c>
    </row>
    <row r="145" spans="22:23">
      <c r="V145" s="2" t="s">
        <v>5780</v>
      </c>
      <c r="W145" s="2" t="s">
        <v>25</v>
      </c>
    </row>
    <row r="146" spans="22:23">
      <c r="V146" s="2" t="s">
        <v>5780</v>
      </c>
      <c r="W146" s="2" t="s">
        <v>25</v>
      </c>
    </row>
    <row r="147" spans="22:23">
      <c r="V147" s="2" t="s">
        <v>5853</v>
      </c>
      <c r="W147" s="2" t="s">
        <v>25</v>
      </c>
    </row>
    <row r="148" spans="22:23">
      <c r="V148" s="2" t="s">
        <v>5778</v>
      </c>
      <c r="W148" s="2" t="s">
        <v>5434</v>
      </c>
    </row>
    <row r="149" spans="22:23">
      <c r="V149" s="2" t="s">
        <v>5778</v>
      </c>
      <c r="W149" s="2" t="s">
        <v>5434</v>
      </c>
    </row>
    <row r="150" spans="22:23">
      <c r="V150" s="2" t="s">
        <v>5778</v>
      </c>
      <c r="W150" s="2" t="s">
        <v>5780</v>
      </c>
    </row>
    <row r="151" spans="22:23">
      <c r="V151" s="2" t="s">
        <v>5771</v>
      </c>
      <c r="W151" s="2" t="s">
        <v>33</v>
      </c>
    </row>
    <row r="152" spans="22:23">
      <c r="V152" s="2" t="s">
        <v>5771</v>
      </c>
      <c r="W152" s="2" t="s">
        <v>33</v>
      </c>
    </row>
    <row r="153" spans="22:23">
      <c r="V153" s="2" t="s">
        <v>5771</v>
      </c>
      <c r="W153" s="2" t="s">
        <v>1030</v>
      </c>
    </row>
    <row r="154" spans="22:23">
      <c r="V154" s="2" t="s">
        <v>5771</v>
      </c>
      <c r="W154" s="2" t="s">
        <v>5771</v>
      </c>
    </row>
    <row r="155" spans="22:23">
      <c r="V155" s="2" t="s">
        <v>5814</v>
      </c>
      <c r="W155" s="2" t="s">
        <v>5771</v>
      </c>
    </row>
    <row r="156" spans="22:23">
      <c r="V156" s="2" t="s">
        <v>5771</v>
      </c>
      <c r="W156" s="2" t="s">
        <v>5771</v>
      </c>
    </row>
    <row r="157" spans="22:23">
      <c r="V157" s="2">
        <v>0</v>
      </c>
      <c r="W157" s="2" t="s">
        <v>392</v>
      </c>
    </row>
    <row r="158" spans="22:23">
      <c r="V158" s="2" t="s">
        <v>44</v>
      </c>
      <c r="W158" s="2" t="s">
        <v>5784</v>
      </c>
    </row>
    <row r="159" spans="22:23">
      <c r="V159" s="136" t="s">
        <v>5771</v>
      </c>
      <c r="W159" s="2" t="s">
        <v>5803</v>
      </c>
    </row>
    <row r="160" spans="22:23">
      <c r="V160" s="2" t="s">
        <v>5780</v>
      </c>
      <c r="W160" s="2" t="s">
        <v>392</v>
      </c>
    </row>
    <row r="161" spans="22:23">
      <c r="V161" s="2" t="s">
        <v>5780</v>
      </c>
      <c r="W161" s="2" t="s">
        <v>392</v>
      </c>
    </row>
    <row r="162" spans="22:23">
      <c r="V162" s="2" t="s">
        <v>5780</v>
      </c>
      <c r="W162" s="2" t="s">
        <v>392</v>
      </c>
    </row>
    <row r="163" spans="22:23">
      <c r="V163" s="2" t="s">
        <v>5853</v>
      </c>
      <c r="W163" s="2" t="s">
        <v>392</v>
      </c>
    </row>
    <row r="164" spans="22:23">
      <c r="V164" s="2" t="s">
        <v>5780</v>
      </c>
      <c r="W164" s="2" t="s">
        <v>5780</v>
      </c>
    </row>
    <row r="165" spans="22:23">
      <c r="V165" s="2" t="s">
        <v>5780</v>
      </c>
      <c r="W165" s="2" t="s">
        <v>392</v>
      </c>
    </row>
    <row r="166" spans="22:23">
      <c r="V166" s="2" t="s">
        <v>5853</v>
      </c>
      <c r="W166" s="2" t="s">
        <v>392</v>
      </c>
    </row>
    <row r="167" spans="22:23">
      <c r="V167" s="2" t="s">
        <v>44</v>
      </c>
      <c r="W167" s="2" t="s">
        <v>45</v>
      </c>
    </row>
    <row r="168" spans="22:23">
      <c r="V168" s="2" t="s">
        <v>45</v>
      </c>
      <c r="W168" s="2" t="s">
        <v>45</v>
      </c>
    </row>
    <row r="169" spans="22:23">
      <c r="V169" s="2" t="s">
        <v>5714</v>
      </c>
      <c r="W169" s="2" t="s">
        <v>5424</v>
      </c>
    </row>
    <row r="170" spans="22:23">
      <c r="V170" s="2" t="s">
        <v>5714</v>
      </c>
      <c r="W170" s="2" t="s">
        <v>5424</v>
      </c>
    </row>
    <row r="171" spans="22:23">
      <c r="V171" s="136" t="s">
        <v>5771</v>
      </c>
      <c r="W171" s="70" t="s">
        <v>5786</v>
      </c>
    </row>
    <row r="172" spans="22:23">
      <c r="V172" s="2" t="s">
        <v>45</v>
      </c>
      <c r="W172" s="2" t="s">
        <v>45</v>
      </c>
    </row>
    <row r="173" spans="22:23">
      <c r="V173" s="136" t="s">
        <v>5771</v>
      </c>
      <c r="W173" s="2" t="s">
        <v>5431</v>
      </c>
    </row>
    <row r="174" spans="22:23">
      <c r="V174" s="2" t="s">
        <v>44</v>
      </c>
      <c r="W174" s="2" t="s">
        <v>5803</v>
      </c>
    </row>
    <row r="175" spans="22:23">
      <c r="V175" s="136" t="s">
        <v>5814</v>
      </c>
      <c r="W175" s="2" t="s">
        <v>5432</v>
      </c>
    </row>
    <row r="176" spans="22:23">
      <c r="V176" s="2" t="s">
        <v>5780</v>
      </c>
      <c r="W176" s="2" t="s">
        <v>5780</v>
      </c>
    </row>
    <row r="177" spans="22:23">
      <c r="V177" s="2" t="s">
        <v>5780</v>
      </c>
      <c r="W177" s="2" t="s">
        <v>392</v>
      </c>
    </row>
    <row r="178" spans="22:23">
      <c r="V178" s="136" t="s">
        <v>5771</v>
      </c>
      <c r="W178" s="2" t="s">
        <v>5805</v>
      </c>
    </row>
    <row r="179" spans="22:23">
      <c r="V179" s="2" t="s">
        <v>5771</v>
      </c>
      <c r="W179" s="2"/>
    </row>
    <row r="180" spans="22:23">
      <c r="V180" s="2" t="s">
        <v>5771</v>
      </c>
      <c r="W180" s="2"/>
    </row>
    <row r="181" spans="22:23">
      <c r="V181" s="2" t="s">
        <v>5780</v>
      </c>
      <c r="W181" s="2" t="s">
        <v>5780</v>
      </c>
    </row>
    <row r="182" spans="22:23">
      <c r="V182" s="2" t="s">
        <v>5714</v>
      </c>
      <c r="W182" s="2" t="s">
        <v>5424</v>
      </c>
    </row>
    <row r="183" spans="22:23">
      <c r="V183" s="2" t="s">
        <v>5714</v>
      </c>
      <c r="W183" s="2" t="s">
        <v>5424</v>
      </c>
    </row>
    <row r="184" spans="22:23">
      <c r="V184" s="2" t="s">
        <v>44</v>
      </c>
      <c r="W184" s="2" t="s">
        <v>5784</v>
      </c>
    </row>
    <row r="185" spans="22:23">
      <c r="V185" s="2" t="s">
        <v>5771</v>
      </c>
      <c r="W185" s="2" t="s">
        <v>4881</v>
      </c>
    </row>
    <row r="186" spans="22:23">
      <c r="V186" s="2" t="s">
        <v>45</v>
      </c>
      <c r="W186" s="2" t="s">
        <v>45</v>
      </c>
    </row>
    <row r="187" spans="22:23">
      <c r="V187" s="2" t="s">
        <v>5853</v>
      </c>
      <c r="W187" s="2" t="s">
        <v>5780</v>
      </c>
    </row>
    <row r="188" spans="22:23">
      <c r="V188" s="2" t="s">
        <v>5780</v>
      </c>
      <c r="W188" s="2" t="s">
        <v>5780</v>
      </c>
    </row>
    <row r="189" spans="22:23">
      <c r="V189" s="2" t="s">
        <v>5780</v>
      </c>
      <c r="W189" s="2" t="s">
        <v>5780</v>
      </c>
    </row>
    <row r="190" spans="22:23">
      <c r="V190" s="2" t="s">
        <v>5771</v>
      </c>
      <c r="W190" s="2" t="s">
        <v>392</v>
      </c>
    </row>
    <row r="191" spans="22:23">
      <c r="V191" s="2" t="s">
        <v>45</v>
      </c>
      <c r="W191" s="2" t="s">
        <v>45</v>
      </c>
    </row>
    <row r="192" spans="22:23">
      <c r="V192" s="137" t="s">
        <v>5714</v>
      </c>
      <c r="W192" s="137" t="s">
        <v>5434</v>
      </c>
    </row>
    <row r="193" spans="22:23">
      <c r="V193" s="136" t="s">
        <v>44</v>
      </c>
      <c r="W193" s="2" t="s">
        <v>5784</v>
      </c>
    </row>
    <row r="194" spans="22:23">
      <c r="V194" s="136" t="s">
        <v>5771</v>
      </c>
      <c r="W194" s="136" t="s">
        <v>25</v>
      </c>
    </row>
    <row r="195" spans="22:23">
      <c r="V195" s="136" t="s">
        <v>44</v>
      </c>
      <c r="W195" s="2" t="s">
        <v>5784</v>
      </c>
    </row>
    <row r="196" spans="22:23">
      <c r="V196" s="2" t="s">
        <v>5780</v>
      </c>
      <c r="W196" s="2" t="s">
        <v>232</v>
      </c>
    </row>
    <row r="197" spans="22:23">
      <c r="V197" s="2" t="s">
        <v>5780</v>
      </c>
      <c r="W197" s="2" t="s">
        <v>5780</v>
      </c>
    </row>
    <row r="198" spans="22:23">
      <c r="V198" s="2" t="s">
        <v>5771</v>
      </c>
      <c r="W198" s="136" t="s">
        <v>5431</v>
      </c>
    </row>
    <row r="199" spans="22:23">
      <c r="V199" s="2" t="s">
        <v>44</v>
      </c>
      <c r="W199" s="2" t="s">
        <v>392</v>
      </c>
    </row>
    <row r="200" spans="22:23">
      <c r="V200" s="136" t="s">
        <v>5771</v>
      </c>
      <c r="W200" s="136" t="s">
        <v>5431</v>
      </c>
    </row>
    <row r="201" spans="22:23">
      <c r="V201" s="2" t="s">
        <v>5771</v>
      </c>
      <c r="W201" s="136" t="s">
        <v>1030</v>
      </c>
    </row>
    <row r="202" spans="22:23">
      <c r="V202" s="136" t="s">
        <v>5771</v>
      </c>
      <c r="W202" s="136" t="s">
        <v>5786</v>
      </c>
    </row>
    <row r="203" spans="22:23">
      <c r="V203" s="136" t="s">
        <v>5714</v>
      </c>
      <c r="W203" s="136" t="s">
        <v>5424</v>
      </c>
    </row>
    <row r="204" spans="22:23">
      <c r="V204" s="136" t="s">
        <v>5714</v>
      </c>
      <c r="W204" s="136" t="s">
        <v>5424</v>
      </c>
    </row>
    <row r="205" spans="22:23">
      <c r="V205" s="136" t="s">
        <v>44</v>
      </c>
      <c r="W205" s="2" t="s">
        <v>5803</v>
      </c>
    </row>
    <row r="206" spans="22:23">
      <c r="V206" s="136" t="s">
        <v>44</v>
      </c>
      <c r="W206" s="2" t="s">
        <v>5803</v>
      </c>
    </row>
    <row r="207" spans="22:23">
      <c r="V207" s="2" t="s">
        <v>5780</v>
      </c>
      <c r="W207" s="2" t="s">
        <v>392</v>
      </c>
    </row>
    <row r="208" spans="22:23">
      <c r="V208" s="2" t="s">
        <v>5771</v>
      </c>
      <c r="W208" s="2" t="s">
        <v>5780</v>
      </c>
    </row>
    <row r="209" spans="22:23">
      <c r="V209" s="136" t="s">
        <v>44</v>
      </c>
      <c r="W209" s="2" t="s">
        <v>5803</v>
      </c>
    </row>
    <row r="210" spans="22:23">
      <c r="V210" s="2" t="s">
        <v>5778</v>
      </c>
      <c r="W210" s="136" t="s">
        <v>160</v>
      </c>
    </row>
    <row r="211" spans="22:23">
      <c r="V211" s="2" t="s">
        <v>5778</v>
      </c>
      <c r="W211" s="2" t="s">
        <v>27</v>
      </c>
    </row>
    <row r="212" spans="22:23">
      <c r="V212" s="2" t="s">
        <v>5778</v>
      </c>
      <c r="W212" s="2" t="s">
        <v>27</v>
      </c>
    </row>
    <row r="213" spans="22:23">
      <c r="V213" s="2" t="s">
        <v>5778</v>
      </c>
      <c r="W213" s="2" t="s">
        <v>27</v>
      </c>
    </row>
    <row r="214" spans="22:23">
      <c r="V214" s="2" t="s">
        <v>5714</v>
      </c>
      <c r="W214" s="2" t="s">
        <v>5424</v>
      </c>
    </row>
    <row r="215" spans="22:23">
      <c r="V215" s="2" t="s">
        <v>5780</v>
      </c>
      <c r="W215" s="2" t="s">
        <v>392</v>
      </c>
    </row>
    <row r="216" spans="22:23">
      <c r="V216" s="2" t="s">
        <v>44</v>
      </c>
      <c r="W216" s="2" t="s">
        <v>5784</v>
      </c>
    </row>
    <row r="217" spans="22:23">
      <c r="V217" s="136" t="s">
        <v>5771</v>
      </c>
      <c r="W217" s="2" t="s">
        <v>5432</v>
      </c>
    </row>
    <row r="218" spans="22:23">
      <c r="V218" s="2" t="s">
        <v>44</v>
      </c>
      <c r="W218" s="2" t="s">
        <v>5784</v>
      </c>
    </row>
    <row r="219" spans="22:23">
      <c r="V219" s="2" t="s">
        <v>5714</v>
      </c>
      <c r="W219" s="2" t="s">
        <v>5424</v>
      </c>
    </row>
    <row r="220" spans="22:23">
      <c r="V220" s="2" t="s">
        <v>44</v>
      </c>
      <c r="W220" s="2" t="s">
        <v>5784</v>
      </c>
    </row>
    <row r="221" spans="22:23">
      <c r="V221" s="2" t="s">
        <v>5771</v>
      </c>
      <c r="W221" s="17" t="s">
        <v>5863</v>
      </c>
    </row>
    <row r="222" spans="22:23">
      <c r="V222" s="2" t="s">
        <v>5771</v>
      </c>
      <c r="W222" s="17" t="s">
        <v>5863</v>
      </c>
    </row>
    <row r="223" spans="22:23">
      <c r="V223" s="2" t="s">
        <v>5771</v>
      </c>
      <c r="W223" s="17" t="s">
        <v>5863</v>
      </c>
    </row>
    <row r="224" spans="22:23">
      <c r="V224" s="2" t="s">
        <v>5771</v>
      </c>
      <c r="W224" s="17" t="s">
        <v>5863</v>
      </c>
    </row>
    <row r="225" spans="22:23">
      <c r="V225" s="136" t="s">
        <v>5771</v>
      </c>
      <c r="W225" s="2" t="s">
        <v>5434</v>
      </c>
    </row>
    <row r="226" spans="22:23">
      <c r="V226" s="136" t="s">
        <v>5771</v>
      </c>
      <c r="W226" s="2" t="s">
        <v>5434</v>
      </c>
    </row>
    <row r="227" spans="22:23">
      <c r="V227" s="2" t="s">
        <v>5780</v>
      </c>
      <c r="W227" s="2" t="s">
        <v>392</v>
      </c>
    </row>
    <row r="228" spans="22:23">
      <c r="V228" s="2" t="s">
        <v>5780</v>
      </c>
      <c r="W228" s="2" t="s">
        <v>5780</v>
      </c>
    </row>
    <row r="229" spans="22:23">
      <c r="V229" s="2" t="s">
        <v>44</v>
      </c>
      <c r="W229" s="2" t="s">
        <v>5803</v>
      </c>
    </row>
    <row r="230" spans="22:23">
      <c r="V230" s="2">
        <v>0</v>
      </c>
      <c r="W230" s="2" t="s">
        <v>5803</v>
      </c>
    </row>
    <row r="231" spans="22:23">
      <c r="V231" s="2">
        <v>0</v>
      </c>
      <c r="W231" s="2" t="s">
        <v>4881</v>
      </c>
    </row>
    <row r="232" spans="22:23">
      <c r="V232" s="71" t="s">
        <v>44</v>
      </c>
    </row>
    <row r="233" spans="22:23">
      <c r="V233" s="2" t="s">
        <v>44</v>
      </c>
      <c r="W233" s="2" t="s">
        <v>5803</v>
      </c>
    </row>
    <row r="234" spans="22:23">
      <c r="V234" s="2" t="s">
        <v>5771</v>
      </c>
      <c r="W234" t="s">
        <v>4881</v>
      </c>
    </row>
    <row r="235" spans="22:23">
      <c r="V235" s="2" t="s">
        <v>5814</v>
      </c>
      <c r="W235" s="2" t="s">
        <v>5771</v>
      </c>
    </row>
    <row r="236" spans="22:23">
      <c r="V236" s="2" t="s">
        <v>5771</v>
      </c>
      <c r="W236" s="2" t="s">
        <v>5784</v>
      </c>
    </row>
    <row r="237" spans="22:23">
      <c r="V237" s="2" t="s">
        <v>45</v>
      </c>
      <c r="W237" s="2" t="s">
        <v>45</v>
      </c>
    </row>
    <row r="238" spans="22:23">
      <c r="V238" s="136" t="s">
        <v>5771</v>
      </c>
      <c r="W238" s="2" t="s">
        <v>33</v>
      </c>
    </row>
    <row r="239" spans="22:23">
      <c r="V239" s="137" t="s">
        <v>5771</v>
      </c>
      <c r="W239" s="23"/>
    </row>
    <row r="240" spans="22:23">
      <c r="V240" s="2" t="s">
        <v>5771</v>
      </c>
      <c r="W240" s="2" t="s">
        <v>28</v>
      </c>
    </row>
    <row r="241" spans="22:23">
      <c r="V241" s="153" t="s">
        <v>5846</v>
      </c>
      <c r="W241" s="71" t="s">
        <v>5432</v>
      </c>
    </row>
    <row r="242" spans="22:23">
      <c r="V242" s="137" t="s">
        <v>5771</v>
      </c>
      <c r="W242" s="2" t="s">
        <v>5433</v>
      </c>
    </row>
    <row r="243" spans="22:23">
      <c r="V243" s="153" t="s">
        <v>5846</v>
      </c>
      <c r="W243" s="2" t="s">
        <v>5846</v>
      </c>
    </row>
    <row r="244" spans="22:23">
      <c r="V244" s="153" t="s">
        <v>5846</v>
      </c>
      <c r="W244" s="2" t="s">
        <v>5846</v>
      </c>
    </row>
    <row r="245" spans="22:23">
      <c r="V245" s="2" t="s">
        <v>5771</v>
      </c>
      <c r="W245" s="17" t="s">
        <v>5863</v>
      </c>
    </row>
    <row r="246" spans="22:23">
      <c r="V246" s="2" t="s">
        <v>5778</v>
      </c>
      <c r="W246" s="2" t="s">
        <v>27</v>
      </c>
    </row>
    <row r="247" spans="22:23">
      <c r="V247" s="153" t="s">
        <v>44</v>
      </c>
      <c r="W247" s="2" t="s">
        <v>5429</v>
      </c>
    </row>
    <row r="248" spans="22:23">
      <c r="V248" s="2" t="s">
        <v>5780</v>
      </c>
      <c r="W248" s="2" t="s">
        <v>25</v>
      </c>
    </row>
    <row r="249" spans="22:23">
      <c r="V249" s="2" t="s">
        <v>5780</v>
      </c>
      <c r="W249" s="2" t="s">
        <v>392</v>
      </c>
    </row>
    <row r="250" spans="22:23">
      <c r="V250" s="2" t="s">
        <v>5780</v>
      </c>
      <c r="W250" s="2" t="s">
        <v>392</v>
      </c>
    </row>
    <row r="251" spans="22:23">
      <c r="V251" s="2" t="s">
        <v>5780</v>
      </c>
      <c r="W251" s="2" t="s">
        <v>392</v>
      </c>
    </row>
    <row r="252" spans="22:23">
      <c r="V252" s="2" t="s">
        <v>5780</v>
      </c>
      <c r="W252" s="2" t="s">
        <v>28</v>
      </c>
    </row>
    <row r="253" spans="22:23">
      <c r="V253" s="137" t="s">
        <v>5771</v>
      </c>
      <c r="W253" s="2" t="s">
        <v>6311</v>
      </c>
    </row>
    <row r="254" spans="22:23">
      <c r="V254" s="137" t="s">
        <v>5771</v>
      </c>
      <c r="W254" s="2" t="s">
        <v>6311</v>
      </c>
    </row>
    <row r="255" spans="22:23">
      <c r="V255" s="137" t="s">
        <v>5771</v>
      </c>
      <c r="W255" s="2" t="s">
        <v>6311</v>
      </c>
    </row>
    <row r="256" spans="22:23">
      <c r="V256" s="137" t="s">
        <v>5771</v>
      </c>
      <c r="W256" s="2" t="s">
        <v>6311</v>
      </c>
    </row>
    <row r="257" spans="22:23">
      <c r="V257" s="137" t="s">
        <v>5771</v>
      </c>
      <c r="W257" s="2" t="s">
        <v>6311</v>
      </c>
    </row>
    <row r="258" spans="22:23">
      <c r="V258" s="137" t="s">
        <v>5771</v>
      </c>
      <c r="W258" s="2" t="s">
        <v>6311</v>
      </c>
    </row>
    <row r="259" spans="22:23">
      <c r="V259" s="137" t="s">
        <v>5771</v>
      </c>
      <c r="W259" s="2" t="s">
        <v>6311</v>
      </c>
    </row>
    <row r="260" spans="22:23">
      <c r="V260" s="137" t="s">
        <v>5771</v>
      </c>
      <c r="W260" s="2" t="s">
        <v>5772</v>
      </c>
    </row>
    <row r="261" spans="22:23">
      <c r="V261" s="137" t="s">
        <v>5771</v>
      </c>
      <c r="W261" s="2" t="s">
        <v>5772</v>
      </c>
    </row>
    <row r="262" spans="22:23">
      <c r="V262" s="137" t="s">
        <v>5771</v>
      </c>
      <c r="W262" s="2" t="s">
        <v>5772</v>
      </c>
    </row>
    <row r="263" spans="22:23">
      <c r="V263" s="137" t="s">
        <v>5771</v>
      </c>
      <c r="W263" s="2" t="s">
        <v>6311</v>
      </c>
    </row>
    <row r="264" spans="22:23">
      <c r="V264" s="156" t="s">
        <v>5771</v>
      </c>
      <c r="W264" s="156" t="s">
        <v>5771</v>
      </c>
    </row>
    <row r="265" spans="22:23">
      <c r="V265" s="156" t="s">
        <v>44</v>
      </c>
      <c r="W265" t="s">
        <v>5429</v>
      </c>
    </row>
    <row r="266" spans="22:23">
      <c r="V266" t="s">
        <v>5778</v>
      </c>
      <c r="W266" t="s">
        <v>5778</v>
      </c>
    </row>
    <row r="267" spans="22:23">
      <c r="V267" t="s">
        <v>5778</v>
      </c>
      <c r="W267" t="s">
        <v>5778</v>
      </c>
    </row>
    <row r="268" spans="22:23">
      <c r="V268" t="s">
        <v>5685</v>
      </c>
      <c r="W268" t="s">
        <v>5685</v>
      </c>
    </row>
    <row r="269" spans="22:23">
      <c r="V269" t="s">
        <v>5771</v>
      </c>
      <c r="W269" t="s">
        <v>5771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A1F2-CE17-4A30-A402-C6363C24686E}">
  <sheetPr codeName="Sheet12"/>
  <dimension ref="A1:F56"/>
  <sheetViews>
    <sheetView workbookViewId="0">
      <selection activeCell="D10" sqref="D10"/>
    </sheetView>
  </sheetViews>
  <sheetFormatPr defaultRowHeight="15"/>
  <cols>
    <col min="1" max="1" width="35" bestFit="1" customWidth="1"/>
    <col min="2" max="2" width="12" bestFit="1" customWidth="1"/>
    <col min="3" max="3" width="17.5703125" bestFit="1" customWidth="1"/>
    <col min="4" max="4" width="29.28515625" customWidth="1"/>
    <col min="5" max="5" width="20.7109375" bestFit="1" customWidth="1"/>
    <col min="6" max="6" width="25.28515625" bestFit="1" customWidth="1"/>
  </cols>
  <sheetData>
    <row r="1" spans="1:6" ht="15.75" thickBot="1">
      <c r="A1" s="104" t="s">
        <v>5501</v>
      </c>
      <c r="B1" s="105" t="s">
        <v>5768</v>
      </c>
      <c r="C1" s="105" t="s">
        <v>5765</v>
      </c>
      <c r="D1" s="105" t="s">
        <v>6320</v>
      </c>
      <c r="E1" s="105" t="s">
        <v>6321</v>
      </c>
      <c r="F1" s="106" t="s">
        <v>6322</v>
      </c>
    </row>
    <row r="2" spans="1:6" ht="15.75" thickBot="1">
      <c r="A2" s="112" t="s">
        <v>5897</v>
      </c>
      <c r="B2" s="107" t="s">
        <v>5802</v>
      </c>
      <c r="C2" s="107" t="s">
        <v>5418</v>
      </c>
      <c r="D2" s="107" t="s">
        <v>6323</v>
      </c>
      <c r="E2" s="107" t="s">
        <v>5806</v>
      </c>
      <c r="F2" s="107" t="s">
        <v>6324</v>
      </c>
    </row>
    <row r="3" spans="1:6" ht="15.75" thickBot="1">
      <c r="A3" s="110" t="s">
        <v>1831</v>
      </c>
      <c r="B3" s="109" t="s">
        <v>5875</v>
      </c>
      <c r="C3" s="109" t="s">
        <v>5437</v>
      </c>
      <c r="D3" s="109" t="s">
        <v>6325</v>
      </c>
      <c r="E3" s="109" t="s">
        <v>5437</v>
      </c>
      <c r="F3" s="109" t="s">
        <v>6326</v>
      </c>
    </row>
    <row r="4" spans="1:6" ht="15.75" thickBot="1">
      <c r="A4" s="110" t="s">
        <v>5560</v>
      </c>
      <c r="B4" s="109" t="s">
        <v>5875</v>
      </c>
      <c r="C4" s="109" t="s">
        <v>5437</v>
      </c>
      <c r="D4" s="109" t="s">
        <v>6325</v>
      </c>
      <c r="E4" s="109" t="s">
        <v>5437</v>
      </c>
      <c r="F4" s="109" t="s">
        <v>6326</v>
      </c>
    </row>
    <row r="5" spans="1:6" ht="15.75" thickBot="1">
      <c r="A5" s="110" t="s">
        <v>4643</v>
      </c>
      <c r="B5" s="109" t="s">
        <v>5875</v>
      </c>
      <c r="C5" s="109" t="s">
        <v>44</v>
      </c>
      <c r="D5" s="109" t="s">
        <v>6327</v>
      </c>
      <c r="E5" s="109" t="s">
        <v>5426</v>
      </c>
      <c r="F5" s="109" t="s">
        <v>1983</v>
      </c>
    </row>
    <row r="6" spans="1:6" ht="15.75" thickBot="1">
      <c r="A6" s="110" t="s">
        <v>5176</v>
      </c>
      <c r="B6" s="109" t="s">
        <v>5875</v>
      </c>
      <c r="C6" s="109" t="s">
        <v>44</v>
      </c>
      <c r="D6" s="109" t="s">
        <v>6327</v>
      </c>
      <c r="E6" s="109" t="s">
        <v>5426</v>
      </c>
      <c r="F6" s="109" t="s">
        <v>1983</v>
      </c>
    </row>
    <row r="7" spans="1:6" ht="15.75" thickBot="1">
      <c r="A7" s="110" t="s">
        <v>1414</v>
      </c>
      <c r="B7" s="109" t="s">
        <v>5875</v>
      </c>
      <c r="C7" s="109" t="s">
        <v>44</v>
      </c>
      <c r="D7" s="109" t="s">
        <v>6325</v>
      </c>
      <c r="E7" s="109" t="s">
        <v>5428</v>
      </c>
      <c r="F7" s="109" t="s">
        <v>6326</v>
      </c>
    </row>
    <row r="8" spans="1:6" ht="15.75" thickBot="1">
      <c r="A8" s="110" t="s">
        <v>5613</v>
      </c>
      <c r="B8" s="109" t="s">
        <v>5875</v>
      </c>
      <c r="C8" s="109" t="s">
        <v>5773</v>
      </c>
      <c r="D8" s="109" t="s">
        <v>6325</v>
      </c>
      <c r="E8" s="109" t="s">
        <v>5432</v>
      </c>
      <c r="F8" s="109" t="s">
        <v>6328</v>
      </c>
    </row>
    <row r="9" spans="1:6" ht="15.75" thickBot="1">
      <c r="A9" s="110" t="s">
        <v>5809</v>
      </c>
      <c r="B9" s="109" t="s">
        <v>5802</v>
      </c>
      <c r="C9" s="109" t="s">
        <v>5773</v>
      </c>
      <c r="D9" s="109" t="s">
        <v>6325</v>
      </c>
      <c r="E9" s="109" t="s">
        <v>5432</v>
      </c>
      <c r="F9" s="109" t="s">
        <v>6329</v>
      </c>
    </row>
    <row r="10" spans="1:6" ht="15.75" thickBot="1">
      <c r="A10" s="110" t="s">
        <v>5810</v>
      </c>
      <c r="B10" s="109" t="s">
        <v>5802</v>
      </c>
      <c r="C10" s="109" t="s">
        <v>5773</v>
      </c>
      <c r="D10" s="109" t="s">
        <v>6325</v>
      </c>
      <c r="E10" s="109" t="s">
        <v>5432</v>
      </c>
      <c r="F10" s="109" t="s">
        <v>6329</v>
      </c>
    </row>
    <row r="11" spans="1:6" ht="15.75" thickBot="1">
      <c r="A11" s="110" t="s">
        <v>5811</v>
      </c>
      <c r="B11" s="109" t="s">
        <v>5802</v>
      </c>
      <c r="C11" s="109" t="s">
        <v>5773</v>
      </c>
      <c r="D11" s="109" t="s">
        <v>6325</v>
      </c>
      <c r="E11" s="109" t="s">
        <v>5432</v>
      </c>
      <c r="F11" s="109" t="s">
        <v>6330</v>
      </c>
    </row>
    <row r="12" spans="1:6" ht="15.75" thickBot="1">
      <c r="A12" s="110" t="s">
        <v>1096</v>
      </c>
      <c r="B12" s="109" t="s">
        <v>5875</v>
      </c>
      <c r="C12" s="109" t="s">
        <v>238</v>
      </c>
      <c r="D12" s="109" t="s">
        <v>6323</v>
      </c>
      <c r="E12" s="109" t="s">
        <v>25</v>
      </c>
      <c r="F12" s="109" t="s">
        <v>683</v>
      </c>
    </row>
    <row r="13" spans="1:6" ht="15.75" thickBot="1">
      <c r="A13" s="110" t="s">
        <v>1357</v>
      </c>
      <c r="B13" s="109" t="s">
        <v>5875</v>
      </c>
      <c r="C13" s="109" t="s">
        <v>238</v>
      </c>
      <c r="D13" s="109" t="s">
        <v>6323</v>
      </c>
      <c r="E13" s="109" t="s">
        <v>25</v>
      </c>
      <c r="F13" s="109" t="s">
        <v>683</v>
      </c>
    </row>
    <row r="14" spans="1:6" ht="15.75" thickBot="1">
      <c r="A14" s="110" t="s">
        <v>5852</v>
      </c>
      <c r="B14" s="109" t="s">
        <v>5875</v>
      </c>
      <c r="C14" s="109" t="s">
        <v>5437</v>
      </c>
      <c r="D14" s="109" t="s">
        <v>6325</v>
      </c>
      <c r="E14" s="109" t="s">
        <v>25</v>
      </c>
      <c r="F14" s="109" t="s">
        <v>6326</v>
      </c>
    </row>
    <row r="15" spans="1:6" ht="15.75" thickBot="1">
      <c r="A15" s="110" t="s">
        <v>5518</v>
      </c>
      <c r="B15" s="109" t="s">
        <v>5875</v>
      </c>
      <c r="C15" s="109" t="s">
        <v>5437</v>
      </c>
      <c r="D15" s="109" t="s">
        <v>6325</v>
      </c>
      <c r="E15" s="109" t="s">
        <v>25</v>
      </c>
      <c r="F15" s="109" t="s">
        <v>6326</v>
      </c>
    </row>
    <row r="16" spans="1:6" ht="15.75" thickBot="1">
      <c r="A16" s="110" t="s">
        <v>218</v>
      </c>
      <c r="B16" s="109" t="s">
        <v>5875</v>
      </c>
      <c r="C16" s="109" t="s">
        <v>238</v>
      </c>
      <c r="D16" s="109" t="s">
        <v>6323</v>
      </c>
      <c r="E16" s="109" t="s">
        <v>25</v>
      </c>
      <c r="F16" s="109" t="s">
        <v>683</v>
      </c>
    </row>
    <row r="17" spans="1:6" ht="15.75" thickBot="1">
      <c r="A17" s="110" t="s">
        <v>5764</v>
      </c>
      <c r="B17" s="109" t="s">
        <v>5781</v>
      </c>
      <c r="C17" s="109" t="s">
        <v>5437</v>
      </c>
      <c r="D17" s="109" t="s">
        <v>6325</v>
      </c>
      <c r="E17" s="109" t="s">
        <v>25</v>
      </c>
      <c r="F17" s="109" t="s">
        <v>6326</v>
      </c>
    </row>
    <row r="18" spans="1:6" ht="15.75" thickBot="1">
      <c r="A18" s="110" t="s">
        <v>193</v>
      </c>
      <c r="B18" s="109" t="s">
        <v>5781</v>
      </c>
      <c r="C18" s="109" t="s">
        <v>5494</v>
      </c>
      <c r="D18" s="109"/>
      <c r="E18" s="109" t="s">
        <v>27</v>
      </c>
      <c r="F18" s="109" t="s">
        <v>160</v>
      </c>
    </row>
    <row r="19" spans="1:6" ht="15.75" thickBot="1">
      <c r="A19" s="110" t="s">
        <v>163</v>
      </c>
      <c r="B19" s="109" t="s">
        <v>5781</v>
      </c>
      <c r="C19" s="109" t="s">
        <v>5494</v>
      </c>
      <c r="D19" s="109"/>
      <c r="E19" s="109" t="s">
        <v>27</v>
      </c>
      <c r="F19" s="109" t="s">
        <v>160</v>
      </c>
    </row>
    <row r="20" spans="1:6" ht="15.75" thickBot="1">
      <c r="A20" s="108" t="s">
        <v>1890</v>
      </c>
      <c r="B20" s="109" t="s">
        <v>5875</v>
      </c>
      <c r="C20" s="109" t="s">
        <v>238</v>
      </c>
      <c r="D20" s="109" t="s">
        <v>6323</v>
      </c>
      <c r="E20" s="109" t="s">
        <v>5421</v>
      </c>
      <c r="F20" s="109" t="s">
        <v>5465</v>
      </c>
    </row>
    <row r="21" spans="1:6" ht="15.75" thickBot="1">
      <c r="A21" s="110" t="s">
        <v>834</v>
      </c>
      <c r="B21" s="109" t="s">
        <v>5875</v>
      </c>
      <c r="C21" s="109" t="s">
        <v>238</v>
      </c>
      <c r="D21" s="109" t="s">
        <v>6323</v>
      </c>
      <c r="E21" s="109" t="s">
        <v>5421</v>
      </c>
      <c r="F21" s="109" t="s">
        <v>28</v>
      </c>
    </row>
    <row r="22" spans="1:6" ht="15.75" thickBot="1">
      <c r="A22" s="110" t="s">
        <v>5510</v>
      </c>
      <c r="B22" s="109" t="s">
        <v>5802</v>
      </c>
      <c r="C22" s="109" t="s">
        <v>238</v>
      </c>
      <c r="D22" s="109" t="s">
        <v>6323</v>
      </c>
      <c r="E22" s="109" t="s">
        <v>5421</v>
      </c>
      <c r="F22" s="109" t="s">
        <v>5454</v>
      </c>
    </row>
    <row r="23" spans="1:6" ht="15.75" thickBot="1">
      <c r="A23" s="110" t="s">
        <v>5524</v>
      </c>
      <c r="B23" s="109" t="s">
        <v>5802</v>
      </c>
      <c r="C23" s="109" t="s">
        <v>5773</v>
      </c>
      <c r="D23" s="109" t="s">
        <v>6325</v>
      </c>
      <c r="E23" s="109" t="s">
        <v>5431</v>
      </c>
      <c r="F23" s="109" t="s">
        <v>6330</v>
      </c>
    </row>
    <row r="24" spans="1:6" ht="15.75" thickBot="1">
      <c r="A24" s="110" t="s">
        <v>5749</v>
      </c>
      <c r="B24" s="109" t="s">
        <v>5802</v>
      </c>
      <c r="C24" s="109" t="s">
        <v>5773</v>
      </c>
      <c r="D24" s="109" t="s">
        <v>6325</v>
      </c>
      <c r="E24" s="109" t="s">
        <v>5431</v>
      </c>
      <c r="F24" s="109" t="s">
        <v>6330</v>
      </c>
    </row>
    <row r="25" spans="1:6" ht="15.75" thickBot="1">
      <c r="A25" s="108" t="s">
        <v>5708</v>
      </c>
      <c r="B25" s="109" t="s">
        <v>5878</v>
      </c>
      <c r="C25" s="109" t="s">
        <v>44</v>
      </c>
      <c r="D25" s="109" t="s">
        <v>6327</v>
      </c>
      <c r="E25" s="109" t="s">
        <v>45</v>
      </c>
      <c r="F25" s="109" t="s">
        <v>6331</v>
      </c>
    </row>
    <row r="26" spans="1:6" ht="15.75" thickBot="1">
      <c r="A26" s="108" t="s">
        <v>189</v>
      </c>
      <c r="B26" s="109" t="s">
        <v>5878</v>
      </c>
      <c r="C26" s="109" t="s">
        <v>44</v>
      </c>
      <c r="D26" s="109" t="s">
        <v>6327</v>
      </c>
      <c r="E26" s="109" t="s">
        <v>45</v>
      </c>
      <c r="F26" s="109" t="s">
        <v>6331</v>
      </c>
    </row>
    <row r="27" spans="1:6" ht="15.75" thickBot="1">
      <c r="A27" s="108" t="s">
        <v>714</v>
      </c>
      <c r="B27" s="109" t="s">
        <v>5878</v>
      </c>
      <c r="C27" s="109" t="s">
        <v>44</v>
      </c>
      <c r="D27" s="109" t="s">
        <v>6327</v>
      </c>
      <c r="E27" s="109" t="s">
        <v>45</v>
      </c>
      <c r="F27" s="109" t="s">
        <v>6331</v>
      </c>
    </row>
    <row r="28" spans="1:6" ht="15.75" thickBot="1">
      <c r="A28" s="110" t="s">
        <v>1740</v>
      </c>
      <c r="B28" s="109" t="s">
        <v>5875</v>
      </c>
      <c r="C28" s="109" t="s">
        <v>44</v>
      </c>
      <c r="D28" s="109" t="s">
        <v>6327</v>
      </c>
      <c r="E28" s="109" t="s">
        <v>45</v>
      </c>
      <c r="F28" s="109" t="s">
        <v>6331</v>
      </c>
    </row>
    <row r="29" spans="1:6" ht="15.75" thickBot="1">
      <c r="A29" s="110" t="s">
        <v>182</v>
      </c>
      <c r="B29" s="109" t="s">
        <v>5875</v>
      </c>
      <c r="C29" s="109" t="s">
        <v>44</v>
      </c>
      <c r="D29" s="109" t="s">
        <v>6327</v>
      </c>
      <c r="E29" s="109" t="s">
        <v>45</v>
      </c>
      <c r="F29" s="109" t="s">
        <v>6331</v>
      </c>
    </row>
    <row r="30" spans="1:6" ht="15.75" thickBot="1">
      <c r="A30" s="110" t="s">
        <v>2077</v>
      </c>
      <c r="B30" s="109" t="s">
        <v>5875</v>
      </c>
      <c r="C30" s="109" t="s">
        <v>44</v>
      </c>
      <c r="D30" s="109" t="s">
        <v>6327</v>
      </c>
      <c r="E30" s="109" t="s">
        <v>45</v>
      </c>
      <c r="F30" s="109" t="s">
        <v>6331</v>
      </c>
    </row>
    <row r="31" spans="1:6" ht="15.75" thickBot="1">
      <c r="A31" s="110" t="s">
        <v>360</v>
      </c>
      <c r="B31" s="109" t="s">
        <v>5781</v>
      </c>
      <c r="C31" s="109" t="s">
        <v>44</v>
      </c>
      <c r="D31" s="109" t="s">
        <v>6327</v>
      </c>
      <c r="E31" s="109" t="s">
        <v>45</v>
      </c>
      <c r="F31" s="109" t="s">
        <v>6331</v>
      </c>
    </row>
    <row r="32" spans="1:6" ht="15.75" thickBot="1">
      <c r="A32" s="108" t="s">
        <v>5762</v>
      </c>
      <c r="B32" s="109" t="s">
        <v>5878</v>
      </c>
      <c r="C32" s="109" t="s">
        <v>44</v>
      </c>
      <c r="D32" s="109" t="s">
        <v>6325</v>
      </c>
      <c r="E32" s="109" t="s">
        <v>5427</v>
      </c>
      <c r="F32" s="109" t="s">
        <v>1983</v>
      </c>
    </row>
    <row r="33" spans="1:6" ht="15.75" thickBot="1">
      <c r="A33" s="110" t="s">
        <v>5880</v>
      </c>
      <c r="B33" s="109" t="s">
        <v>5875</v>
      </c>
      <c r="C33" s="109" t="s">
        <v>44</v>
      </c>
      <c r="D33" s="109" t="s">
        <v>6325</v>
      </c>
      <c r="E33" s="109" t="s">
        <v>5427</v>
      </c>
      <c r="F33" s="109" t="s">
        <v>6326</v>
      </c>
    </row>
    <row r="34" spans="1:6" ht="15.75" thickBot="1">
      <c r="A34" s="110" t="s">
        <v>227</v>
      </c>
      <c r="B34" s="109" t="s">
        <v>5802</v>
      </c>
      <c r="C34" s="109" t="s">
        <v>5418</v>
      </c>
      <c r="D34" s="109" t="s">
        <v>6323</v>
      </c>
      <c r="E34" s="109" t="s">
        <v>232</v>
      </c>
      <c r="F34" s="109" t="s">
        <v>5832</v>
      </c>
    </row>
    <row r="35" spans="1:6" ht="15.75" thickBot="1">
      <c r="A35" s="110" t="s">
        <v>5549</v>
      </c>
      <c r="B35" s="109" t="s">
        <v>5802</v>
      </c>
      <c r="C35" s="109" t="s">
        <v>5418</v>
      </c>
      <c r="D35" s="109" t="s">
        <v>6323</v>
      </c>
      <c r="E35" s="109" t="s">
        <v>232</v>
      </c>
      <c r="F35" s="109" t="s">
        <v>5832</v>
      </c>
    </row>
    <row r="36" spans="1:6" ht="15.75" thickBot="1">
      <c r="A36" s="110" t="s">
        <v>5758</v>
      </c>
      <c r="B36" s="109" t="s">
        <v>5802</v>
      </c>
      <c r="C36" s="109" t="s">
        <v>5418</v>
      </c>
      <c r="D36" s="109" t="s">
        <v>6323</v>
      </c>
      <c r="E36" s="109" t="s">
        <v>232</v>
      </c>
      <c r="F36" s="109" t="s">
        <v>5832</v>
      </c>
    </row>
    <row r="37" spans="1:6" ht="15.75" thickBot="1">
      <c r="A37" s="110" t="s">
        <v>744</v>
      </c>
      <c r="B37" s="109" t="s">
        <v>5878</v>
      </c>
      <c r="C37" s="109" t="s">
        <v>5773</v>
      </c>
      <c r="D37" s="109" t="s">
        <v>6332</v>
      </c>
      <c r="E37" s="109" t="s">
        <v>5433</v>
      </c>
      <c r="F37" s="109" t="s">
        <v>5473</v>
      </c>
    </row>
    <row r="38" spans="1:6" ht="15.75" thickBot="1">
      <c r="A38" s="110" t="s">
        <v>859</v>
      </c>
      <c r="B38" s="109" t="s">
        <v>5878</v>
      </c>
      <c r="C38" s="109" t="s">
        <v>5773</v>
      </c>
      <c r="D38" s="109" t="s">
        <v>6332</v>
      </c>
      <c r="E38" s="109" t="s">
        <v>5433</v>
      </c>
      <c r="F38" s="109" t="s">
        <v>5473</v>
      </c>
    </row>
    <row r="39" spans="1:6" ht="15.75" thickBot="1">
      <c r="A39" s="108" t="s">
        <v>5521</v>
      </c>
      <c r="B39" s="109" t="s">
        <v>5878</v>
      </c>
      <c r="C39" s="109" t="s">
        <v>238</v>
      </c>
      <c r="D39" s="109" t="s">
        <v>6323</v>
      </c>
      <c r="E39" s="109" t="s">
        <v>33</v>
      </c>
      <c r="F39" s="109" t="s">
        <v>683</v>
      </c>
    </row>
    <row r="40" spans="1:6" ht="15.75" thickBot="1">
      <c r="A40" s="110" t="s">
        <v>458</v>
      </c>
      <c r="B40" s="109" t="s">
        <v>5875</v>
      </c>
      <c r="C40" s="109" t="s">
        <v>238</v>
      </c>
      <c r="D40" s="109" t="s">
        <v>6323</v>
      </c>
      <c r="E40" s="109" t="s">
        <v>33</v>
      </c>
      <c r="F40" s="109" t="s">
        <v>683</v>
      </c>
    </row>
    <row r="41" spans="1:6" ht="15.75" thickBot="1">
      <c r="A41" s="108" t="s">
        <v>5356</v>
      </c>
      <c r="B41" s="109" t="s">
        <v>5878</v>
      </c>
      <c r="C41" s="109" t="s">
        <v>44</v>
      </c>
      <c r="D41" s="109" t="s">
        <v>6327</v>
      </c>
      <c r="E41" s="109" t="s">
        <v>48</v>
      </c>
      <c r="F41" s="109" t="s">
        <v>1983</v>
      </c>
    </row>
    <row r="42" spans="1:6" ht="15.75" thickBot="1">
      <c r="A42" s="108" t="s">
        <v>5743</v>
      </c>
      <c r="B42" s="109" t="s">
        <v>5878</v>
      </c>
      <c r="C42" s="109" t="s">
        <v>44</v>
      </c>
      <c r="D42" s="109" t="s">
        <v>6327</v>
      </c>
      <c r="E42" s="109" t="s">
        <v>48</v>
      </c>
      <c r="F42" s="109" t="s">
        <v>1983</v>
      </c>
    </row>
    <row r="43" spans="1:6" ht="15.75" thickBot="1">
      <c r="A43" s="108" t="s">
        <v>884</v>
      </c>
      <c r="B43" s="109" t="s">
        <v>5878</v>
      </c>
      <c r="C43" s="109" t="s">
        <v>44</v>
      </c>
      <c r="D43" s="109" t="s">
        <v>6327</v>
      </c>
      <c r="E43" s="109" t="s">
        <v>48</v>
      </c>
      <c r="F43" s="109" t="s">
        <v>1983</v>
      </c>
    </row>
    <row r="44" spans="1:6" ht="15.75" thickBot="1">
      <c r="A44" s="110" t="s">
        <v>5692</v>
      </c>
      <c r="B44" s="109" t="s">
        <v>5875</v>
      </c>
      <c r="C44" s="109" t="s">
        <v>44</v>
      </c>
      <c r="D44" s="109" t="s">
        <v>6327</v>
      </c>
      <c r="E44" s="109" t="s">
        <v>48</v>
      </c>
      <c r="F44" s="109" t="s">
        <v>1983</v>
      </c>
    </row>
    <row r="45" spans="1:6" ht="15.75" thickBot="1">
      <c r="A45" s="110" t="s">
        <v>300</v>
      </c>
      <c r="B45" s="109" t="s">
        <v>5875</v>
      </c>
      <c r="C45" s="109" t="s">
        <v>44</v>
      </c>
      <c r="D45" s="109" t="s">
        <v>6327</v>
      </c>
      <c r="E45" s="109" t="s">
        <v>48</v>
      </c>
      <c r="F45" s="109" t="s">
        <v>1983</v>
      </c>
    </row>
    <row r="46" spans="1:6" ht="15.75" thickBot="1">
      <c r="A46" s="110" t="s">
        <v>5571</v>
      </c>
      <c r="B46" s="109" t="s">
        <v>5875</v>
      </c>
      <c r="C46" s="109" t="s">
        <v>44</v>
      </c>
      <c r="D46" s="109" t="s">
        <v>6327</v>
      </c>
      <c r="E46" s="109" t="s">
        <v>48</v>
      </c>
      <c r="F46" s="109" t="s">
        <v>1983</v>
      </c>
    </row>
    <row r="47" spans="1:6" ht="15.75" thickBot="1">
      <c r="A47" s="110" t="s">
        <v>5701</v>
      </c>
      <c r="B47" s="109" t="s">
        <v>5802</v>
      </c>
      <c r="C47" s="109" t="s">
        <v>5773</v>
      </c>
      <c r="D47" s="109" t="s">
        <v>6325</v>
      </c>
      <c r="E47" s="109" t="s">
        <v>5434</v>
      </c>
      <c r="F47" s="109" t="s">
        <v>6330</v>
      </c>
    </row>
    <row r="48" spans="1:6" ht="15.75" thickBot="1">
      <c r="A48" s="110" t="s">
        <v>5840</v>
      </c>
      <c r="B48" s="109" t="s">
        <v>5875</v>
      </c>
      <c r="C48" s="109" t="s">
        <v>44</v>
      </c>
      <c r="D48" s="109" t="s">
        <v>6325</v>
      </c>
      <c r="E48" s="109" t="s">
        <v>5429</v>
      </c>
      <c r="F48" s="109" t="s">
        <v>6326</v>
      </c>
    </row>
    <row r="49" spans="1:6" ht="15.75" thickBot="1">
      <c r="A49" s="110" t="s">
        <v>5542</v>
      </c>
      <c r="B49" s="109" t="s">
        <v>5802</v>
      </c>
      <c r="C49" s="109" t="s">
        <v>5418</v>
      </c>
      <c r="D49" s="109" t="s">
        <v>6323</v>
      </c>
      <c r="E49" s="109" t="s">
        <v>4881</v>
      </c>
      <c r="F49" s="109" t="s">
        <v>5856</v>
      </c>
    </row>
    <row r="50" spans="1:6" ht="15.75" thickBot="1">
      <c r="A50" s="110" t="s">
        <v>5855</v>
      </c>
      <c r="B50" s="109" t="s">
        <v>5802</v>
      </c>
      <c r="C50" s="109" t="s">
        <v>5418</v>
      </c>
      <c r="D50" s="109" t="s">
        <v>6323</v>
      </c>
      <c r="E50" s="109" t="s">
        <v>4881</v>
      </c>
      <c r="F50" s="109" t="s">
        <v>5856</v>
      </c>
    </row>
    <row r="51" spans="1:6" ht="15.75" thickBot="1">
      <c r="A51" s="110" t="s">
        <v>5572</v>
      </c>
      <c r="B51" s="109" t="s">
        <v>5802</v>
      </c>
      <c r="C51" s="109" t="s">
        <v>5418</v>
      </c>
      <c r="D51" s="109" t="s">
        <v>6323</v>
      </c>
      <c r="E51" s="109" t="s">
        <v>4881</v>
      </c>
      <c r="F51" s="109" t="s">
        <v>6324</v>
      </c>
    </row>
    <row r="52" spans="1:6" ht="15.75" thickBot="1">
      <c r="A52" s="110" t="s">
        <v>6333</v>
      </c>
      <c r="B52" s="109" t="s">
        <v>5802</v>
      </c>
      <c r="C52" s="109" t="s">
        <v>5418</v>
      </c>
      <c r="D52" s="109" t="s">
        <v>6323</v>
      </c>
      <c r="E52" s="109" t="s">
        <v>4881</v>
      </c>
      <c r="F52" s="109" t="s">
        <v>6324</v>
      </c>
    </row>
    <row r="53" spans="1:6" ht="15.75" thickBot="1">
      <c r="A53" s="110" t="s">
        <v>5694</v>
      </c>
      <c r="B53" s="109" t="s">
        <v>5802</v>
      </c>
      <c r="C53" s="109" t="s">
        <v>5418</v>
      </c>
      <c r="D53" s="109" t="s">
        <v>6323</v>
      </c>
      <c r="E53" s="109" t="s">
        <v>4881</v>
      </c>
      <c r="F53" s="109" t="s">
        <v>2380</v>
      </c>
    </row>
    <row r="54" spans="1:6" ht="15.75" thickBot="1">
      <c r="A54" s="110" t="s">
        <v>308</v>
      </c>
      <c r="B54" s="109" t="s">
        <v>5875</v>
      </c>
      <c r="C54" s="109" t="s">
        <v>5494</v>
      </c>
      <c r="D54" s="109" t="s">
        <v>6323</v>
      </c>
      <c r="E54" s="109" t="s">
        <v>118</v>
      </c>
      <c r="F54" s="109" t="s">
        <v>118</v>
      </c>
    </row>
    <row r="55" spans="1:6" ht="15.75" thickBot="1">
      <c r="A55" s="110" t="s">
        <v>5742</v>
      </c>
      <c r="B55" s="109" t="s">
        <v>5802</v>
      </c>
      <c r="C55" s="109" t="s">
        <v>5418</v>
      </c>
      <c r="D55" s="109" t="s">
        <v>6323</v>
      </c>
      <c r="E55" s="109" t="s">
        <v>1030</v>
      </c>
      <c r="F55" s="109" t="s">
        <v>6324</v>
      </c>
    </row>
    <row r="56" spans="1:6" ht="15.75" thickBot="1">
      <c r="A56" s="103" t="s">
        <v>3381</v>
      </c>
      <c r="B56" s="111" t="s">
        <v>5781</v>
      </c>
      <c r="C56" s="109" t="s">
        <v>5418</v>
      </c>
      <c r="D56" s="109" t="s">
        <v>6323</v>
      </c>
      <c r="E56" s="109" t="s">
        <v>5418</v>
      </c>
      <c r="F56" s="109" t="s">
        <v>5832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E07E-1DED-4B89-8A4E-DCCBF7CA9F0A}">
  <sheetPr codeName="Sheet15"/>
  <dimension ref="A1:K9"/>
  <sheetViews>
    <sheetView workbookViewId="0">
      <selection activeCell="D6" sqref="D6"/>
    </sheetView>
  </sheetViews>
  <sheetFormatPr defaultRowHeight="15"/>
  <cols>
    <col min="1" max="1" width="40" customWidth="1"/>
    <col min="4" max="4" width="10.5703125" customWidth="1"/>
    <col min="5" max="5" width="10.7109375" customWidth="1"/>
    <col min="6" max="6" width="20.42578125" customWidth="1"/>
    <col min="11" max="11" width="9.42578125" bestFit="1" customWidth="1"/>
  </cols>
  <sheetData>
    <row r="1" spans="1:11">
      <c r="A1" s="141" t="s">
        <v>5906</v>
      </c>
      <c r="B1" s="141" t="s">
        <v>5908</v>
      </c>
      <c r="C1" s="141" t="s">
        <v>5909</v>
      </c>
      <c r="D1" s="141" t="s">
        <v>5911</v>
      </c>
      <c r="E1" s="141" t="s">
        <v>5911</v>
      </c>
      <c r="F1" s="141" t="s">
        <v>5912</v>
      </c>
      <c r="G1" s="141" t="s">
        <v>5913</v>
      </c>
    </row>
    <row r="2" spans="1:11">
      <c r="A2" s="117" t="s">
        <v>5418</v>
      </c>
      <c r="B2" s="14" t="s">
        <v>20</v>
      </c>
      <c r="C2" s="42" t="s">
        <v>5621</v>
      </c>
      <c r="D2" s="42" t="s">
        <v>6334</v>
      </c>
      <c r="E2" s="115" t="s">
        <v>6334</v>
      </c>
      <c r="F2" s="116">
        <v>45551</v>
      </c>
      <c r="G2" s="42" t="s">
        <v>5918</v>
      </c>
    </row>
    <row r="3" spans="1:11">
      <c r="A3" s="148" t="s">
        <v>27</v>
      </c>
      <c r="B3" s="149" t="s">
        <v>20</v>
      </c>
      <c r="C3" s="149" t="s">
        <v>5649</v>
      </c>
      <c r="D3" s="149" t="s">
        <v>6335</v>
      </c>
      <c r="E3" s="150" t="s">
        <v>6335</v>
      </c>
      <c r="F3" s="151">
        <v>42751</v>
      </c>
      <c r="G3" s="149" t="s">
        <v>5918</v>
      </c>
    </row>
    <row r="4" spans="1:11">
      <c r="A4" s="23" t="s">
        <v>5883</v>
      </c>
      <c r="B4" s="14" t="s">
        <v>20</v>
      </c>
      <c r="C4" s="54" t="s">
        <v>5621</v>
      </c>
      <c r="D4" s="42" t="s">
        <v>6310</v>
      </c>
      <c r="E4" s="42" t="s">
        <v>6310</v>
      </c>
      <c r="F4" s="116">
        <v>46332</v>
      </c>
      <c r="G4" s="54" t="s">
        <v>5918</v>
      </c>
    </row>
    <row r="5" spans="1:11" ht="14.25" customHeight="1">
      <c r="A5" s="2" t="s">
        <v>6336</v>
      </c>
      <c r="B5" s="14" t="s">
        <v>20</v>
      </c>
      <c r="C5" s="54" t="s">
        <v>5621</v>
      </c>
      <c r="D5" s="152" t="s">
        <v>6337</v>
      </c>
      <c r="E5" s="152" t="s">
        <v>6337</v>
      </c>
      <c r="F5" s="116">
        <v>42887</v>
      </c>
      <c r="G5" s="54" t="s">
        <v>5918</v>
      </c>
    </row>
    <row r="6" spans="1:11" ht="14.25" customHeight="1">
      <c r="A6" s="2" t="s">
        <v>6338</v>
      </c>
      <c r="B6" s="14" t="s">
        <v>20</v>
      </c>
      <c r="C6" s="54" t="s">
        <v>5621</v>
      </c>
      <c r="D6" s="152" t="s">
        <v>6339</v>
      </c>
      <c r="E6" s="152" t="s">
        <v>6339</v>
      </c>
      <c r="F6" s="116">
        <v>45853</v>
      </c>
      <c r="G6" s="54" t="s">
        <v>5918</v>
      </c>
    </row>
    <row r="7" spans="1:11" ht="15.75" customHeight="1">
      <c r="A7" s="2" t="s">
        <v>5773</v>
      </c>
      <c r="B7" s="14" t="s">
        <v>20</v>
      </c>
      <c r="C7" s="54" t="s">
        <v>5621</v>
      </c>
      <c r="D7" s="152" t="s">
        <v>6340</v>
      </c>
      <c r="E7" s="152" t="s">
        <v>6340</v>
      </c>
      <c r="F7" s="116">
        <v>45586</v>
      </c>
      <c r="G7" s="54" t="s">
        <v>5918</v>
      </c>
      <c r="J7" s="96"/>
    </row>
    <row r="8" spans="1:11">
      <c r="A8" s="23" t="s">
        <v>6095</v>
      </c>
      <c r="B8" s="14" t="s">
        <v>20</v>
      </c>
      <c r="C8" s="54" t="s">
        <v>5621</v>
      </c>
      <c r="D8" s="42" t="s">
        <v>6341</v>
      </c>
      <c r="E8" s="42" t="s">
        <v>6341</v>
      </c>
      <c r="F8" s="116">
        <v>46051</v>
      </c>
      <c r="G8" s="54" t="s">
        <v>5918</v>
      </c>
      <c r="I8" s="96"/>
      <c r="J8" s="96"/>
    </row>
    <row r="9" spans="1:11">
      <c r="I9" s="96"/>
      <c r="J9" s="96"/>
      <c r="K9" s="14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4BFD-B3F1-4BDA-BF1A-82F75CDDF2F2}">
  <sheetPr codeName="Sheet10"/>
  <dimension ref="A1:A55"/>
  <sheetViews>
    <sheetView workbookViewId="0">
      <selection activeCell="B1" sqref="B1"/>
    </sheetView>
  </sheetViews>
  <sheetFormatPr defaultRowHeight="15"/>
  <sheetData>
    <row r="1" spans="1:1">
      <c r="A1" t="s">
        <v>6342</v>
      </c>
    </row>
    <row r="2" spans="1:1">
      <c r="A2" t="s">
        <v>6343</v>
      </c>
    </row>
    <row r="3" spans="1:1">
      <c r="A3" t="s">
        <v>6344</v>
      </c>
    </row>
    <row r="4" spans="1:1">
      <c r="A4" t="s">
        <v>6345</v>
      </c>
    </row>
    <row r="5" spans="1:1">
      <c r="A5" t="s">
        <v>6346</v>
      </c>
    </row>
    <row r="6" spans="1:1">
      <c r="A6" t="s">
        <v>6347</v>
      </c>
    </row>
    <row r="8" spans="1:1">
      <c r="A8" t="s">
        <v>6348</v>
      </c>
    </row>
    <row r="10" spans="1:1">
      <c r="A10" t="s">
        <v>6349</v>
      </c>
    </row>
    <row r="11" spans="1:1">
      <c r="A11" t="s">
        <v>6350</v>
      </c>
    </row>
    <row r="12" spans="1:1">
      <c r="A12" t="s">
        <v>6351</v>
      </c>
    </row>
    <row r="13" spans="1:1">
      <c r="A13" t="s">
        <v>6352</v>
      </c>
    </row>
    <row r="14" spans="1:1">
      <c r="A14" t="s">
        <v>6353</v>
      </c>
    </row>
    <row r="17" spans="1:1">
      <c r="A17" t="s">
        <v>6354</v>
      </c>
    </row>
    <row r="18" spans="1:1">
      <c r="A18" t="s">
        <v>6355</v>
      </c>
    </row>
    <row r="19" spans="1:1">
      <c r="A19" t="s">
        <v>6346</v>
      </c>
    </row>
    <row r="20" spans="1:1">
      <c r="A20" t="s">
        <v>6356</v>
      </c>
    </row>
    <row r="22" spans="1:1">
      <c r="A22" t="s">
        <v>6357</v>
      </c>
    </row>
    <row r="24" spans="1:1">
      <c r="A24" t="s">
        <v>6358</v>
      </c>
    </row>
    <row r="25" spans="1:1">
      <c r="A25" t="s">
        <v>6359</v>
      </c>
    </row>
    <row r="27" spans="1:1">
      <c r="A27" t="s">
        <v>6344</v>
      </c>
    </row>
    <row r="28" spans="1:1">
      <c r="A28" t="s">
        <v>6360</v>
      </c>
    </row>
    <row r="29" spans="1:1">
      <c r="A29" t="s">
        <v>6361</v>
      </c>
    </row>
    <row r="30" spans="1:1">
      <c r="A30" t="s">
        <v>6362</v>
      </c>
    </row>
    <row r="32" spans="1:1">
      <c r="A32" t="s">
        <v>6363</v>
      </c>
    </row>
    <row r="33" spans="1:1">
      <c r="A33" t="s">
        <v>6361</v>
      </c>
    </row>
    <row r="34" spans="1:1">
      <c r="A34" t="s">
        <v>6364</v>
      </c>
    </row>
    <row r="36" spans="1:1">
      <c r="A36" t="s">
        <v>6365</v>
      </c>
    </row>
    <row r="37" spans="1:1">
      <c r="A37" t="s">
        <v>6366</v>
      </c>
    </row>
    <row r="38" spans="1:1">
      <c r="A38" t="s">
        <v>6366</v>
      </c>
    </row>
    <row r="39" spans="1:1">
      <c r="A39" t="s">
        <v>6366</v>
      </c>
    </row>
    <row r="40" spans="1:1">
      <c r="A40" t="s">
        <v>6367</v>
      </c>
    </row>
    <row r="41" spans="1:1">
      <c r="A41" t="s">
        <v>6366</v>
      </c>
    </row>
    <row r="42" spans="1:1">
      <c r="A42" t="s">
        <v>6368</v>
      </c>
    </row>
    <row r="43" spans="1:1">
      <c r="A43" t="s">
        <v>6366</v>
      </c>
    </row>
    <row r="44" spans="1:1">
      <c r="A44" t="s">
        <v>6369</v>
      </c>
    </row>
    <row r="45" spans="1:1">
      <c r="A45" t="s">
        <v>6366</v>
      </c>
    </row>
    <row r="46" spans="1:1">
      <c r="A46" t="s">
        <v>6370</v>
      </c>
    </row>
    <row r="47" spans="1:1">
      <c r="A47" t="s">
        <v>6366</v>
      </c>
    </row>
    <row r="48" spans="1:1">
      <c r="A48" t="s">
        <v>6371</v>
      </c>
    </row>
    <row r="49" spans="1:1">
      <c r="A49" t="s">
        <v>6366</v>
      </c>
    </row>
    <row r="50" spans="1:1">
      <c r="A50" t="s">
        <v>6372</v>
      </c>
    </row>
    <row r="51" spans="1:1">
      <c r="A51" t="s">
        <v>6373</v>
      </c>
    </row>
    <row r="52" spans="1:1">
      <c r="A52" t="s">
        <v>6374</v>
      </c>
    </row>
    <row r="53" spans="1:1">
      <c r="A53" t="s">
        <v>6366</v>
      </c>
    </row>
    <row r="54" spans="1:1">
      <c r="A54" t="s">
        <v>6356</v>
      </c>
    </row>
    <row r="55" spans="1:1">
      <c r="A55" t="s">
        <v>6356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B2FB-B510-4844-B33E-605EC1AED7AA}">
  <sheetPr codeName="Sheet5"/>
  <dimension ref="B1:Q1036"/>
  <sheetViews>
    <sheetView workbookViewId="0"/>
  </sheetViews>
  <sheetFormatPr defaultRowHeight="15"/>
  <cols>
    <col min="1" max="1" width="18.28515625" bestFit="1" customWidth="1"/>
    <col min="2" max="2" width="62.28515625" bestFit="1" customWidth="1"/>
    <col min="3" max="3" width="20.5703125" bestFit="1" customWidth="1"/>
    <col min="6" max="6" width="35.28515625" bestFit="1" customWidth="1"/>
    <col min="7" max="7" width="15.7109375" bestFit="1" customWidth="1"/>
  </cols>
  <sheetData>
    <row r="1" spans="2:17">
      <c r="B1" s="13" t="s">
        <v>6375</v>
      </c>
      <c r="C1" s="13" t="s">
        <v>5906</v>
      </c>
      <c r="F1" s="52" t="s">
        <v>6376</v>
      </c>
      <c r="G1" s="16" t="s">
        <v>6377</v>
      </c>
      <c r="M1" s="6" t="s">
        <v>5501</v>
      </c>
      <c r="N1" s="6" t="s">
        <v>5765</v>
      </c>
      <c r="O1" s="6" t="s">
        <v>5438</v>
      </c>
      <c r="P1" s="6" t="s">
        <v>5442</v>
      </c>
      <c r="Q1" s="6" t="s">
        <v>5766</v>
      </c>
    </row>
    <row r="2" spans="2:17">
      <c r="B2" s="14" t="s">
        <v>6378</v>
      </c>
      <c r="C2" s="24" t="s">
        <v>6379</v>
      </c>
      <c r="F2" s="17" t="s">
        <v>227</v>
      </c>
      <c r="G2" s="18" t="s">
        <v>6380</v>
      </c>
      <c r="M2" s="17" t="s">
        <v>227</v>
      </c>
      <c r="N2" s="2" t="s">
        <v>5418</v>
      </c>
      <c r="O2" s="77" t="s">
        <v>232</v>
      </c>
      <c r="P2" s="42" t="s">
        <v>5832</v>
      </c>
      <c r="Q2" s="2" t="s">
        <v>5417</v>
      </c>
    </row>
    <row r="3" spans="2:17">
      <c r="B3" s="14"/>
      <c r="C3" s="24"/>
      <c r="F3" s="2" t="s">
        <v>5549</v>
      </c>
      <c r="G3" s="18" t="s">
        <v>6380</v>
      </c>
      <c r="M3" s="19" t="s">
        <v>5078</v>
      </c>
      <c r="N3" s="2" t="s">
        <v>44</v>
      </c>
      <c r="O3" s="2" t="s">
        <v>48</v>
      </c>
      <c r="P3" s="42" t="s">
        <v>1983</v>
      </c>
      <c r="Q3" s="2" t="s">
        <v>5425</v>
      </c>
    </row>
    <row r="4" spans="2:17">
      <c r="B4" s="14" t="s">
        <v>6381</v>
      </c>
      <c r="C4" s="14" t="s">
        <v>6379</v>
      </c>
      <c r="F4" s="19" t="s">
        <v>5078</v>
      </c>
      <c r="G4" s="20" t="s">
        <v>6382</v>
      </c>
      <c r="M4" s="19" t="s">
        <v>2167</v>
      </c>
      <c r="N4" s="2" t="s">
        <v>45</v>
      </c>
      <c r="O4" s="2" t="s">
        <v>45</v>
      </c>
      <c r="P4" s="72" t="s">
        <v>5789</v>
      </c>
      <c r="Q4" s="2" t="s">
        <v>5425</v>
      </c>
    </row>
    <row r="5" spans="2:17">
      <c r="B5" s="14" t="s">
        <v>5535</v>
      </c>
      <c r="C5" s="14" t="s">
        <v>6379</v>
      </c>
      <c r="F5" s="19" t="s">
        <v>2167</v>
      </c>
      <c r="G5" s="20" t="s">
        <v>6382</v>
      </c>
      <c r="M5" s="19" t="s">
        <v>517</v>
      </c>
      <c r="N5" s="2" t="s">
        <v>44</v>
      </c>
      <c r="O5" s="2" t="s">
        <v>48</v>
      </c>
      <c r="P5" s="42" t="s">
        <v>1983</v>
      </c>
      <c r="Q5" s="2" t="s">
        <v>5425</v>
      </c>
    </row>
    <row r="6" spans="2:17">
      <c r="B6" s="14" t="s">
        <v>4320</v>
      </c>
      <c r="C6" s="14" t="s">
        <v>6379</v>
      </c>
      <c r="F6" s="19" t="s">
        <v>517</v>
      </c>
      <c r="G6" s="20" t="s">
        <v>6382</v>
      </c>
      <c r="M6" s="19" t="s">
        <v>5278</v>
      </c>
      <c r="N6" s="2" t="s">
        <v>45</v>
      </c>
      <c r="O6" s="2" t="s">
        <v>45</v>
      </c>
      <c r="P6" s="72" t="s">
        <v>5789</v>
      </c>
      <c r="Q6" s="2" t="s">
        <v>5425</v>
      </c>
    </row>
    <row r="7" spans="2:17">
      <c r="B7" s="14" t="s">
        <v>6383</v>
      </c>
      <c r="C7" s="14" t="s">
        <v>6379</v>
      </c>
      <c r="F7" s="19" t="s">
        <v>5278</v>
      </c>
      <c r="G7" s="20" t="s">
        <v>6382</v>
      </c>
      <c r="M7" s="19" t="s">
        <v>5255</v>
      </c>
      <c r="N7" s="2" t="s">
        <v>45</v>
      </c>
      <c r="O7" s="2" t="s">
        <v>45</v>
      </c>
      <c r="P7" s="72" t="s">
        <v>5789</v>
      </c>
      <c r="Q7" s="2" t="s">
        <v>5425</v>
      </c>
    </row>
    <row r="8" spans="2:17">
      <c r="B8" s="14" t="s">
        <v>5255</v>
      </c>
      <c r="C8" s="24" t="s">
        <v>6379</v>
      </c>
      <c r="F8" s="19" t="s">
        <v>5255</v>
      </c>
      <c r="G8" s="20" t="s">
        <v>6382</v>
      </c>
      <c r="M8" s="45" t="s">
        <v>5356</v>
      </c>
      <c r="N8" s="2" t="s">
        <v>44</v>
      </c>
      <c r="O8" s="2" t="s">
        <v>48</v>
      </c>
      <c r="P8" s="42" t="s">
        <v>1983</v>
      </c>
      <c r="Q8" s="2" t="s">
        <v>5425</v>
      </c>
    </row>
    <row r="9" spans="2:17">
      <c r="B9" s="14" t="s">
        <v>6384</v>
      </c>
      <c r="C9" s="14" t="s">
        <v>6379</v>
      </c>
      <c r="F9" s="19" t="s">
        <v>5356</v>
      </c>
      <c r="G9" s="20" t="s">
        <v>6382</v>
      </c>
      <c r="M9" s="17" t="s">
        <v>5568</v>
      </c>
      <c r="N9" s="2" t="s">
        <v>5421</v>
      </c>
      <c r="O9" s="2" t="s">
        <v>25</v>
      </c>
      <c r="P9" s="2" t="s">
        <v>683</v>
      </c>
      <c r="Q9" s="2" t="s">
        <v>5420</v>
      </c>
    </row>
    <row r="10" spans="2:17">
      <c r="B10" s="14"/>
      <c r="C10" s="14"/>
      <c r="F10" s="2" t="s">
        <v>5553</v>
      </c>
      <c r="G10" s="20" t="s">
        <v>6382</v>
      </c>
      <c r="M10" s="19" t="s">
        <v>653</v>
      </c>
      <c r="N10" s="2" t="s">
        <v>5421</v>
      </c>
      <c r="O10" s="2" t="s">
        <v>5421</v>
      </c>
      <c r="P10" s="42" t="s">
        <v>5454</v>
      </c>
      <c r="Q10" s="2" t="s">
        <v>5420</v>
      </c>
    </row>
    <row r="11" spans="2:17">
      <c r="B11" s="14" t="s">
        <v>6385</v>
      </c>
      <c r="C11" s="14" t="s">
        <v>6379</v>
      </c>
      <c r="F11" s="17" t="s">
        <v>5568</v>
      </c>
      <c r="G11" s="18" t="s">
        <v>6382</v>
      </c>
      <c r="M11" s="2" t="s">
        <v>5609</v>
      </c>
      <c r="N11" s="2" t="s">
        <v>44</v>
      </c>
      <c r="O11" s="2" t="s">
        <v>48</v>
      </c>
      <c r="P11" s="42" t="s">
        <v>1983</v>
      </c>
      <c r="Q11" s="2" t="s">
        <v>5425</v>
      </c>
    </row>
    <row r="12" spans="2:17">
      <c r="B12" s="14" t="s">
        <v>5292</v>
      </c>
      <c r="C12" s="14" t="s">
        <v>6386</v>
      </c>
      <c r="F12" s="19" t="s">
        <v>653</v>
      </c>
      <c r="G12" s="20" t="s">
        <v>6387</v>
      </c>
      <c r="M12" s="19" t="s">
        <v>5521</v>
      </c>
      <c r="N12" s="2" t="s">
        <v>5421</v>
      </c>
      <c r="O12" s="2" t="s">
        <v>33</v>
      </c>
      <c r="P12" s="2" t="s">
        <v>683</v>
      </c>
      <c r="Q12" s="2" t="s">
        <v>5420</v>
      </c>
    </row>
    <row r="13" spans="2:17">
      <c r="B13" s="14" t="s">
        <v>5292</v>
      </c>
      <c r="C13" s="24" t="s">
        <v>6379</v>
      </c>
      <c r="F13" s="19" t="s">
        <v>5570</v>
      </c>
      <c r="G13" s="20" t="s">
        <v>6382</v>
      </c>
      <c r="M13" s="19" t="s">
        <v>360</v>
      </c>
      <c r="N13" s="2" t="s">
        <v>45</v>
      </c>
      <c r="O13" s="2" t="s">
        <v>45</v>
      </c>
      <c r="P13" s="72" t="s">
        <v>5789</v>
      </c>
      <c r="Q13" s="2" t="s">
        <v>5425</v>
      </c>
    </row>
    <row r="14" spans="2:17">
      <c r="B14" s="14"/>
      <c r="C14" s="24"/>
      <c r="F14" s="2" t="s">
        <v>5506</v>
      </c>
      <c r="G14" s="20" t="s">
        <v>6387</v>
      </c>
      <c r="M14" s="19" t="s">
        <v>189</v>
      </c>
      <c r="N14" s="2" t="s">
        <v>45</v>
      </c>
      <c r="O14" s="2" t="s">
        <v>45</v>
      </c>
      <c r="P14" s="72" t="s">
        <v>5789</v>
      </c>
      <c r="Q14" s="2" t="s">
        <v>5425</v>
      </c>
    </row>
    <row r="15" spans="2:17">
      <c r="B15" s="14"/>
      <c r="C15" s="24"/>
      <c r="F15" s="2" t="s">
        <v>5181</v>
      </c>
      <c r="G15" s="14" t="s">
        <v>6388</v>
      </c>
      <c r="M15" s="19" t="s">
        <v>322</v>
      </c>
      <c r="N15" s="2" t="s">
        <v>45</v>
      </c>
      <c r="O15" s="2" t="s">
        <v>45</v>
      </c>
      <c r="P15" s="72" t="s">
        <v>5789</v>
      </c>
      <c r="Q15" s="2" t="s">
        <v>5425</v>
      </c>
    </row>
    <row r="16" spans="2:17">
      <c r="B16" s="14" t="s">
        <v>6389</v>
      </c>
      <c r="C16" s="14" t="s">
        <v>6379</v>
      </c>
      <c r="F16" s="19" t="s">
        <v>360</v>
      </c>
      <c r="G16" s="20" t="s">
        <v>6382</v>
      </c>
      <c r="M16" s="19" t="s">
        <v>1740</v>
      </c>
      <c r="N16" s="2" t="s">
        <v>45</v>
      </c>
      <c r="O16" s="2" t="s">
        <v>45</v>
      </c>
      <c r="P16" s="72" t="s">
        <v>5789</v>
      </c>
      <c r="Q16" s="2" t="s">
        <v>5425</v>
      </c>
    </row>
    <row r="17" spans="2:17">
      <c r="B17" s="14" t="s">
        <v>6390</v>
      </c>
      <c r="C17" s="14" t="s">
        <v>6379</v>
      </c>
      <c r="F17" s="19" t="s">
        <v>189</v>
      </c>
      <c r="G17" s="20" t="s">
        <v>6382</v>
      </c>
      <c r="M17" s="19" t="s">
        <v>1831</v>
      </c>
      <c r="N17" s="2" t="s">
        <v>5421</v>
      </c>
      <c r="O17" s="2" t="s">
        <v>5421</v>
      </c>
      <c r="P17" s="42" t="s">
        <v>5454</v>
      </c>
      <c r="Q17" s="2" t="s">
        <v>5420</v>
      </c>
    </row>
    <row r="18" spans="2:17">
      <c r="B18" s="14" t="s">
        <v>5746</v>
      </c>
      <c r="C18" s="14" t="s">
        <v>6379</v>
      </c>
      <c r="F18" s="19" t="s">
        <v>322</v>
      </c>
      <c r="G18" s="20" t="s">
        <v>6382</v>
      </c>
      <c r="M18" s="2" t="s">
        <v>5654</v>
      </c>
      <c r="N18" s="54" t="s">
        <v>5421</v>
      </c>
      <c r="O18" s="2" t="s">
        <v>25</v>
      </c>
      <c r="P18" s="42" t="s">
        <v>28</v>
      </c>
      <c r="Q18" s="2" t="s">
        <v>5420</v>
      </c>
    </row>
    <row r="19" spans="2:17">
      <c r="B19" s="14" t="s">
        <v>6391</v>
      </c>
      <c r="C19" s="14" t="s">
        <v>6379</v>
      </c>
      <c r="F19" s="19" t="s">
        <v>1740</v>
      </c>
      <c r="G19" s="20" t="s">
        <v>6382</v>
      </c>
      <c r="M19" s="19" t="s">
        <v>182</v>
      </c>
      <c r="N19" s="2" t="s">
        <v>45</v>
      </c>
      <c r="O19" s="2" t="s">
        <v>45</v>
      </c>
      <c r="P19" s="72" t="s">
        <v>5789</v>
      </c>
      <c r="Q19" s="2" t="s">
        <v>5425</v>
      </c>
    </row>
    <row r="20" spans="2:17">
      <c r="B20" s="14" t="s">
        <v>3844</v>
      </c>
      <c r="C20" s="14" t="s">
        <v>6386</v>
      </c>
      <c r="F20" s="19" t="s">
        <v>1831</v>
      </c>
      <c r="G20" s="20" t="s">
        <v>6392</v>
      </c>
      <c r="M20" s="19" t="s">
        <v>5570</v>
      </c>
      <c r="N20" s="2" t="s">
        <v>5430</v>
      </c>
      <c r="O20" t="s">
        <v>5432</v>
      </c>
      <c r="P20" s="42" t="s">
        <v>5458</v>
      </c>
      <c r="Q20" s="2" t="s">
        <v>5430</v>
      </c>
    </row>
    <row r="21" spans="2:17">
      <c r="B21" s="14" t="s">
        <v>3844</v>
      </c>
      <c r="C21" s="14" t="s">
        <v>6379</v>
      </c>
      <c r="F21" s="17" t="s">
        <v>2324</v>
      </c>
      <c r="G21" s="18" t="s">
        <v>6382</v>
      </c>
      <c r="M21" s="19" t="s">
        <v>2077</v>
      </c>
      <c r="N21" s="2" t="s">
        <v>45</v>
      </c>
      <c r="O21" s="2" t="s">
        <v>45</v>
      </c>
      <c r="P21" s="72" t="s">
        <v>5789</v>
      </c>
      <c r="Q21" s="2" t="s">
        <v>5425</v>
      </c>
    </row>
    <row r="22" spans="2:17">
      <c r="B22" s="14"/>
      <c r="C22" s="24"/>
      <c r="F22" s="17" t="s">
        <v>5852</v>
      </c>
      <c r="G22" s="20" t="s">
        <v>6392</v>
      </c>
      <c r="M22" s="2" t="s">
        <v>5573</v>
      </c>
      <c r="N22" s="2" t="s">
        <v>5430</v>
      </c>
      <c r="O22" s="2" t="s">
        <v>5434</v>
      </c>
      <c r="P22" s="42" t="s">
        <v>5458</v>
      </c>
      <c r="Q22" s="2" t="s">
        <v>5430</v>
      </c>
    </row>
    <row r="23" spans="2:17">
      <c r="B23" s="14"/>
      <c r="C23" s="24"/>
      <c r="F23" s="2" t="s">
        <v>5654</v>
      </c>
      <c r="G23" s="20" t="s">
        <v>6392</v>
      </c>
      <c r="M23" s="19" t="s">
        <v>1414</v>
      </c>
      <c r="N23" s="2" t="s">
        <v>44</v>
      </c>
      <c r="O23" s="2" t="s">
        <v>48</v>
      </c>
      <c r="P23" s="42" t="s">
        <v>1983</v>
      </c>
      <c r="Q23" s="2" t="s">
        <v>5425</v>
      </c>
    </row>
    <row r="24" spans="2:17">
      <c r="B24" s="14"/>
      <c r="C24" s="24"/>
      <c r="F24" s="2" t="s">
        <v>5519</v>
      </c>
      <c r="G24" s="20" t="s">
        <v>6392</v>
      </c>
      <c r="M24" s="19" t="s">
        <v>714</v>
      </c>
      <c r="N24" s="2" t="s">
        <v>45</v>
      </c>
      <c r="O24" s="2" t="s">
        <v>45</v>
      </c>
      <c r="P24" s="72" t="s">
        <v>5789</v>
      </c>
      <c r="Q24" s="2" t="s">
        <v>5425</v>
      </c>
    </row>
    <row r="25" spans="2:17">
      <c r="B25" s="14"/>
      <c r="C25" s="24"/>
      <c r="F25" s="2" t="s">
        <v>5612</v>
      </c>
      <c r="G25" s="18" t="s">
        <v>6387</v>
      </c>
      <c r="M25" s="17" t="s">
        <v>6393</v>
      </c>
      <c r="N25" s="2" t="s">
        <v>5418</v>
      </c>
      <c r="O25" s="2" t="s">
        <v>4881</v>
      </c>
      <c r="P25" s="42" t="s">
        <v>5462</v>
      </c>
      <c r="Q25" s="2" t="s">
        <v>5417</v>
      </c>
    </row>
    <row r="26" spans="2:17">
      <c r="B26" s="14" t="s">
        <v>6394</v>
      </c>
      <c r="C26" s="24" t="s">
        <v>6379</v>
      </c>
      <c r="F26" s="19" t="s">
        <v>182</v>
      </c>
      <c r="G26" s="20" t="s">
        <v>6382</v>
      </c>
      <c r="M26" s="19" t="s">
        <v>5559</v>
      </c>
      <c r="N26" s="2" t="s">
        <v>45</v>
      </c>
      <c r="O26" s="2" t="s">
        <v>45</v>
      </c>
      <c r="P26" s="72" t="s">
        <v>5789</v>
      </c>
      <c r="Q26" s="2" t="s">
        <v>5425</v>
      </c>
    </row>
    <row r="27" spans="2:17">
      <c r="B27" s="14" t="s">
        <v>5631</v>
      </c>
      <c r="C27" s="24" t="s">
        <v>6379</v>
      </c>
      <c r="F27" s="19" t="s">
        <v>1414</v>
      </c>
      <c r="G27" s="20" t="s">
        <v>6382</v>
      </c>
      <c r="M27" s="2" t="s">
        <v>5698</v>
      </c>
      <c r="N27" s="2" t="s">
        <v>5430</v>
      </c>
      <c r="O27" s="2" t="s">
        <v>5455</v>
      </c>
      <c r="P27" s="42" t="s">
        <v>5458</v>
      </c>
      <c r="Q27" s="2" t="s">
        <v>5430</v>
      </c>
    </row>
    <row r="28" spans="2:17">
      <c r="B28" s="14" t="s">
        <v>5644</v>
      </c>
      <c r="C28" s="24" t="s">
        <v>6379</v>
      </c>
      <c r="F28" s="19" t="s">
        <v>2077</v>
      </c>
      <c r="G28" s="20" t="s">
        <v>6382</v>
      </c>
      <c r="M28" s="19" t="s">
        <v>884</v>
      </c>
      <c r="N28" s="2" t="s">
        <v>44</v>
      </c>
      <c r="O28" s="2" t="s">
        <v>48</v>
      </c>
      <c r="P28" s="42" t="s">
        <v>1983</v>
      </c>
      <c r="Q28" s="2" t="s">
        <v>5425</v>
      </c>
    </row>
    <row r="29" spans="2:17">
      <c r="B29" s="14" t="s">
        <v>5632</v>
      </c>
      <c r="C29" s="24" t="s">
        <v>6379</v>
      </c>
      <c r="F29" s="19" t="s">
        <v>884</v>
      </c>
      <c r="G29" s="20" t="s">
        <v>6382</v>
      </c>
      <c r="M29" s="19" t="s">
        <v>5176</v>
      </c>
      <c r="N29" s="2" t="s">
        <v>44</v>
      </c>
      <c r="O29" s="2" t="s">
        <v>5426</v>
      </c>
      <c r="P29" s="42" t="s">
        <v>1983</v>
      </c>
      <c r="Q29" s="2" t="s">
        <v>5425</v>
      </c>
    </row>
    <row r="30" spans="2:17">
      <c r="B30" s="14" t="s">
        <v>6395</v>
      </c>
      <c r="C30" s="24" t="s">
        <v>6379</v>
      </c>
      <c r="F30" s="19" t="s">
        <v>4196</v>
      </c>
      <c r="G30" s="20" t="s">
        <v>6382</v>
      </c>
      <c r="M30" s="30" t="s">
        <v>4320</v>
      </c>
      <c r="N30" s="53" t="s">
        <v>5483</v>
      </c>
      <c r="O30" s="2" t="s">
        <v>27</v>
      </c>
      <c r="P30" s="2" t="s">
        <v>141</v>
      </c>
      <c r="Q30" s="2" t="s">
        <v>5416</v>
      </c>
    </row>
    <row r="31" spans="2:17" ht="15.75">
      <c r="B31" s="14" t="s">
        <v>6396</v>
      </c>
      <c r="C31" s="24" t="s">
        <v>6379</v>
      </c>
      <c r="F31" s="19" t="s">
        <v>714</v>
      </c>
      <c r="G31" s="20" t="s">
        <v>6382</v>
      </c>
      <c r="M31" s="21" t="s">
        <v>5532</v>
      </c>
      <c r="N31" s="2" t="s">
        <v>5421</v>
      </c>
      <c r="O31" s="47" t="s">
        <v>25</v>
      </c>
      <c r="P31" s="2" t="s">
        <v>683</v>
      </c>
      <c r="Q31" s="2" t="s">
        <v>5420</v>
      </c>
    </row>
    <row r="32" spans="2:17">
      <c r="B32" s="14" t="s">
        <v>6397</v>
      </c>
      <c r="C32" s="24" t="s">
        <v>6379</v>
      </c>
      <c r="F32" s="19" t="s">
        <v>5565</v>
      </c>
      <c r="G32" s="20" t="s">
        <v>6382</v>
      </c>
      <c r="M32" s="21" t="s">
        <v>1890</v>
      </c>
      <c r="N32" s="2" t="s">
        <v>5421</v>
      </c>
      <c r="O32" s="2" t="s">
        <v>5421</v>
      </c>
      <c r="P32" s="42" t="s">
        <v>5465</v>
      </c>
      <c r="Q32" s="2" t="s">
        <v>5420</v>
      </c>
    </row>
    <row r="33" spans="2:17">
      <c r="B33" s="14" t="s">
        <v>5648</v>
      </c>
      <c r="C33" s="24" t="s">
        <v>6379</v>
      </c>
      <c r="F33" s="46" t="s">
        <v>4638</v>
      </c>
      <c r="G33" s="18" t="s">
        <v>6382</v>
      </c>
      <c r="M33" s="17" t="s">
        <v>5527</v>
      </c>
      <c r="N33" s="2" t="s">
        <v>5430</v>
      </c>
      <c r="O33" s="2" t="s">
        <v>5455</v>
      </c>
      <c r="P33" s="42" t="s">
        <v>5458</v>
      </c>
      <c r="Q33" s="2" t="s">
        <v>5430</v>
      </c>
    </row>
    <row r="34" spans="2:17">
      <c r="B34" s="14" t="s">
        <v>6398</v>
      </c>
      <c r="C34" s="14" t="s">
        <v>6379</v>
      </c>
      <c r="F34" s="19" t="s">
        <v>5559</v>
      </c>
      <c r="G34" s="20" t="s">
        <v>6382</v>
      </c>
      <c r="M34" s="2" t="s">
        <v>5706</v>
      </c>
      <c r="N34" s="2" t="s">
        <v>113</v>
      </c>
      <c r="O34" s="2" t="s">
        <v>113</v>
      </c>
      <c r="P34" s="42" t="s">
        <v>112</v>
      </c>
      <c r="Q34" s="2" t="s">
        <v>6399</v>
      </c>
    </row>
    <row r="35" spans="2:17">
      <c r="B35" s="14" t="s">
        <v>6400</v>
      </c>
      <c r="C35" s="14" t="s">
        <v>6379</v>
      </c>
      <c r="F35" s="19" t="s">
        <v>300</v>
      </c>
      <c r="G35" s="20" t="s">
        <v>6382</v>
      </c>
      <c r="M35" s="2" t="s">
        <v>5610</v>
      </c>
      <c r="N35" s="2" t="s">
        <v>113</v>
      </c>
      <c r="O35" s="2" t="s">
        <v>113</v>
      </c>
      <c r="P35" s="42" t="s">
        <v>112</v>
      </c>
      <c r="Q35" s="2" t="s">
        <v>6399</v>
      </c>
    </row>
    <row r="36" spans="2:17">
      <c r="B36" s="14" t="s">
        <v>6401</v>
      </c>
      <c r="C36" s="14" t="s">
        <v>6379</v>
      </c>
      <c r="F36" s="19" t="s">
        <v>5126</v>
      </c>
      <c r="G36" s="20" t="s">
        <v>6382</v>
      </c>
      <c r="M36" s="21" t="s">
        <v>1096</v>
      </c>
      <c r="N36" s="2" t="s">
        <v>5421</v>
      </c>
      <c r="O36" s="2" t="s">
        <v>25</v>
      </c>
      <c r="P36" s="2" t="s">
        <v>683</v>
      </c>
      <c r="Q36" s="2" t="s">
        <v>5420</v>
      </c>
    </row>
    <row r="37" spans="2:17">
      <c r="B37" s="14" t="s">
        <v>6402</v>
      </c>
      <c r="C37" s="14" t="s">
        <v>6379</v>
      </c>
      <c r="F37" s="19" t="s">
        <v>5176</v>
      </c>
      <c r="G37" s="20" t="s">
        <v>6382</v>
      </c>
      <c r="M37" s="21" t="s">
        <v>5517</v>
      </c>
      <c r="N37" s="2" t="s">
        <v>5421</v>
      </c>
      <c r="O37" s="2" t="s">
        <v>25</v>
      </c>
      <c r="P37" s="2" t="s">
        <v>683</v>
      </c>
      <c r="Q37" s="2" t="s">
        <v>5420</v>
      </c>
    </row>
    <row r="38" spans="2:17">
      <c r="B38" s="14" t="s">
        <v>6403</v>
      </c>
      <c r="C38" s="14" t="s">
        <v>6386</v>
      </c>
      <c r="F38" s="21" t="s">
        <v>4320</v>
      </c>
      <c r="G38" s="14" t="s">
        <v>6387</v>
      </c>
      <c r="M38" s="21" t="s">
        <v>4721</v>
      </c>
      <c r="N38" s="2" t="s">
        <v>45</v>
      </c>
      <c r="O38" s="2" t="s">
        <v>45</v>
      </c>
      <c r="P38" s="72" t="s">
        <v>5789</v>
      </c>
      <c r="Q38" s="2" t="s">
        <v>5425</v>
      </c>
    </row>
    <row r="39" spans="2:17">
      <c r="B39" s="14" t="s">
        <v>85</v>
      </c>
      <c r="C39" s="14" t="s">
        <v>6386</v>
      </c>
      <c r="F39" s="21" t="s">
        <v>5532</v>
      </c>
      <c r="G39" s="14" t="s">
        <v>6387</v>
      </c>
      <c r="M39" s="21" t="s">
        <v>5623</v>
      </c>
      <c r="N39" s="2" t="s">
        <v>5418</v>
      </c>
      <c r="O39" s="2" t="s">
        <v>5418</v>
      </c>
      <c r="P39" s="2"/>
      <c r="Q39" s="2" t="s">
        <v>5420</v>
      </c>
    </row>
    <row r="40" spans="2:17">
      <c r="B40" s="14" t="s">
        <v>6404</v>
      </c>
      <c r="C40" s="14" t="s">
        <v>6379</v>
      </c>
      <c r="F40" s="21" t="s">
        <v>1890</v>
      </c>
      <c r="G40" s="14" t="s">
        <v>6387</v>
      </c>
      <c r="M40" s="22" t="s">
        <v>5511</v>
      </c>
      <c r="N40" s="2" t="s">
        <v>5430</v>
      </c>
      <c r="O40" t="s">
        <v>5433</v>
      </c>
      <c r="P40" s="42" t="s">
        <v>5472</v>
      </c>
      <c r="Q40" s="2" t="s">
        <v>5430</v>
      </c>
    </row>
    <row r="41" spans="2:17">
      <c r="B41" s="14" t="s">
        <v>5553</v>
      </c>
      <c r="C41" s="14" t="s">
        <v>6379</v>
      </c>
      <c r="F41" s="21" t="s">
        <v>106</v>
      </c>
      <c r="G41" s="14" t="s">
        <v>6387</v>
      </c>
      <c r="M41" s="22" t="s">
        <v>744</v>
      </c>
      <c r="N41" s="2" t="s">
        <v>5430</v>
      </c>
      <c r="O41" t="s">
        <v>5433</v>
      </c>
      <c r="P41" s="42" t="s">
        <v>5472</v>
      </c>
      <c r="Q41" s="2" t="s">
        <v>5430</v>
      </c>
    </row>
    <row r="42" spans="2:17">
      <c r="B42" s="14" t="s">
        <v>2341</v>
      </c>
      <c r="C42" s="14" t="s">
        <v>6379</v>
      </c>
      <c r="F42" s="21" t="s">
        <v>5543</v>
      </c>
      <c r="G42" s="14" t="s">
        <v>6387</v>
      </c>
      <c r="M42" s="22" t="s">
        <v>4081</v>
      </c>
      <c r="N42" s="2" t="s">
        <v>5430</v>
      </c>
      <c r="O42" t="s">
        <v>5433</v>
      </c>
      <c r="P42" s="42" t="s">
        <v>5472</v>
      </c>
      <c r="Q42" s="2" t="s">
        <v>5430</v>
      </c>
    </row>
    <row r="43" spans="2:17">
      <c r="B43" s="14" t="s">
        <v>1096</v>
      </c>
      <c r="C43" s="14" t="s">
        <v>6379</v>
      </c>
      <c r="F43" s="21" t="s">
        <v>976</v>
      </c>
      <c r="G43" s="14" t="s">
        <v>6387</v>
      </c>
      <c r="M43" s="22" t="s">
        <v>5591</v>
      </c>
      <c r="N43" s="2" t="s">
        <v>5430</v>
      </c>
      <c r="O43" t="s">
        <v>5433</v>
      </c>
      <c r="P43" s="42" t="s">
        <v>5472</v>
      </c>
      <c r="Q43" s="2" t="s">
        <v>5430</v>
      </c>
    </row>
    <row r="44" spans="2:17">
      <c r="B44" s="14"/>
      <c r="C44" s="14"/>
      <c r="F44" s="2" t="s">
        <v>5537</v>
      </c>
      <c r="G44" s="14" t="s">
        <v>6387</v>
      </c>
      <c r="M44" s="22" t="s">
        <v>859</v>
      </c>
      <c r="N44" s="2" t="s">
        <v>5430</v>
      </c>
      <c r="O44" t="s">
        <v>5433</v>
      </c>
      <c r="P44" s="42" t="s">
        <v>5472</v>
      </c>
      <c r="Q44" s="2" t="s">
        <v>5430</v>
      </c>
    </row>
    <row r="45" spans="2:17">
      <c r="B45" s="14" t="s">
        <v>5542</v>
      </c>
      <c r="C45" s="14" t="s">
        <v>6379</v>
      </c>
      <c r="F45" s="21" t="s">
        <v>1096</v>
      </c>
      <c r="G45" s="14" t="s">
        <v>6387</v>
      </c>
      <c r="M45" s="22" t="s">
        <v>5589</v>
      </c>
      <c r="N45" s="2" t="s">
        <v>5430</v>
      </c>
      <c r="O45" t="s">
        <v>5433</v>
      </c>
      <c r="P45" s="42" t="s">
        <v>5472</v>
      </c>
      <c r="Q45" s="2" t="s">
        <v>5430</v>
      </c>
    </row>
    <row r="46" spans="2:17">
      <c r="B46" s="14" t="s">
        <v>5752</v>
      </c>
      <c r="C46" s="14" t="s">
        <v>6379</v>
      </c>
      <c r="F46" s="21" t="s">
        <v>5517</v>
      </c>
      <c r="G46" s="14" t="s">
        <v>6387</v>
      </c>
      <c r="M46" s="22" t="s">
        <v>4884</v>
      </c>
      <c r="N46" s="2" t="s">
        <v>5430</v>
      </c>
      <c r="O46" t="s">
        <v>5433</v>
      </c>
      <c r="P46" s="42" t="s">
        <v>5472</v>
      </c>
      <c r="Q46" s="2" t="s">
        <v>5430</v>
      </c>
    </row>
    <row r="47" spans="2:17">
      <c r="B47" s="14"/>
      <c r="C47" s="14"/>
      <c r="F47" s="2" t="s">
        <v>5521</v>
      </c>
      <c r="G47" s="14" t="s">
        <v>6387</v>
      </c>
      <c r="M47" s="22" t="s">
        <v>4169</v>
      </c>
      <c r="N47" s="2" t="s">
        <v>5430</v>
      </c>
      <c r="O47" t="s">
        <v>5433</v>
      </c>
      <c r="P47" s="42" t="s">
        <v>5472</v>
      </c>
      <c r="Q47" s="2" t="s">
        <v>5430</v>
      </c>
    </row>
    <row r="48" spans="2:17">
      <c r="B48" s="14" t="s">
        <v>6405</v>
      </c>
      <c r="C48" s="14" t="s">
        <v>6379</v>
      </c>
      <c r="F48" s="21" t="s">
        <v>4721</v>
      </c>
      <c r="G48" s="14" t="s">
        <v>6387</v>
      </c>
      <c r="M48" s="21" t="s">
        <v>121</v>
      </c>
      <c r="N48" s="2" t="s">
        <v>5480</v>
      </c>
      <c r="O48" s="2" t="s">
        <v>118</v>
      </c>
      <c r="P48" s="42" t="s">
        <v>118</v>
      </c>
      <c r="Q48" s="2" t="s">
        <v>5414</v>
      </c>
    </row>
    <row r="49" spans="2:17">
      <c r="B49" s="14" t="s">
        <v>6406</v>
      </c>
      <c r="C49" s="14" t="s">
        <v>6379</v>
      </c>
      <c r="F49" s="21" t="s">
        <v>5623</v>
      </c>
      <c r="G49" s="14" t="s">
        <v>6387</v>
      </c>
      <c r="M49" s="21" t="s">
        <v>308</v>
      </c>
      <c r="N49" s="2" t="s">
        <v>5480</v>
      </c>
      <c r="O49" s="2" t="s">
        <v>118</v>
      </c>
      <c r="P49" s="42" t="s">
        <v>118</v>
      </c>
      <c r="Q49" s="2" t="s">
        <v>5414</v>
      </c>
    </row>
    <row r="50" spans="2:17">
      <c r="B50" s="14" t="s">
        <v>6407</v>
      </c>
      <c r="C50" s="14" t="s">
        <v>6379</v>
      </c>
      <c r="F50" s="22" t="s">
        <v>5511</v>
      </c>
      <c r="G50" s="14" t="s">
        <v>6388</v>
      </c>
      <c r="M50" s="2" t="s">
        <v>5694</v>
      </c>
      <c r="N50" s="2" t="s">
        <v>5418</v>
      </c>
      <c r="O50" s="2" t="s">
        <v>4881</v>
      </c>
      <c r="P50" s="75" t="s">
        <v>2380</v>
      </c>
      <c r="Q50" s="2" t="s">
        <v>5417</v>
      </c>
    </row>
    <row r="51" spans="2:17">
      <c r="B51" s="14" t="s">
        <v>6408</v>
      </c>
      <c r="C51" s="14" t="s">
        <v>6379</v>
      </c>
      <c r="F51" s="22" t="s">
        <v>744</v>
      </c>
      <c r="G51" s="14" t="s">
        <v>6388</v>
      </c>
      <c r="M51" s="21" t="s">
        <v>3381</v>
      </c>
      <c r="N51" s="2" t="s">
        <v>5418</v>
      </c>
      <c r="O51" s="2" t="s">
        <v>5418</v>
      </c>
      <c r="P51" s="42" t="s">
        <v>5832</v>
      </c>
      <c r="Q51" s="2" t="s">
        <v>5417</v>
      </c>
    </row>
    <row r="52" spans="2:17">
      <c r="B52" s="14" t="s">
        <v>4311</v>
      </c>
      <c r="C52" s="14" t="s">
        <v>6386</v>
      </c>
      <c r="F52" s="22" t="s">
        <v>4081</v>
      </c>
      <c r="G52" s="14" t="s">
        <v>6388</v>
      </c>
      <c r="M52" s="21" t="s">
        <v>375</v>
      </c>
      <c r="N52" s="2" t="s">
        <v>5480</v>
      </c>
      <c r="O52" s="2" t="s">
        <v>32</v>
      </c>
      <c r="P52" s="42" t="s">
        <v>118</v>
      </c>
      <c r="Q52" s="2" t="s">
        <v>5414</v>
      </c>
    </row>
    <row r="53" spans="2:17">
      <c r="B53" s="14" t="s">
        <v>5527</v>
      </c>
      <c r="C53" s="14" t="s">
        <v>6386</v>
      </c>
      <c r="F53" s="22" t="s">
        <v>5591</v>
      </c>
      <c r="G53" s="14" t="s">
        <v>6388</v>
      </c>
      <c r="M53" s="21" t="s">
        <v>5625</v>
      </c>
      <c r="N53" s="2" t="s">
        <v>5421</v>
      </c>
      <c r="O53" s="2" t="s">
        <v>33</v>
      </c>
      <c r="P53" s="2" t="s">
        <v>683</v>
      </c>
      <c r="Q53" s="2" t="s">
        <v>5420</v>
      </c>
    </row>
    <row r="54" spans="2:17">
      <c r="B54" s="14" t="s">
        <v>5527</v>
      </c>
      <c r="C54" s="14" t="s">
        <v>6379</v>
      </c>
      <c r="F54" s="22" t="s">
        <v>859</v>
      </c>
      <c r="G54" s="14" t="s">
        <v>6388</v>
      </c>
      <c r="M54" s="2" t="s">
        <v>5703</v>
      </c>
      <c r="N54" s="2" t="s">
        <v>5480</v>
      </c>
      <c r="O54" s="2" t="s">
        <v>118</v>
      </c>
      <c r="P54" s="42" t="s">
        <v>118</v>
      </c>
      <c r="Q54" s="2" t="s">
        <v>5414</v>
      </c>
    </row>
    <row r="55" spans="2:17">
      <c r="B55" s="14" t="s">
        <v>6409</v>
      </c>
      <c r="C55" s="14" t="s">
        <v>6379</v>
      </c>
      <c r="F55" s="22" t="s">
        <v>5589</v>
      </c>
      <c r="G55" s="14" t="s">
        <v>6388</v>
      </c>
      <c r="M55" s="23" t="s">
        <v>5524</v>
      </c>
      <c r="N55" s="2" t="s">
        <v>5430</v>
      </c>
      <c r="O55" s="2" t="s">
        <v>5431</v>
      </c>
      <c r="P55" s="42" t="s">
        <v>5479</v>
      </c>
      <c r="Q55" s="2" t="s">
        <v>5430</v>
      </c>
    </row>
    <row r="56" spans="2:17" ht="15.75">
      <c r="B56" s="14" t="s">
        <v>5511</v>
      </c>
      <c r="C56" s="14" t="s">
        <v>6410</v>
      </c>
      <c r="F56" s="22" t="s">
        <v>4884</v>
      </c>
      <c r="G56" s="14" t="s">
        <v>6388</v>
      </c>
      <c r="M56" s="44" t="s">
        <v>5529</v>
      </c>
      <c r="N56" s="2" t="s">
        <v>113</v>
      </c>
      <c r="O56" s="2" t="s">
        <v>113</v>
      </c>
      <c r="P56" s="42" t="s">
        <v>112</v>
      </c>
      <c r="Q56" s="2" t="s">
        <v>6399</v>
      </c>
    </row>
    <row r="57" spans="2:17">
      <c r="B57" s="14" t="s">
        <v>6411</v>
      </c>
      <c r="C57" s="14" t="s">
        <v>6379</v>
      </c>
      <c r="F57" s="22" t="s">
        <v>4169</v>
      </c>
      <c r="G57" s="14" t="s">
        <v>6388</v>
      </c>
      <c r="M57" s="21" t="s">
        <v>126</v>
      </c>
      <c r="N57" s="2" t="s">
        <v>5493</v>
      </c>
      <c r="O57" s="2" t="s">
        <v>5493</v>
      </c>
      <c r="P57" s="42" t="s">
        <v>28</v>
      </c>
      <c r="Q57" s="2" t="s">
        <v>5955</v>
      </c>
    </row>
    <row r="58" spans="2:17">
      <c r="B58" s="14" t="s">
        <v>6412</v>
      </c>
      <c r="C58" s="14" t="s">
        <v>6379</v>
      </c>
      <c r="F58" s="21" t="s">
        <v>121</v>
      </c>
      <c r="G58" s="14" t="s">
        <v>6387</v>
      </c>
      <c r="M58" s="21" t="s">
        <v>5635</v>
      </c>
      <c r="N58" s="2" t="s">
        <v>5480</v>
      </c>
      <c r="O58" s="48" t="s">
        <v>32</v>
      </c>
      <c r="P58" s="42" t="s">
        <v>118</v>
      </c>
      <c r="Q58" s="2" t="s">
        <v>5414</v>
      </c>
    </row>
    <row r="59" spans="2:17">
      <c r="B59" s="14" t="s">
        <v>6413</v>
      </c>
      <c r="C59" s="14" t="s">
        <v>6379</v>
      </c>
      <c r="F59" s="21" t="s">
        <v>2565</v>
      </c>
      <c r="G59" s="14" t="s">
        <v>6387</v>
      </c>
      <c r="M59" s="21" t="s">
        <v>458</v>
      </c>
      <c r="N59" s="2" t="s">
        <v>5421</v>
      </c>
      <c r="O59" s="2" t="s">
        <v>33</v>
      </c>
      <c r="P59" s="2" t="s">
        <v>683</v>
      </c>
      <c r="Q59" s="2" t="s">
        <v>5420</v>
      </c>
    </row>
    <row r="60" spans="2:17">
      <c r="B60" s="14" t="s">
        <v>6414</v>
      </c>
      <c r="C60" s="14" t="s">
        <v>6379</v>
      </c>
      <c r="F60" s="21" t="s">
        <v>2727</v>
      </c>
      <c r="G60" s="14" t="s">
        <v>6387</v>
      </c>
      <c r="M60" s="21" t="s">
        <v>3764</v>
      </c>
      <c r="N60" s="2" t="s">
        <v>5421</v>
      </c>
      <c r="O60" s="2" t="s">
        <v>5421</v>
      </c>
      <c r="P60" s="2"/>
      <c r="Q60" s="2" t="s">
        <v>5420</v>
      </c>
    </row>
    <row r="61" spans="2:17">
      <c r="B61" s="14" t="s">
        <v>6415</v>
      </c>
      <c r="C61" s="14" t="s">
        <v>6379</v>
      </c>
      <c r="F61" s="21" t="s">
        <v>3381</v>
      </c>
      <c r="G61" s="14" t="s">
        <v>6387</v>
      </c>
      <c r="M61" s="21" t="s">
        <v>3818</v>
      </c>
      <c r="N61" s="2" t="s">
        <v>5421</v>
      </c>
      <c r="O61" s="2" t="s">
        <v>5421</v>
      </c>
      <c r="P61" s="2"/>
      <c r="Q61" s="2" t="s">
        <v>5420</v>
      </c>
    </row>
    <row r="62" spans="2:17">
      <c r="B62" s="14" t="s">
        <v>6416</v>
      </c>
      <c r="C62" s="14" t="s">
        <v>6379</v>
      </c>
      <c r="F62" s="21" t="s">
        <v>375</v>
      </c>
      <c r="G62" s="14" t="s">
        <v>6387</v>
      </c>
      <c r="M62" s="21" t="s">
        <v>3680</v>
      </c>
      <c r="N62" s="2" t="s">
        <v>5421</v>
      </c>
      <c r="O62" s="2" t="s">
        <v>5421</v>
      </c>
      <c r="P62" s="42" t="s">
        <v>5454</v>
      </c>
      <c r="Q62" s="2" t="s">
        <v>5420</v>
      </c>
    </row>
    <row r="63" spans="2:17">
      <c r="B63" s="14" t="s">
        <v>6417</v>
      </c>
      <c r="C63" s="14" t="s">
        <v>6379</v>
      </c>
      <c r="F63" s="21" t="s">
        <v>5625</v>
      </c>
      <c r="G63" s="14" t="s">
        <v>6387</v>
      </c>
      <c r="M63" s="21" t="s">
        <v>1893</v>
      </c>
      <c r="N63" s="2" t="s">
        <v>5493</v>
      </c>
      <c r="O63" s="2" t="s">
        <v>5493</v>
      </c>
      <c r="P63" s="42" t="s">
        <v>28</v>
      </c>
      <c r="Q63" s="2" t="s">
        <v>5955</v>
      </c>
    </row>
    <row r="64" spans="2:17">
      <c r="B64" s="14" t="s">
        <v>6418</v>
      </c>
      <c r="C64" s="14" t="s">
        <v>6379</v>
      </c>
      <c r="F64" s="21" t="s">
        <v>308</v>
      </c>
      <c r="G64" s="14" t="s">
        <v>6387</v>
      </c>
      <c r="M64" s="21" t="s">
        <v>2019</v>
      </c>
      <c r="N64" s="2" t="s">
        <v>5493</v>
      </c>
      <c r="O64" s="2" t="s">
        <v>5493</v>
      </c>
      <c r="P64" s="42" t="s">
        <v>5485</v>
      </c>
      <c r="Q64" s="2" t="s">
        <v>5955</v>
      </c>
    </row>
    <row r="65" spans="2:17">
      <c r="B65" s="14" t="s">
        <v>6419</v>
      </c>
      <c r="C65" s="14" t="s">
        <v>6379</v>
      </c>
      <c r="F65" s="21" t="s">
        <v>126</v>
      </c>
      <c r="G65" s="14" t="s">
        <v>6387</v>
      </c>
      <c r="M65" s="22" t="s">
        <v>851</v>
      </c>
      <c r="N65" s="2" t="s">
        <v>5421</v>
      </c>
      <c r="O65" s="2" t="s">
        <v>25</v>
      </c>
      <c r="P65" s="2" t="s">
        <v>683</v>
      </c>
      <c r="Q65" s="2" t="s">
        <v>5420</v>
      </c>
    </row>
    <row r="66" spans="2:17">
      <c r="B66" s="14" t="s">
        <v>6420</v>
      </c>
      <c r="C66" s="14" t="s">
        <v>6379</v>
      </c>
      <c r="F66" s="21" t="s">
        <v>1754</v>
      </c>
      <c r="G66" s="14" t="s">
        <v>6387</v>
      </c>
      <c r="M66" s="21" t="s">
        <v>106</v>
      </c>
      <c r="N66" s="2" t="s">
        <v>5430</v>
      </c>
      <c r="O66" s="2" t="s">
        <v>5431</v>
      </c>
      <c r="P66" s="42" t="s">
        <v>5479</v>
      </c>
      <c r="Q66" s="2" t="s">
        <v>5430</v>
      </c>
    </row>
    <row r="67" spans="2:17">
      <c r="B67" s="14" t="s">
        <v>3193</v>
      </c>
      <c r="C67" s="14" t="s">
        <v>6379</v>
      </c>
      <c r="F67" s="21" t="s">
        <v>1893</v>
      </c>
      <c r="G67" s="14" t="s">
        <v>6387</v>
      </c>
      <c r="M67" s="22" t="s">
        <v>5121</v>
      </c>
      <c r="N67" s="2" t="s">
        <v>5418</v>
      </c>
      <c r="O67" s="2"/>
      <c r="P67" s="2"/>
      <c r="Q67" s="2" t="s">
        <v>5420</v>
      </c>
    </row>
    <row r="68" spans="2:17">
      <c r="B68" s="14" t="s">
        <v>6421</v>
      </c>
      <c r="C68" s="14" t="s">
        <v>6379</v>
      </c>
      <c r="F68" s="21" t="s">
        <v>5635</v>
      </c>
      <c r="G68" s="14" t="s">
        <v>6387</v>
      </c>
      <c r="M68" s="21" t="s">
        <v>4037</v>
      </c>
      <c r="N68" s="2" t="s">
        <v>5418</v>
      </c>
      <c r="O68" s="2" t="s">
        <v>4881</v>
      </c>
      <c r="P68" s="75"/>
      <c r="Q68" s="2" t="s">
        <v>5417</v>
      </c>
    </row>
    <row r="69" spans="2:17">
      <c r="B69" s="14" t="s">
        <v>6422</v>
      </c>
      <c r="C69" s="14" t="s">
        <v>6379</v>
      </c>
      <c r="F69" s="21" t="s">
        <v>458</v>
      </c>
      <c r="G69" s="14" t="s">
        <v>6387</v>
      </c>
      <c r="M69" s="2" t="s">
        <v>116</v>
      </c>
      <c r="N69" s="2" t="s">
        <v>113</v>
      </c>
      <c r="O69" s="2" t="s">
        <v>113</v>
      </c>
      <c r="P69" s="2" t="s">
        <v>112</v>
      </c>
      <c r="Q69" s="2" t="s">
        <v>6399</v>
      </c>
    </row>
    <row r="70" spans="2:17">
      <c r="B70" s="14" t="s">
        <v>6422</v>
      </c>
      <c r="C70" s="14" t="s">
        <v>6379</v>
      </c>
      <c r="F70" s="21" t="s">
        <v>5520</v>
      </c>
      <c r="G70" s="14" t="s">
        <v>6387</v>
      </c>
      <c r="M70" s="22" t="s">
        <v>5192</v>
      </c>
      <c r="N70" s="2" t="s">
        <v>5480</v>
      </c>
      <c r="O70" s="2" t="s">
        <v>5494</v>
      </c>
      <c r="P70" s="42" t="s">
        <v>118</v>
      </c>
      <c r="Q70" s="2" t="s">
        <v>5414</v>
      </c>
    </row>
    <row r="71" spans="2:17">
      <c r="B71" s="14" t="s">
        <v>6423</v>
      </c>
      <c r="C71" s="14" t="s">
        <v>6379</v>
      </c>
      <c r="F71" s="21" t="s">
        <v>3764</v>
      </c>
      <c r="G71" s="14" t="s">
        <v>6387</v>
      </c>
      <c r="M71" s="21" t="s">
        <v>5543</v>
      </c>
      <c r="N71" s="2" t="s">
        <v>5430</v>
      </c>
      <c r="O71" s="2" t="s">
        <v>5431</v>
      </c>
      <c r="P71" s="42" t="s">
        <v>5479</v>
      </c>
      <c r="Q71" s="2" t="s">
        <v>5430</v>
      </c>
    </row>
    <row r="72" spans="2:17">
      <c r="B72" s="14" t="s">
        <v>6424</v>
      </c>
      <c r="C72" s="14" t="s">
        <v>6379</v>
      </c>
      <c r="F72" s="21" t="s">
        <v>3818</v>
      </c>
      <c r="G72" s="14" t="s">
        <v>6387</v>
      </c>
      <c r="M72" s="23" t="s">
        <v>5292</v>
      </c>
      <c r="N72" s="2" t="s">
        <v>5421</v>
      </c>
      <c r="O72" s="2" t="s">
        <v>5421</v>
      </c>
      <c r="P72" s="2" t="s">
        <v>5449</v>
      </c>
      <c r="Q72" s="2" t="s">
        <v>5420</v>
      </c>
    </row>
    <row r="73" spans="2:17">
      <c r="B73" s="14" t="s">
        <v>5575</v>
      </c>
      <c r="C73" s="14" t="s">
        <v>6379</v>
      </c>
      <c r="F73" s="21" t="s">
        <v>3680</v>
      </c>
      <c r="G73" s="14" t="s">
        <v>6387</v>
      </c>
      <c r="M73" s="23" t="s">
        <v>3844</v>
      </c>
      <c r="N73" s="2" t="s">
        <v>5418</v>
      </c>
      <c r="O73" s="2" t="s">
        <v>5418</v>
      </c>
      <c r="P73" s="2"/>
      <c r="Q73" s="2" t="s">
        <v>5417</v>
      </c>
    </row>
    <row r="74" spans="2:17">
      <c r="B74" s="14" t="s">
        <v>6425</v>
      </c>
      <c r="C74" s="14" t="s">
        <v>6379</v>
      </c>
      <c r="F74" s="21" t="s">
        <v>834</v>
      </c>
      <c r="G74" s="14" t="s">
        <v>6387</v>
      </c>
      <c r="M74" s="17" t="s">
        <v>4311</v>
      </c>
      <c r="N74" s="2" t="s">
        <v>44</v>
      </c>
      <c r="O74" s="2"/>
      <c r="P74" s="42" t="s">
        <v>1983</v>
      </c>
      <c r="Q74" s="2" t="s">
        <v>5425</v>
      </c>
    </row>
    <row r="75" spans="2:17">
      <c r="B75" s="14" t="s">
        <v>1364</v>
      </c>
      <c r="C75" s="14" t="s">
        <v>6386</v>
      </c>
      <c r="F75" s="21" t="s">
        <v>4630</v>
      </c>
      <c r="G75" s="14" t="s">
        <v>6387</v>
      </c>
      <c r="M75" s="21" t="s">
        <v>976</v>
      </c>
      <c r="N75" s="2" t="s">
        <v>5430</v>
      </c>
      <c r="O75" s="2" t="s">
        <v>5431</v>
      </c>
      <c r="P75" s="42" t="s">
        <v>5479</v>
      </c>
      <c r="Q75" s="2" t="s">
        <v>5430</v>
      </c>
    </row>
    <row r="76" spans="2:17">
      <c r="B76" s="14" t="s">
        <v>6426</v>
      </c>
      <c r="C76" s="14" t="s">
        <v>6386</v>
      </c>
      <c r="F76" s="22" t="s">
        <v>851</v>
      </c>
      <c r="G76" s="14" t="s">
        <v>6387</v>
      </c>
      <c r="M76" s="59" t="s">
        <v>1364</v>
      </c>
      <c r="N76" s="2" t="s">
        <v>5480</v>
      </c>
      <c r="O76" s="2" t="s">
        <v>28</v>
      </c>
      <c r="P76" s="2" t="s">
        <v>5487</v>
      </c>
      <c r="Q76" s="2" t="s">
        <v>5414</v>
      </c>
    </row>
    <row r="77" spans="2:17">
      <c r="B77" s="14" t="s">
        <v>6427</v>
      </c>
      <c r="C77" s="14" t="s">
        <v>6379</v>
      </c>
      <c r="F77" s="21" t="s">
        <v>5679</v>
      </c>
      <c r="G77" s="14" t="s">
        <v>6387</v>
      </c>
      <c r="M77" t="s">
        <v>5683</v>
      </c>
      <c r="N77" s="2" t="s">
        <v>5418</v>
      </c>
      <c r="O77" s="70" t="s">
        <v>5419</v>
      </c>
      <c r="P77" s="42" t="s">
        <v>5488</v>
      </c>
      <c r="Q77" s="2" t="s">
        <v>5417</v>
      </c>
    </row>
    <row r="78" spans="2:17">
      <c r="B78" s="14" t="s">
        <v>5576</v>
      </c>
      <c r="C78" s="14" t="s">
        <v>6379</v>
      </c>
      <c r="F78" s="22" t="s">
        <v>5121</v>
      </c>
      <c r="G78" s="14" t="s">
        <v>6387</v>
      </c>
      <c r="M78" s="23" t="s">
        <v>5604</v>
      </c>
      <c r="N78" s="2"/>
      <c r="O78" s="2"/>
      <c r="P78" s="2"/>
      <c r="Q78" s="2" t="s">
        <v>5417</v>
      </c>
    </row>
    <row r="79" spans="2:17">
      <c r="B79" s="14" t="s">
        <v>6428</v>
      </c>
      <c r="C79" s="14" t="s">
        <v>6379</v>
      </c>
      <c r="F79" s="21" t="s">
        <v>4037</v>
      </c>
      <c r="G79" s="14" t="s">
        <v>6387</v>
      </c>
      <c r="M79" s="23" t="s">
        <v>218</v>
      </c>
      <c r="N79" s="2" t="s">
        <v>5421</v>
      </c>
      <c r="O79" s="2" t="s">
        <v>25</v>
      </c>
      <c r="P79" s="2" t="s">
        <v>683</v>
      </c>
      <c r="Q79" s="2" t="s">
        <v>5420</v>
      </c>
    </row>
    <row r="80" spans="2:17">
      <c r="B80" s="14" t="s">
        <v>5626</v>
      </c>
      <c r="C80" s="14" t="s">
        <v>6379</v>
      </c>
      <c r="F80" s="2" t="s">
        <v>5502</v>
      </c>
      <c r="G80" s="14" t="s">
        <v>6387</v>
      </c>
      <c r="M80" s="21" t="s">
        <v>2565</v>
      </c>
      <c r="N80" s="2" t="s">
        <v>5430</v>
      </c>
      <c r="O80" s="2" t="s">
        <v>5431</v>
      </c>
      <c r="P80" s="42" t="s">
        <v>5479</v>
      </c>
      <c r="Q80" s="2" t="s">
        <v>5430</v>
      </c>
    </row>
    <row r="81" spans="2:17">
      <c r="B81" s="14" t="s">
        <v>6429</v>
      </c>
      <c r="C81" s="14" t="s">
        <v>6379</v>
      </c>
      <c r="F81" s="22" t="s">
        <v>5192</v>
      </c>
      <c r="G81" s="14" t="s">
        <v>6387</v>
      </c>
      <c r="M81" s="17" t="s">
        <v>5567</v>
      </c>
      <c r="N81" s="2" t="s">
        <v>5418</v>
      </c>
      <c r="O81" s="2"/>
      <c r="P81" s="2"/>
      <c r="Q81" s="2" t="s">
        <v>5417</v>
      </c>
    </row>
    <row r="82" spans="2:17">
      <c r="B82" s="14" t="s">
        <v>1737</v>
      </c>
      <c r="C82" s="14" t="s">
        <v>6379</v>
      </c>
      <c r="F82" s="2" t="s">
        <v>5206</v>
      </c>
      <c r="G82" s="14" t="s">
        <v>6387</v>
      </c>
      <c r="M82" s="17" t="s">
        <v>4568</v>
      </c>
      <c r="N82" s="2" t="s">
        <v>5418</v>
      </c>
      <c r="O82" s="2" t="s">
        <v>5418</v>
      </c>
      <c r="P82" s="2"/>
      <c r="Q82" s="2"/>
    </row>
    <row r="83" spans="2:17">
      <c r="B83" s="14" t="s">
        <v>5651</v>
      </c>
      <c r="C83" s="14" t="s">
        <v>6379</v>
      </c>
      <c r="F83" s="23" t="s">
        <v>5292</v>
      </c>
      <c r="G83" s="20" t="s">
        <v>6392</v>
      </c>
      <c r="M83" s="23" t="s">
        <v>149</v>
      </c>
      <c r="N83" s="2" t="s">
        <v>5421</v>
      </c>
      <c r="O83" s="2" t="s">
        <v>5421</v>
      </c>
      <c r="P83" s="2" t="s">
        <v>5449</v>
      </c>
      <c r="Q83" s="2" t="s">
        <v>5420</v>
      </c>
    </row>
    <row r="84" spans="2:17">
      <c r="B84" s="14" t="s">
        <v>6430</v>
      </c>
      <c r="C84" s="14" t="s">
        <v>6379</v>
      </c>
      <c r="F84" s="23" t="s">
        <v>3844</v>
      </c>
      <c r="G84" s="20" t="s">
        <v>6392</v>
      </c>
      <c r="M84" s="23" t="s">
        <v>878</v>
      </c>
      <c r="N84" s="2" t="s">
        <v>5421</v>
      </c>
      <c r="O84" s="2" t="s">
        <v>5421</v>
      </c>
      <c r="P84" s="2" t="s">
        <v>5449</v>
      </c>
      <c r="Q84" s="2" t="s">
        <v>5420</v>
      </c>
    </row>
    <row r="85" spans="2:17">
      <c r="B85" s="14" t="s">
        <v>6431</v>
      </c>
      <c r="C85" s="14" t="s">
        <v>6379</v>
      </c>
      <c r="F85" s="17" t="s">
        <v>4311</v>
      </c>
      <c r="G85" s="20" t="s">
        <v>6392</v>
      </c>
      <c r="M85" s="19" t="s">
        <v>203</v>
      </c>
      <c r="N85" s="2" t="s">
        <v>45</v>
      </c>
      <c r="O85" s="2" t="s">
        <v>45</v>
      </c>
      <c r="P85" s="72" t="s">
        <v>5789</v>
      </c>
      <c r="Q85" s="2" t="s">
        <v>5425</v>
      </c>
    </row>
    <row r="86" spans="2:17">
      <c r="B86" s="14" t="s">
        <v>6432</v>
      </c>
      <c r="C86" s="14" t="s">
        <v>6379</v>
      </c>
      <c r="F86" s="17" t="s">
        <v>5527</v>
      </c>
      <c r="G86" s="20" t="s">
        <v>6392</v>
      </c>
      <c r="M86" s="19" t="s">
        <v>4643</v>
      </c>
      <c r="N86" s="2" t="s">
        <v>5430</v>
      </c>
      <c r="O86" s="2"/>
      <c r="P86" s="42"/>
      <c r="Q86" s="2" t="s">
        <v>5430</v>
      </c>
    </row>
    <row r="87" spans="2:17">
      <c r="B87" s="14" t="s">
        <v>6433</v>
      </c>
      <c r="C87" s="14" t="s">
        <v>6379</v>
      </c>
      <c r="F87" s="23" t="s">
        <v>1364</v>
      </c>
      <c r="G87" s="20" t="s">
        <v>6392</v>
      </c>
      <c r="M87" s="23" t="s">
        <v>193</v>
      </c>
      <c r="N87" s="53" t="s">
        <v>5483</v>
      </c>
      <c r="O87" s="2" t="s">
        <v>27</v>
      </c>
      <c r="P87" s="42" t="s">
        <v>141</v>
      </c>
      <c r="Q87" s="2" t="s">
        <v>5416</v>
      </c>
    </row>
    <row r="88" spans="2:17">
      <c r="B88" s="14" t="s">
        <v>6434</v>
      </c>
      <c r="C88" s="14" t="s">
        <v>6379</v>
      </c>
      <c r="F88" s="23" t="s">
        <v>97</v>
      </c>
      <c r="G88" s="20" t="s">
        <v>6392</v>
      </c>
      <c r="M88" s="23" t="s">
        <v>75</v>
      </c>
      <c r="N88" s="53" t="s">
        <v>5483</v>
      </c>
      <c r="O88" s="2" t="s">
        <v>27</v>
      </c>
      <c r="P88" s="42" t="s">
        <v>160</v>
      </c>
      <c r="Q88" s="2" t="s">
        <v>5416</v>
      </c>
    </row>
    <row r="89" spans="2:17">
      <c r="B89" s="14"/>
      <c r="C89" s="14"/>
      <c r="F89" s="2" t="s">
        <v>5572</v>
      </c>
      <c r="G89" s="20" t="s">
        <v>6392</v>
      </c>
      <c r="M89" s="67" t="s">
        <v>5505</v>
      </c>
      <c r="N89" s="68" t="s">
        <v>5483</v>
      </c>
      <c r="O89" s="69" t="s">
        <v>118</v>
      </c>
      <c r="P89" s="69" t="s">
        <v>141</v>
      </c>
      <c r="Q89" s="69" t="s">
        <v>5416</v>
      </c>
    </row>
    <row r="90" spans="2:17">
      <c r="B90" s="14"/>
      <c r="C90" s="14"/>
      <c r="F90" s="2" t="s">
        <v>5547</v>
      </c>
      <c r="G90" s="20" t="s">
        <v>6392</v>
      </c>
      <c r="M90" s="23" t="s">
        <v>2324</v>
      </c>
      <c r="N90" s="2" t="s">
        <v>44</v>
      </c>
      <c r="O90" s="2" t="s">
        <v>5426</v>
      </c>
      <c r="P90" s="73" t="s">
        <v>5489</v>
      </c>
      <c r="Q90" s="2" t="s">
        <v>5425</v>
      </c>
    </row>
    <row r="91" spans="2:17">
      <c r="B91" s="14"/>
      <c r="C91" s="14"/>
      <c r="F91" s="2" t="s">
        <v>4998</v>
      </c>
      <c r="G91" s="20" t="s">
        <v>6392</v>
      </c>
      <c r="M91" s="63" t="s">
        <v>3610</v>
      </c>
      <c r="N91" s="2" t="s">
        <v>5480</v>
      </c>
      <c r="O91" s="2" t="s">
        <v>28</v>
      </c>
      <c r="P91" s="42" t="s">
        <v>28</v>
      </c>
      <c r="Q91" s="2" t="s">
        <v>5414</v>
      </c>
    </row>
    <row r="92" spans="2:17">
      <c r="B92" s="14" t="s">
        <v>70</v>
      </c>
      <c r="C92" s="25" t="s">
        <v>6435</v>
      </c>
      <c r="F92" s="23" t="s">
        <v>5604</v>
      </c>
      <c r="G92" s="20" t="s">
        <v>6392</v>
      </c>
      <c r="M92" s="21" t="s">
        <v>3861</v>
      </c>
      <c r="N92" s="2" t="s">
        <v>5430</v>
      </c>
      <c r="O92" s="2" t="s">
        <v>5455</v>
      </c>
      <c r="P92" s="2"/>
      <c r="Q92" s="2" t="s">
        <v>5430</v>
      </c>
    </row>
    <row r="93" spans="2:17">
      <c r="B93" s="14" t="s">
        <v>5592</v>
      </c>
      <c r="C93" s="25" t="s">
        <v>6435</v>
      </c>
      <c r="F93" s="23" t="s">
        <v>218</v>
      </c>
      <c r="G93" s="20" t="s">
        <v>6392</v>
      </c>
      <c r="M93" s="2" t="s">
        <v>5519</v>
      </c>
      <c r="N93" s="54" t="s">
        <v>5421</v>
      </c>
      <c r="O93" s="2" t="s">
        <v>25</v>
      </c>
      <c r="P93" s="42" t="s">
        <v>28</v>
      </c>
      <c r="Q93" s="2" t="s">
        <v>5420</v>
      </c>
    </row>
    <row r="94" spans="2:17">
      <c r="B94" s="14" t="s">
        <v>5593</v>
      </c>
      <c r="C94" s="25" t="s">
        <v>6435</v>
      </c>
      <c r="F94" s="23" t="s">
        <v>5524</v>
      </c>
      <c r="G94" s="20" t="s">
        <v>6392</v>
      </c>
      <c r="M94" s="17" t="s">
        <v>85</v>
      </c>
      <c r="N94" s="2" t="s">
        <v>5421</v>
      </c>
      <c r="O94" s="2" t="s">
        <v>5421</v>
      </c>
      <c r="P94" s="2"/>
      <c r="Q94" s="2" t="s">
        <v>5420</v>
      </c>
    </row>
    <row r="95" spans="2:17">
      <c r="B95" s="14" t="s">
        <v>6436</v>
      </c>
      <c r="C95" s="25" t="s">
        <v>6435</v>
      </c>
      <c r="F95" s="17" t="s">
        <v>5567</v>
      </c>
      <c r="G95" s="20" t="s">
        <v>6392</v>
      </c>
      <c r="M95" s="23" t="s">
        <v>70</v>
      </c>
      <c r="N95" s="53" t="s">
        <v>5483</v>
      </c>
      <c r="O95" s="2" t="s">
        <v>36</v>
      </c>
      <c r="P95" s="2" t="s">
        <v>36</v>
      </c>
      <c r="Q95" s="2" t="s">
        <v>5416</v>
      </c>
    </row>
    <row r="96" spans="2:17">
      <c r="B96" s="14" t="s">
        <v>5629</v>
      </c>
      <c r="C96" s="25" t="s">
        <v>6435</v>
      </c>
      <c r="F96" s="17" t="s">
        <v>4568</v>
      </c>
      <c r="G96" s="20" t="s">
        <v>6392</v>
      </c>
      <c r="M96" s="23" t="s">
        <v>5593</v>
      </c>
      <c r="N96" s="53" t="s">
        <v>5483</v>
      </c>
      <c r="O96" s="2" t="s">
        <v>36</v>
      </c>
      <c r="P96" s="2" t="s">
        <v>36</v>
      </c>
      <c r="Q96" s="2" t="s">
        <v>5416</v>
      </c>
    </row>
    <row r="97" spans="2:17">
      <c r="B97" s="14" t="s">
        <v>6437</v>
      </c>
      <c r="C97" s="25" t="s">
        <v>6435</v>
      </c>
      <c r="F97" s="23" t="s">
        <v>149</v>
      </c>
      <c r="G97" s="20" t="s">
        <v>6392</v>
      </c>
      <c r="M97" s="23" t="s">
        <v>5595</v>
      </c>
      <c r="N97" s="53" t="s">
        <v>5483</v>
      </c>
      <c r="O97" s="2" t="s">
        <v>36</v>
      </c>
      <c r="P97" s="2" t="s">
        <v>36</v>
      </c>
      <c r="Q97" s="2" t="s">
        <v>5416</v>
      </c>
    </row>
    <row r="98" spans="2:17">
      <c r="B98" s="14" t="s">
        <v>5594</v>
      </c>
      <c r="C98" s="25" t="s">
        <v>6435</v>
      </c>
      <c r="F98" s="23" t="s">
        <v>878</v>
      </c>
      <c r="G98" s="20" t="s">
        <v>6392</v>
      </c>
      <c r="M98" s="23" t="s">
        <v>5597</v>
      </c>
      <c r="N98" s="53" t="s">
        <v>5483</v>
      </c>
      <c r="O98" s="2" t="s">
        <v>36</v>
      </c>
      <c r="P98" s="2" t="s">
        <v>36</v>
      </c>
      <c r="Q98" s="2" t="s">
        <v>5416</v>
      </c>
    </row>
    <row r="99" spans="2:17">
      <c r="B99" s="14" t="s">
        <v>5595</v>
      </c>
      <c r="C99" s="25" t="s">
        <v>6435</v>
      </c>
      <c r="F99" s="19" t="s">
        <v>5558</v>
      </c>
      <c r="G99" s="14" t="s">
        <v>6382</v>
      </c>
      <c r="M99" s="23" t="s">
        <v>1357</v>
      </c>
      <c r="N99" s="2" t="s">
        <v>5421</v>
      </c>
      <c r="O99" s="2" t="s">
        <v>25</v>
      </c>
      <c r="P99" s="2" t="s">
        <v>683</v>
      </c>
      <c r="Q99" s="2" t="s">
        <v>5420</v>
      </c>
    </row>
    <row r="100" spans="2:17">
      <c r="B100" s="14" t="s">
        <v>6438</v>
      </c>
      <c r="C100" s="25" t="s">
        <v>6435</v>
      </c>
      <c r="F100" s="19" t="s">
        <v>203</v>
      </c>
      <c r="G100" s="14" t="s">
        <v>6382</v>
      </c>
      <c r="M100" s="23" t="s">
        <v>313</v>
      </c>
      <c r="N100" s="2" t="s">
        <v>5418</v>
      </c>
      <c r="O100" s="70"/>
      <c r="P100" s="42" t="s">
        <v>5488</v>
      </c>
      <c r="Q100" s="2" t="s">
        <v>5417</v>
      </c>
    </row>
    <row r="101" spans="2:17">
      <c r="B101" s="14" t="s">
        <v>5599</v>
      </c>
      <c r="C101" s="25" t="s">
        <v>6435</v>
      </c>
      <c r="F101" s="19" t="s">
        <v>4643</v>
      </c>
      <c r="G101" s="14" t="s">
        <v>6382</v>
      </c>
      <c r="M101" s="23" t="s">
        <v>5516</v>
      </c>
      <c r="N101" s="2" t="s">
        <v>37</v>
      </c>
      <c r="O101" s="2" t="s">
        <v>37</v>
      </c>
      <c r="P101" s="42" t="s">
        <v>5449</v>
      </c>
      <c r="Q101" s="2" t="s">
        <v>5420</v>
      </c>
    </row>
    <row r="102" spans="2:17">
      <c r="B102" s="14" t="s">
        <v>5597</v>
      </c>
      <c r="C102" s="25" t="s">
        <v>6435</v>
      </c>
      <c r="F102" s="23" t="s">
        <v>193</v>
      </c>
      <c r="G102" s="14" t="s">
        <v>6380</v>
      </c>
      <c r="M102" s="23" t="s">
        <v>163</v>
      </c>
      <c r="N102" s="53" t="s">
        <v>5483</v>
      </c>
      <c r="O102" s="2" t="s">
        <v>27</v>
      </c>
      <c r="P102" s="42" t="s">
        <v>5485</v>
      </c>
      <c r="Q102" s="2" t="s">
        <v>5416</v>
      </c>
    </row>
    <row r="103" spans="2:17">
      <c r="B103" s="14" t="s">
        <v>6439</v>
      </c>
      <c r="C103" s="14" t="s">
        <v>6379</v>
      </c>
      <c r="F103" s="23" t="s">
        <v>75</v>
      </c>
      <c r="G103" s="14" t="s">
        <v>6388</v>
      </c>
      <c r="M103" s="49" t="s">
        <v>6440</v>
      </c>
      <c r="N103" s="2" t="s">
        <v>6441</v>
      </c>
      <c r="O103" s="2" t="s">
        <v>5495</v>
      </c>
      <c r="P103" s="2"/>
      <c r="Q103" s="2"/>
    </row>
    <row r="104" spans="2:17">
      <c r="B104" s="14"/>
      <c r="C104" s="14"/>
      <c r="F104" s="2" t="s">
        <v>2255</v>
      </c>
      <c r="G104" s="14" t="s">
        <v>6388</v>
      </c>
      <c r="M104" s="2" t="s">
        <v>5601</v>
      </c>
      <c r="N104" s="53" t="s">
        <v>5483</v>
      </c>
      <c r="O104" s="69" t="s">
        <v>29</v>
      </c>
      <c r="P104" s="42" t="s">
        <v>160</v>
      </c>
      <c r="Q104" s="2" t="s">
        <v>5416</v>
      </c>
    </row>
    <row r="105" spans="2:17">
      <c r="B105" s="14"/>
      <c r="C105" s="14"/>
      <c r="F105" s="2" t="s">
        <v>5639</v>
      </c>
      <c r="G105" s="14" t="s">
        <v>6388</v>
      </c>
      <c r="M105" s="21" t="s">
        <v>2727</v>
      </c>
      <c r="N105" s="2" t="s">
        <v>5430</v>
      </c>
      <c r="O105" s="2" t="s">
        <v>5431</v>
      </c>
      <c r="P105" s="42" t="s">
        <v>5479</v>
      </c>
      <c r="Q105" s="2" t="s">
        <v>5430</v>
      </c>
    </row>
    <row r="106" spans="2:17">
      <c r="B106" s="14"/>
      <c r="C106" s="14"/>
      <c r="F106" s="2" t="s">
        <v>250</v>
      </c>
      <c r="G106" s="14" t="s">
        <v>6388</v>
      </c>
      <c r="M106" s="2" t="s">
        <v>5616</v>
      </c>
      <c r="N106" s="53" t="s">
        <v>5483</v>
      </c>
      <c r="O106" s="2" t="s">
        <v>27</v>
      </c>
      <c r="P106" s="2" t="s">
        <v>141</v>
      </c>
      <c r="Q106" s="2" t="s">
        <v>5416</v>
      </c>
    </row>
    <row r="107" spans="2:17">
      <c r="B107" s="14"/>
      <c r="C107" s="14"/>
      <c r="F107" s="2" t="s">
        <v>441</v>
      </c>
      <c r="G107" s="14" t="s">
        <v>6388</v>
      </c>
      <c r="M107" s="2" t="s">
        <v>5549</v>
      </c>
      <c r="N107" s="2" t="s">
        <v>5418</v>
      </c>
      <c r="O107" s="77" t="s">
        <v>232</v>
      </c>
      <c r="P107" s="42" t="s">
        <v>5832</v>
      </c>
      <c r="Q107" s="2" t="s">
        <v>5417</v>
      </c>
    </row>
    <row r="108" spans="2:17">
      <c r="B108" s="14" t="s">
        <v>6442</v>
      </c>
      <c r="C108" s="14" t="s">
        <v>6379</v>
      </c>
      <c r="F108" s="21" t="s">
        <v>5505</v>
      </c>
      <c r="G108" s="14" t="s">
        <v>6387</v>
      </c>
      <c r="M108" s="2" t="s">
        <v>1573</v>
      </c>
      <c r="N108" s="2" t="s">
        <v>5493</v>
      </c>
      <c r="O108" s="2" t="s">
        <v>5493</v>
      </c>
      <c r="P108" s="42" t="s">
        <v>28</v>
      </c>
      <c r="Q108" s="2" t="s">
        <v>5955</v>
      </c>
    </row>
    <row r="109" spans="2:17">
      <c r="B109" s="14" t="s">
        <v>6443</v>
      </c>
      <c r="C109" s="14" t="s">
        <v>6379</v>
      </c>
      <c r="F109" s="21" t="s">
        <v>2019</v>
      </c>
      <c r="G109" s="14" t="s">
        <v>6387</v>
      </c>
      <c r="M109" s="21" t="s">
        <v>1754</v>
      </c>
      <c r="N109" s="2" t="s">
        <v>113</v>
      </c>
      <c r="O109" s="2" t="s">
        <v>113</v>
      </c>
      <c r="P109" s="42" t="s">
        <v>112</v>
      </c>
      <c r="Q109" s="2" t="s">
        <v>6399</v>
      </c>
    </row>
    <row r="110" spans="2:17">
      <c r="B110" s="14" t="s">
        <v>6444</v>
      </c>
      <c r="C110" s="14" t="s">
        <v>6379</v>
      </c>
      <c r="F110" s="21" t="s">
        <v>3610</v>
      </c>
      <c r="G110" s="14" t="s">
        <v>6387</v>
      </c>
      <c r="M110" s="2" t="s">
        <v>5841</v>
      </c>
      <c r="N110" s="2" t="s">
        <v>5430</v>
      </c>
      <c r="O110" t="s">
        <v>5433</v>
      </c>
      <c r="P110" s="42" t="s">
        <v>5472</v>
      </c>
      <c r="Q110" s="2" t="s">
        <v>5430</v>
      </c>
    </row>
    <row r="111" spans="2:17">
      <c r="B111" s="14" t="s">
        <v>5647</v>
      </c>
      <c r="C111" s="14" t="s">
        <v>6379</v>
      </c>
      <c r="F111" s="21" t="s">
        <v>3861</v>
      </c>
      <c r="G111" s="14" t="s">
        <v>6387</v>
      </c>
      <c r="M111" s="19" t="s">
        <v>4196</v>
      </c>
      <c r="N111" s="2" t="s">
        <v>45</v>
      </c>
      <c r="O111" s="2" t="s">
        <v>45</v>
      </c>
      <c r="P111" s="72" t="s">
        <v>5789</v>
      </c>
      <c r="Q111" s="2" t="s">
        <v>5425</v>
      </c>
    </row>
    <row r="112" spans="2:17">
      <c r="B112" s="14" t="s">
        <v>6445</v>
      </c>
      <c r="C112" s="14" t="s">
        <v>6379</v>
      </c>
      <c r="F112" s="21" t="s">
        <v>144</v>
      </c>
      <c r="G112" s="14" t="s">
        <v>6387</v>
      </c>
      <c r="M112" s="2" t="s">
        <v>5612</v>
      </c>
      <c r="N112" s="2" t="s">
        <v>6446</v>
      </c>
      <c r="O112" s="2" t="s">
        <v>25</v>
      </c>
      <c r="P112" s="2" t="s">
        <v>683</v>
      </c>
      <c r="Q112" s="2" t="s">
        <v>5420</v>
      </c>
    </row>
    <row r="113" spans="2:17">
      <c r="B113" s="14" t="s">
        <v>6447</v>
      </c>
      <c r="C113" s="14" t="s">
        <v>6379</v>
      </c>
      <c r="F113" s="23" t="s">
        <v>85</v>
      </c>
      <c r="G113" s="20" t="s">
        <v>6392</v>
      </c>
      <c r="M113" s="2" t="s">
        <v>5711</v>
      </c>
      <c r="N113" s="2" t="s">
        <v>5712</v>
      </c>
      <c r="O113" s="2" t="s">
        <v>5424</v>
      </c>
      <c r="P113" s="2" t="s">
        <v>5424</v>
      </c>
      <c r="Q113" s="2" t="s">
        <v>5423</v>
      </c>
    </row>
    <row r="114" spans="2:17">
      <c r="B114" s="14" t="s">
        <v>5678</v>
      </c>
      <c r="C114" s="14" t="s">
        <v>6379</v>
      </c>
      <c r="F114" s="23" t="s">
        <v>70</v>
      </c>
      <c r="G114" s="14" t="s">
        <v>6448</v>
      </c>
      <c r="M114" s="2" t="s">
        <v>5547</v>
      </c>
      <c r="N114" s="2" t="s">
        <v>5418</v>
      </c>
      <c r="O114" s="2" t="s">
        <v>1030</v>
      </c>
      <c r="P114" s="2" t="s">
        <v>1030</v>
      </c>
      <c r="Q114" s="2" t="s">
        <v>5417</v>
      </c>
    </row>
    <row r="115" spans="2:17">
      <c r="B115" s="14" t="s">
        <v>6449</v>
      </c>
      <c r="C115" s="14" t="s">
        <v>6379</v>
      </c>
      <c r="F115" s="23" t="s">
        <v>5593</v>
      </c>
      <c r="G115" s="14" t="s">
        <v>6448</v>
      </c>
      <c r="M115" s="66" t="s">
        <v>5545</v>
      </c>
      <c r="N115" s="2" t="s">
        <v>5418</v>
      </c>
      <c r="O115" s="2" t="s">
        <v>1030</v>
      </c>
      <c r="P115" s="2" t="s">
        <v>5490</v>
      </c>
      <c r="Q115" s="2" t="s">
        <v>5417</v>
      </c>
    </row>
    <row r="116" spans="2:17">
      <c r="B116" s="14" t="s">
        <v>6450</v>
      </c>
      <c r="C116" s="14" t="s">
        <v>6379</v>
      </c>
      <c r="F116" s="23" t="s">
        <v>5595</v>
      </c>
      <c r="G116" s="14" t="s">
        <v>6448</v>
      </c>
      <c r="M116" s="2" t="s">
        <v>5572</v>
      </c>
      <c r="N116" s="2" t="s">
        <v>5418</v>
      </c>
      <c r="O116" s="2" t="s">
        <v>4881</v>
      </c>
      <c r="P116" s="42" t="s">
        <v>5462</v>
      </c>
      <c r="Q116" s="2" t="s">
        <v>5417</v>
      </c>
    </row>
    <row r="117" spans="2:17">
      <c r="B117" s="14" t="s">
        <v>6451</v>
      </c>
      <c r="C117" s="14" t="s">
        <v>6379</v>
      </c>
      <c r="F117" s="23" t="s">
        <v>5597</v>
      </c>
      <c r="G117" s="14" t="s">
        <v>6448</v>
      </c>
      <c r="M117" s="2" t="s">
        <v>5704</v>
      </c>
      <c r="N117" s="2" t="s">
        <v>5480</v>
      </c>
      <c r="O117" s="42" t="s">
        <v>28</v>
      </c>
      <c r="P117" s="42" t="s">
        <v>28</v>
      </c>
      <c r="Q117" s="2" t="s">
        <v>5414</v>
      </c>
    </row>
    <row r="118" spans="2:17">
      <c r="B118" s="14"/>
      <c r="C118" s="14"/>
      <c r="F118" s="2" t="s">
        <v>5548</v>
      </c>
      <c r="G118" s="20" t="s">
        <v>6392</v>
      </c>
      <c r="M118" s="21" t="s">
        <v>144</v>
      </c>
      <c r="N118" s="54" t="s">
        <v>5421</v>
      </c>
      <c r="O118" s="2" t="s">
        <v>5421</v>
      </c>
      <c r="P118" s="42" t="s">
        <v>28</v>
      </c>
      <c r="Q118" s="2" t="s">
        <v>5420</v>
      </c>
    </row>
    <row r="119" spans="2:17">
      <c r="B119" s="14" t="s">
        <v>6452</v>
      </c>
      <c r="C119" s="14" t="s">
        <v>6379</v>
      </c>
      <c r="F119" s="23" t="s">
        <v>1357</v>
      </c>
      <c r="G119" s="20" t="s">
        <v>6392</v>
      </c>
      <c r="M119" s="2" t="s">
        <v>5855</v>
      </c>
      <c r="N119" s="2" t="s">
        <v>5418</v>
      </c>
      <c r="O119" s="2" t="s">
        <v>4881</v>
      </c>
      <c r="P119" s="75" t="s">
        <v>5856</v>
      </c>
      <c r="Q119" s="2" t="s">
        <v>5417</v>
      </c>
    </row>
    <row r="120" spans="2:17">
      <c r="B120" s="14" t="s">
        <v>5709</v>
      </c>
      <c r="C120" s="14" t="s">
        <v>6379</v>
      </c>
      <c r="F120" s="23" t="s">
        <v>313</v>
      </c>
      <c r="G120" s="20" t="s">
        <v>6392</v>
      </c>
      <c r="M120" s="2" t="s">
        <v>5528</v>
      </c>
      <c r="N120" s="2" t="s">
        <v>113</v>
      </c>
      <c r="O120" s="2" t="s">
        <v>113</v>
      </c>
      <c r="P120" s="42" t="s">
        <v>112</v>
      </c>
      <c r="Q120" s="2" t="s">
        <v>6399</v>
      </c>
    </row>
    <row r="121" spans="2:17">
      <c r="B121" s="14" t="s">
        <v>6453</v>
      </c>
      <c r="C121" s="14" t="s">
        <v>6379</v>
      </c>
      <c r="F121" s="23" t="s">
        <v>5516</v>
      </c>
      <c r="G121" s="20" t="s">
        <v>6392</v>
      </c>
      <c r="M121" s="2" t="s">
        <v>5700</v>
      </c>
      <c r="N121" s="2" t="s">
        <v>5430</v>
      </c>
      <c r="O121" s="2" t="s">
        <v>5431</v>
      </c>
      <c r="P121" s="42" t="s">
        <v>5479</v>
      </c>
      <c r="Q121" s="2" t="s">
        <v>5430</v>
      </c>
    </row>
    <row r="122" spans="2:17">
      <c r="B122" s="14" t="s">
        <v>6454</v>
      </c>
      <c r="C122" s="14" t="s">
        <v>6379</v>
      </c>
      <c r="F122" s="23" t="s">
        <v>163</v>
      </c>
      <c r="G122" s="18" t="s">
        <v>6455</v>
      </c>
      <c r="M122" s="2" t="s">
        <v>5624</v>
      </c>
      <c r="N122" s="2" t="s">
        <v>5496</v>
      </c>
      <c r="O122" s="69" t="s">
        <v>5496</v>
      </c>
      <c r="P122" s="2"/>
      <c r="Q122" s="2"/>
    </row>
    <row r="123" spans="2:17" ht="16.5" customHeight="1">
      <c r="B123" s="14" t="s">
        <v>97</v>
      </c>
      <c r="C123" s="14" t="s">
        <v>6386</v>
      </c>
      <c r="F123" s="43" t="s">
        <v>5855</v>
      </c>
      <c r="G123" s="20" t="s">
        <v>6392</v>
      </c>
      <c r="M123" s="2" t="s">
        <v>5881</v>
      </c>
      <c r="N123" s="2" t="s">
        <v>44</v>
      </c>
      <c r="O123" s="2" t="s">
        <v>5466</v>
      </c>
      <c r="P123" s="42" t="s">
        <v>1983</v>
      </c>
      <c r="Q123" s="2" t="s">
        <v>5425</v>
      </c>
    </row>
    <row r="124" spans="2:17" ht="16.5" customHeight="1">
      <c r="B124" s="14" t="s">
        <v>97</v>
      </c>
      <c r="C124" s="14" t="s">
        <v>6379</v>
      </c>
      <c r="F124" s="43" t="s">
        <v>5689</v>
      </c>
      <c r="G124" s="20" t="s">
        <v>6392</v>
      </c>
      <c r="M124" s="2" t="s">
        <v>5613</v>
      </c>
      <c r="N124" s="2" t="s">
        <v>5430</v>
      </c>
      <c r="O124" s="2" t="s">
        <v>5455</v>
      </c>
      <c r="P124" s="42" t="s">
        <v>5433</v>
      </c>
      <c r="Q124" s="2" t="s">
        <v>5430</v>
      </c>
    </row>
    <row r="125" spans="2:17">
      <c r="B125" s="14" t="s">
        <v>4998</v>
      </c>
      <c r="C125" s="14" t="s">
        <v>6386</v>
      </c>
      <c r="F125" s="2" t="s">
        <v>5573</v>
      </c>
      <c r="G125" s="14" t="s">
        <v>6456</v>
      </c>
      <c r="M125" s="2" t="s">
        <v>5614</v>
      </c>
      <c r="N125" s="2" t="s">
        <v>45</v>
      </c>
      <c r="O125" s="2" t="s">
        <v>45</v>
      </c>
      <c r="P125" s="72" t="s">
        <v>5789</v>
      </c>
      <c r="Q125" s="2" t="s">
        <v>5425</v>
      </c>
    </row>
    <row r="126" spans="2:17" ht="16.5">
      <c r="B126" s="14" t="s">
        <v>5539</v>
      </c>
      <c r="C126" s="14" t="s">
        <v>6386</v>
      </c>
      <c r="F126" s="2" t="s">
        <v>5550</v>
      </c>
      <c r="G126" s="20" t="s">
        <v>6392</v>
      </c>
      <c r="M126" s="43" t="s">
        <v>5510</v>
      </c>
      <c r="N126" s="2" t="s">
        <v>5421</v>
      </c>
      <c r="O126" s="2" t="s">
        <v>5421</v>
      </c>
      <c r="P126" s="42" t="s">
        <v>5454</v>
      </c>
      <c r="Q126" s="2" t="s">
        <v>5420</v>
      </c>
    </row>
    <row r="127" spans="2:17">
      <c r="B127" s="14" t="s">
        <v>6457</v>
      </c>
      <c r="C127" s="14" t="s">
        <v>6386</v>
      </c>
      <c r="F127" s="2" t="s">
        <v>5546</v>
      </c>
      <c r="G127" s="14" t="s">
        <v>6387</v>
      </c>
      <c r="M127" s="2" t="s">
        <v>5546</v>
      </c>
      <c r="N127" s="2" t="s">
        <v>5421</v>
      </c>
      <c r="O127" s="2" t="s">
        <v>5421</v>
      </c>
      <c r="P127" s="42" t="s">
        <v>5465</v>
      </c>
      <c r="Q127" s="2" t="s">
        <v>5420</v>
      </c>
    </row>
    <row r="128" spans="2:17">
      <c r="B128" s="14" t="s">
        <v>6458</v>
      </c>
      <c r="C128" s="14" t="s">
        <v>6386</v>
      </c>
      <c r="F128" s="2" t="s">
        <v>5601</v>
      </c>
      <c r="G128" s="14" t="s">
        <v>6388</v>
      </c>
      <c r="M128" s="25" t="s">
        <v>6459</v>
      </c>
      <c r="N128" s="2" t="s">
        <v>5714</v>
      </c>
      <c r="O128" s="2" t="s">
        <v>5424</v>
      </c>
      <c r="P128" s="2" t="s">
        <v>5424</v>
      </c>
      <c r="Q128" s="2" t="s">
        <v>5423</v>
      </c>
    </row>
    <row r="129" spans="2:17">
      <c r="B129" s="14" t="s">
        <v>5545</v>
      </c>
      <c r="C129" s="14" t="s">
        <v>6386</v>
      </c>
      <c r="F129" s="2" t="s">
        <v>5528</v>
      </c>
      <c r="G129" s="14" t="s">
        <v>6388</v>
      </c>
      <c r="M129" s="25" t="s">
        <v>6460</v>
      </c>
      <c r="N129" s="2" t="s">
        <v>5714</v>
      </c>
      <c r="O129" s="2" t="s">
        <v>5424</v>
      </c>
      <c r="P129" s="2" t="s">
        <v>5424</v>
      </c>
      <c r="Q129" s="2" t="s">
        <v>5423</v>
      </c>
    </row>
    <row r="130" spans="2:17">
      <c r="B130" s="14" t="s">
        <v>6461</v>
      </c>
      <c r="C130" s="14" t="s">
        <v>6379</v>
      </c>
      <c r="F130" s="2" t="s">
        <v>5616</v>
      </c>
      <c r="G130" s="14" t="s">
        <v>6388</v>
      </c>
      <c r="M130" s="2" t="s">
        <v>5716</v>
      </c>
      <c r="N130" s="2" t="s">
        <v>5714</v>
      </c>
      <c r="O130" s="2" t="s">
        <v>5424</v>
      </c>
      <c r="P130" s="2" t="s">
        <v>5424</v>
      </c>
      <c r="Q130" s="2" t="s">
        <v>5423</v>
      </c>
    </row>
    <row r="131" spans="2:17">
      <c r="B131" s="14" t="s">
        <v>6462</v>
      </c>
      <c r="C131" s="14" t="s">
        <v>6386</v>
      </c>
      <c r="F131" s="2" t="s">
        <v>5602</v>
      </c>
      <c r="G131" s="14" t="s">
        <v>6388</v>
      </c>
      <c r="M131" s="2" t="s">
        <v>5651</v>
      </c>
      <c r="N131" s="2" t="s">
        <v>5714</v>
      </c>
      <c r="O131" s="2" t="s">
        <v>5424</v>
      </c>
      <c r="P131" s="2" t="s">
        <v>5424</v>
      </c>
      <c r="Q131" s="2" t="s">
        <v>5423</v>
      </c>
    </row>
    <row r="132" spans="2:17" ht="16.5" customHeight="1">
      <c r="B132" s="14" t="s">
        <v>6463</v>
      </c>
      <c r="C132" s="14" t="s">
        <v>6379</v>
      </c>
      <c r="F132" s="43" t="s">
        <v>5510</v>
      </c>
      <c r="G132" s="20" t="s">
        <v>6392</v>
      </c>
      <c r="M132" s="50" t="s">
        <v>5717</v>
      </c>
      <c r="N132" s="2" t="s">
        <v>5714</v>
      </c>
      <c r="O132" s="2" t="s">
        <v>5424</v>
      </c>
      <c r="P132" s="2" t="s">
        <v>5424</v>
      </c>
      <c r="Q132" s="2" t="s">
        <v>5423</v>
      </c>
    </row>
    <row r="133" spans="2:17">
      <c r="B133" s="14" t="s">
        <v>6464</v>
      </c>
      <c r="C133" s="14" t="s">
        <v>6379</v>
      </c>
      <c r="F133" s="14" t="s">
        <v>1573</v>
      </c>
      <c r="G133" s="20" t="s">
        <v>6392</v>
      </c>
      <c r="M133" s="50" t="s">
        <v>5718</v>
      </c>
      <c r="N133" s="2" t="s">
        <v>5714</v>
      </c>
      <c r="O133" s="2" t="s">
        <v>5424</v>
      </c>
      <c r="P133" s="2" t="s">
        <v>5424</v>
      </c>
      <c r="Q133" s="2" t="s">
        <v>5423</v>
      </c>
    </row>
    <row r="134" spans="2:17" ht="16.5" customHeight="1">
      <c r="B134" s="14" t="s">
        <v>6465</v>
      </c>
      <c r="C134" s="14" t="s">
        <v>6379</v>
      </c>
      <c r="F134" s="43" t="s">
        <v>5732</v>
      </c>
      <c r="G134" s="14" t="s">
        <v>6466</v>
      </c>
      <c r="M134" s="50" t="s">
        <v>5719</v>
      </c>
      <c r="N134" s="2" t="s">
        <v>5714</v>
      </c>
      <c r="O134" s="2" t="s">
        <v>5424</v>
      </c>
      <c r="P134" s="2" t="s">
        <v>5424</v>
      </c>
      <c r="Q134" s="2" t="s">
        <v>5423</v>
      </c>
    </row>
    <row r="135" spans="2:17">
      <c r="B135" s="14" t="s">
        <v>5604</v>
      </c>
      <c r="C135" s="14" t="s">
        <v>6386</v>
      </c>
      <c r="F135" s="2" t="s">
        <v>5694</v>
      </c>
      <c r="G135" s="14" t="s">
        <v>6387</v>
      </c>
      <c r="M135" s="50" t="s">
        <v>5720</v>
      </c>
      <c r="N135" s="2" t="s">
        <v>5714</v>
      </c>
      <c r="O135" s="2" t="s">
        <v>5424</v>
      </c>
      <c r="P135" s="2" t="s">
        <v>5424</v>
      </c>
      <c r="Q135" s="2" t="s">
        <v>5423</v>
      </c>
    </row>
    <row r="136" spans="2:17">
      <c r="B136" s="14" t="s">
        <v>6467</v>
      </c>
      <c r="C136" s="14" t="s">
        <v>6379</v>
      </c>
      <c r="F136" s="2" t="s">
        <v>5692</v>
      </c>
      <c r="G136" s="14" t="s">
        <v>6382</v>
      </c>
      <c r="M136" s="50" t="s">
        <v>5721</v>
      </c>
      <c r="N136" s="2" t="s">
        <v>5714</v>
      </c>
      <c r="O136" s="2" t="s">
        <v>5424</v>
      </c>
      <c r="P136" s="2" t="s">
        <v>5424</v>
      </c>
      <c r="Q136" s="2" t="s">
        <v>5423</v>
      </c>
    </row>
    <row r="137" spans="2:17">
      <c r="B137" s="14" t="s">
        <v>6468</v>
      </c>
      <c r="C137" s="14" t="s">
        <v>6379</v>
      </c>
      <c r="F137" s="2" t="s">
        <v>6469</v>
      </c>
      <c r="G137" s="14" t="s">
        <v>6392</v>
      </c>
      <c r="M137" s="50" t="s">
        <v>5722</v>
      </c>
      <c r="N137" s="2" t="s">
        <v>5714</v>
      </c>
      <c r="O137" s="2" t="s">
        <v>5424</v>
      </c>
      <c r="P137" s="2" t="s">
        <v>5424</v>
      </c>
      <c r="Q137" s="2" t="s">
        <v>5423</v>
      </c>
    </row>
    <row r="138" spans="2:17" ht="15.75">
      <c r="B138" s="14" t="s">
        <v>5630</v>
      </c>
      <c r="C138" s="14" t="s">
        <v>6379</v>
      </c>
      <c r="F138" s="55" t="s">
        <v>6470</v>
      </c>
      <c r="G138" s="56" t="s">
        <v>6387</v>
      </c>
      <c r="M138" s="50" t="s">
        <v>5723</v>
      </c>
      <c r="N138" s="2" t="s">
        <v>5714</v>
      </c>
      <c r="O138" s="2" t="s">
        <v>5424</v>
      </c>
      <c r="P138" s="2" t="s">
        <v>5424</v>
      </c>
      <c r="Q138" s="2" t="s">
        <v>5423</v>
      </c>
    </row>
    <row r="139" spans="2:17">
      <c r="B139" s="14" t="s">
        <v>6471</v>
      </c>
      <c r="C139" s="14" t="s">
        <v>6379</v>
      </c>
      <c r="M139" s="50" t="s">
        <v>5724</v>
      </c>
      <c r="N139" s="2" t="s">
        <v>5714</v>
      </c>
      <c r="O139" s="2" t="s">
        <v>5424</v>
      </c>
      <c r="P139" s="2" t="s">
        <v>5424</v>
      </c>
      <c r="Q139" s="2" t="s">
        <v>5423</v>
      </c>
    </row>
    <row r="140" spans="2:17">
      <c r="B140" s="14" t="s">
        <v>6472</v>
      </c>
      <c r="C140" s="14" t="s">
        <v>6379</v>
      </c>
      <c r="M140" s="2" t="s">
        <v>5602</v>
      </c>
      <c r="N140" s="53" t="s">
        <v>5483</v>
      </c>
      <c r="O140" s="69" t="s">
        <v>72</v>
      </c>
      <c r="P140" s="42" t="s">
        <v>5485</v>
      </c>
      <c r="Q140" s="2" t="s">
        <v>5416</v>
      </c>
    </row>
    <row r="141" spans="2:17">
      <c r="B141" s="14" t="s">
        <v>6473</v>
      </c>
      <c r="C141" s="14" t="s">
        <v>6379</v>
      </c>
      <c r="M141" s="2" t="s">
        <v>5725</v>
      </c>
      <c r="N141" s="2" t="s">
        <v>5714</v>
      </c>
      <c r="O141" s="2" t="s">
        <v>5424</v>
      </c>
      <c r="P141" s="2" t="s">
        <v>5424</v>
      </c>
      <c r="Q141" s="2" t="s">
        <v>5423</v>
      </c>
    </row>
    <row r="142" spans="2:17" ht="16.5">
      <c r="B142" s="14" t="s">
        <v>5566</v>
      </c>
      <c r="C142" s="14" t="s">
        <v>6379</v>
      </c>
      <c r="M142" s="43" t="s">
        <v>5836</v>
      </c>
      <c r="N142" s="2" t="s">
        <v>5430</v>
      </c>
      <c r="O142" t="s">
        <v>5433</v>
      </c>
      <c r="P142" s="42" t="s">
        <v>5472</v>
      </c>
      <c r="Q142" s="2" t="s">
        <v>5430</v>
      </c>
    </row>
    <row r="143" spans="2:17">
      <c r="B143" s="14" t="s">
        <v>6474</v>
      </c>
      <c r="C143" s="14" t="s">
        <v>6379</v>
      </c>
      <c r="M143" s="2" t="s">
        <v>5530</v>
      </c>
      <c r="N143" s="2" t="s">
        <v>5421</v>
      </c>
      <c r="O143" s="2" t="s">
        <v>5421</v>
      </c>
      <c r="P143" s="2" t="s">
        <v>5449</v>
      </c>
      <c r="Q143" s="2" t="s">
        <v>5420</v>
      </c>
    </row>
    <row r="144" spans="2:17">
      <c r="B144" s="14" t="s">
        <v>6475</v>
      </c>
      <c r="C144" s="14" t="s">
        <v>6379</v>
      </c>
      <c r="M144" s="2" t="s">
        <v>6476</v>
      </c>
      <c r="N144" s="2" t="s">
        <v>5421</v>
      </c>
      <c r="O144" s="2" t="s">
        <v>5421</v>
      </c>
      <c r="P144" s="2"/>
      <c r="Q144" s="2" t="s">
        <v>5420</v>
      </c>
    </row>
    <row r="145" spans="2:17">
      <c r="B145" s="14" t="s">
        <v>6477</v>
      </c>
      <c r="C145" s="14" t="s">
        <v>6386</v>
      </c>
      <c r="M145" s="21" t="s">
        <v>834</v>
      </c>
      <c r="N145" s="54" t="s">
        <v>5421</v>
      </c>
      <c r="O145" s="2" t="s">
        <v>5421</v>
      </c>
      <c r="P145" s="42" t="s">
        <v>28</v>
      </c>
      <c r="Q145" s="2" t="s">
        <v>5420</v>
      </c>
    </row>
    <row r="146" spans="2:17" ht="16.5">
      <c r="B146" s="14" t="s">
        <v>1357</v>
      </c>
      <c r="C146" s="14" t="s">
        <v>6386</v>
      </c>
      <c r="M146" s="43" t="s">
        <v>5689</v>
      </c>
      <c r="N146" s="2" t="s">
        <v>5421</v>
      </c>
      <c r="O146" s="2" t="s">
        <v>5421</v>
      </c>
      <c r="P146" s="2" t="s">
        <v>683</v>
      </c>
      <c r="Q146" s="2" t="s">
        <v>5420</v>
      </c>
    </row>
    <row r="147" spans="2:17">
      <c r="B147" s="14" t="s">
        <v>5611</v>
      </c>
      <c r="C147" s="14" t="s">
        <v>6379</v>
      </c>
      <c r="M147" s="19" t="s">
        <v>300</v>
      </c>
      <c r="N147" s="2" t="s">
        <v>44</v>
      </c>
      <c r="O147" s="2" t="s">
        <v>48</v>
      </c>
      <c r="P147" s="42" t="s">
        <v>1983</v>
      </c>
      <c r="Q147" s="2" t="s">
        <v>5425</v>
      </c>
    </row>
    <row r="148" spans="2:17">
      <c r="B148" s="14" t="s">
        <v>6478</v>
      </c>
      <c r="C148" s="14" t="s">
        <v>6379</v>
      </c>
      <c r="M148" s="51" t="s">
        <v>5126</v>
      </c>
      <c r="N148" s="2" t="s">
        <v>44</v>
      </c>
      <c r="O148" s="2" t="s">
        <v>48</v>
      </c>
      <c r="P148" s="42" t="s">
        <v>1983</v>
      </c>
      <c r="Q148" s="2" t="s">
        <v>5425</v>
      </c>
    </row>
    <row r="149" spans="2:17">
      <c r="B149" s="14" t="s">
        <v>5809</v>
      </c>
      <c r="C149" s="14" t="s">
        <v>6379</v>
      </c>
      <c r="M149" s="2" t="s">
        <v>5571</v>
      </c>
      <c r="N149" s="2" t="s">
        <v>44</v>
      </c>
      <c r="O149" s="2" t="s">
        <v>48</v>
      </c>
      <c r="P149" s="42" t="s">
        <v>1983</v>
      </c>
      <c r="Q149" s="2" t="s">
        <v>5425</v>
      </c>
    </row>
    <row r="150" spans="2:17">
      <c r="B150" s="14" t="s">
        <v>5810</v>
      </c>
      <c r="C150" s="14" t="s">
        <v>6379</v>
      </c>
      <c r="M150" s="2" t="s">
        <v>5542</v>
      </c>
      <c r="N150" s="2" t="s">
        <v>5418</v>
      </c>
      <c r="O150" s="2" t="s">
        <v>4881</v>
      </c>
      <c r="P150" s="75" t="s">
        <v>5856</v>
      </c>
      <c r="Q150" s="2" t="s">
        <v>5417</v>
      </c>
    </row>
    <row r="151" spans="2:17">
      <c r="B151" s="14" t="s">
        <v>5581</v>
      </c>
      <c r="C151" s="14" t="s">
        <v>6379</v>
      </c>
      <c r="M151" s="58" t="s">
        <v>6479</v>
      </c>
      <c r="N151" s="2"/>
      <c r="O151" s="2"/>
      <c r="P151" s="2"/>
      <c r="Q151" s="2"/>
    </row>
    <row r="152" spans="2:17">
      <c r="B152" s="14" t="s">
        <v>6480</v>
      </c>
      <c r="C152" s="14" t="s">
        <v>6379</v>
      </c>
      <c r="M152" s="2" t="s">
        <v>6481</v>
      </c>
      <c r="N152" s="2" t="s">
        <v>44</v>
      </c>
      <c r="O152" s="2" t="s">
        <v>48</v>
      </c>
      <c r="P152" s="42" t="s">
        <v>1983</v>
      </c>
      <c r="Q152" s="2" t="s">
        <v>5425</v>
      </c>
    </row>
    <row r="153" spans="2:17">
      <c r="B153" s="14" t="s">
        <v>6482</v>
      </c>
      <c r="C153" s="14" t="s">
        <v>6379</v>
      </c>
      <c r="M153" s="2" t="s">
        <v>5692</v>
      </c>
      <c r="N153" s="2" t="s">
        <v>44</v>
      </c>
      <c r="O153" s="2" t="s">
        <v>48</v>
      </c>
      <c r="P153" s="42" t="s">
        <v>1983</v>
      </c>
      <c r="Q153" s="2" t="s">
        <v>5425</v>
      </c>
    </row>
    <row r="154" spans="2:17">
      <c r="B154" s="14" t="s">
        <v>6483</v>
      </c>
      <c r="C154" s="14" t="s">
        <v>6379</v>
      </c>
      <c r="M154" s="2" t="s">
        <v>5565</v>
      </c>
      <c r="N154" s="2" t="s">
        <v>44</v>
      </c>
      <c r="O154" s="2" t="s">
        <v>48</v>
      </c>
      <c r="P154" s="42" t="s">
        <v>1983</v>
      </c>
      <c r="Q154" s="2" t="s">
        <v>5425</v>
      </c>
    </row>
    <row r="155" spans="2:17">
      <c r="B155" s="14" t="s">
        <v>6484</v>
      </c>
      <c r="C155" s="14" t="s">
        <v>6379</v>
      </c>
      <c r="M155" s="2" t="s">
        <v>5864</v>
      </c>
      <c r="N155" s="2" t="s">
        <v>44</v>
      </c>
      <c r="O155" s="2" t="s">
        <v>48</v>
      </c>
      <c r="P155" s="42" t="s">
        <v>1983</v>
      </c>
      <c r="Q155" s="2" t="s">
        <v>5425</v>
      </c>
    </row>
    <row r="156" spans="2:17" ht="16.5">
      <c r="B156" s="14" t="s">
        <v>6485</v>
      </c>
      <c r="C156" s="14" t="s">
        <v>6379</v>
      </c>
      <c r="M156" s="43" t="s">
        <v>5695</v>
      </c>
      <c r="N156" s="2" t="s">
        <v>5430</v>
      </c>
      <c r="O156" t="s">
        <v>5433</v>
      </c>
      <c r="P156" s="42" t="s">
        <v>5472</v>
      </c>
      <c r="Q156" s="2" t="s">
        <v>5430</v>
      </c>
    </row>
    <row r="157" spans="2:17">
      <c r="B157" s="14" t="s">
        <v>6486</v>
      </c>
      <c r="C157" s="14" t="s">
        <v>6379</v>
      </c>
      <c r="M157" s="2" t="s">
        <v>5701</v>
      </c>
      <c r="N157" s="2" t="s">
        <v>5430</v>
      </c>
      <c r="O157" s="2" t="s">
        <v>5431</v>
      </c>
      <c r="P157" s="42" t="s">
        <v>5479</v>
      </c>
      <c r="Q157" s="2" t="s">
        <v>5430</v>
      </c>
    </row>
    <row r="158" spans="2:17">
      <c r="B158" s="14" t="s">
        <v>1573</v>
      </c>
      <c r="C158" s="14" t="s">
        <v>6386</v>
      </c>
      <c r="M158" s="2" t="s">
        <v>5696</v>
      </c>
      <c r="N158" s="2" t="s">
        <v>5480</v>
      </c>
      <c r="O158" s="2" t="s">
        <v>118</v>
      </c>
      <c r="P158" s="42" t="s">
        <v>118</v>
      </c>
      <c r="Q158" s="2" t="s">
        <v>5414</v>
      </c>
    </row>
    <row r="159" spans="2:17">
      <c r="B159" s="14" t="s">
        <v>6487</v>
      </c>
      <c r="C159" s="14" t="s">
        <v>6379</v>
      </c>
      <c r="M159" s="21" t="s">
        <v>4630</v>
      </c>
      <c r="N159" s="54" t="s">
        <v>5421</v>
      </c>
      <c r="O159" s="2" t="s">
        <v>5421</v>
      </c>
      <c r="P159" s="42" t="s">
        <v>28</v>
      </c>
      <c r="Q159" s="2" t="s">
        <v>5420</v>
      </c>
    </row>
    <row r="160" spans="2:17">
      <c r="B160" s="14" t="s">
        <v>5520</v>
      </c>
      <c r="C160" s="14" t="s">
        <v>6379</v>
      </c>
      <c r="M160" s="2" t="s">
        <v>1737</v>
      </c>
      <c r="N160" s="2" t="s">
        <v>5497</v>
      </c>
      <c r="O160" s="69" t="s">
        <v>5497</v>
      </c>
      <c r="P160" s="2"/>
      <c r="Q160" s="2"/>
    </row>
    <row r="161" spans="2:17">
      <c r="B161" s="14" t="s">
        <v>6488</v>
      </c>
      <c r="C161" s="14" t="s">
        <v>6379</v>
      </c>
      <c r="M161" s="2" t="s">
        <v>5851</v>
      </c>
      <c r="N161" s="78" t="s">
        <v>5418</v>
      </c>
      <c r="O161" s="78" t="s">
        <v>4881</v>
      </c>
      <c r="P161" s="2"/>
      <c r="Q161" s="2"/>
    </row>
    <row r="162" spans="2:17" ht="16.5">
      <c r="B162" s="14" t="s">
        <v>6489</v>
      </c>
      <c r="C162" s="14" t="s">
        <v>6379</v>
      </c>
      <c r="M162" s="43" t="s">
        <v>5702</v>
      </c>
      <c r="N162" s="2" t="s">
        <v>5421</v>
      </c>
      <c r="O162" s="2" t="s">
        <v>5421</v>
      </c>
      <c r="P162" s="42" t="s">
        <v>5454</v>
      </c>
      <c r="Q162" s="2" t="s">
        <v>5420</v>
      </c>
    </row>
    <row r="163" spans="2:17" ht="16.5">
      <c r="B163" s="14" t="s">
        <v>6490</v>
      </c>
      <c r="C163" s="14" t="s">
        <v>6379</v>
      </c>
      <c r="M163" s="43" t="s">
        <v>5734</v>
      </c>
      <c r="N163" s="2" t="s">
        <v>5430</v>
      </c>
      <c r="O163" s="2" t="s">
        <v>5434</v>
      </c>
      <c r="P163" s="42" t="s">
        <v>5458</v>
      </c>
      <c r="Q163" s="2" t="s">
        <v>5430</v>
      </c>
    </row>
    <row r="164" spans="2:17">
      <c r="B164" s="14" t="s">
        <v>5620</v>
      </c>
      <c r="C164" s="14" t="s">
        <v>6386</v>
      </c>
      <c r="M164" s="21" t="s">
        <v>5679</v>
      </c>
      <c r="N164" s="2" t="s">
        <v>5418</v>
      </c>
      <c r="O164" s="42" t="s">
        <v>232</v>
      </c>
      <c r="P164" s="42" t="s">
        <v>5832</v>
      </c>
      <c r="Q164" s="2" t="s">
        <v>5417</v>
      </c>
    </row>
    <row r="165" spans="2:17">
      <c r="B165" s="14" t="s">
        <v>6491</v>
      </c>
      <c r="C165" s="14" t="s">
        <v>6379</v>
      </c>
      <c r="M165" s="2" t="s">
        <v>2341</v>
      </c>
      <c r="N165" s="2" t="s">
        <v>45</v>
      </c>
      <c r="O165" s="2" t="s">
        <v>45</v>
      </c>
      <c r="P165" s="72" t="s">
        <v>5789</v>
      </c>
      <c r="Q165" s="2" t="s">
        <v>5425</v>
      </c>
    </row>
    <row r="166" spans="2:17">
      <c r="B166" s="14" t="s">
        <v>6492</v>
      </c>
      <c r="C166" s="14" t="s">
        <v>6379</v>
      </c>
      <c r="M166" s="64" t="s">
        <v>6493</v>
      </c>
      <c r="N166" s="2" t="s">
        <v>6446</v>
      </c>
      <c r="O166" s="2" t="s">
        <v>5421</v>
      </c>
      <c r="P166" s="2"/>
      <c r="Q166" s="2" t="s">
        <v>5420</v>
      </c>
    </row>
    <row r="167" spans="2:17" ht="15.75">
      <c r="B167" s="14" t="s">
        <v>6494</v>
      </c>
      <c r="C167" s="14" t="s">
        <v>6379</v>
      </c>
      <c r="M167" s="57" t="s">
        <v>5728</v>
      </c>
      <c r="N167" s="2" t="s">
        <v>5430</v>
      </c>
      <c r="O167" s="2" t="s">
        <v>5422</v>
      </c>
      <c r="P167" s="2" t="s">
        <v>5422</v>
      </c>
      <c r="Q167" s="2" t="s">
        <v>5430</v>
      </c>
    </row>
    <row r="168" spans="2:17">
      <c r="B168" s="14" t="s">
        <v>6495</v>
      </c>
      <c r="C168" s="14" t="s">
        <v>6379</v>
      </c>
      <c r="M168" s="2" t="s">
        <v>5726</v>
      </c>
      <c r="N168" s="2" t="s">
        <v>5714</v>
      </c>
      <c r="O168" s="2" t="s">
        <v>5424</v>
      </c>
      <c r="P168" s="2" t="s">
        <v>5424</v>
      </c>
      <c r="Q168" s="2" t="s">
        <v>5423</v>
      </c>
    </row>
    <row r="169" spans="2:17">
      <c r="B169" s="14" t="s">
        <v>6496</v>
      </c>
      <c r="C169" s="14" t="s">
        <v>6379</v>
      </c>
      <c r="M169" s="2" t="s">
        <v>5513</v>
      </c>
      <c r="N169" s="2" t="s">
        <v>5430</v>
      </c>
      <c r="O169" s="2" t="s">
        <v>5431</v>
      </c>
      <c r="P169" s="42" t="s">
        <v>5479</v>
      </c>
      <c r="Q169" s="2" t="s">
        <v>5430</v>
      </c>
    </row>
    <row r="170" spans="2:17">
      <c r="B170" s="14" t="s">
        <v>6497</v>
      </c>
      <c r="C170" s="14" t="s">
        <v>6379</v>
      </c>
      <c r="M170" s="2" t="s">
        <v>5514</v>
      </c>
      <c r="N170" s="2" t="s">
        <v>5480</v>
      </c>
      <c r="O170" s="2" t="s">
        <v>118</v>
      </c>
      <c r="P170" s="2" t="s">
        <v>118</v>
      </c>
      <c r="Q170" s="2" t="s">
        <v>5414</v>
      </c>
    </row>
    <row r="171" spans="2:17">
      <c r="B171" s="14" t="s">
        <v>5587</v>
      </c>
      <c r="C171" s="14" t="s">
        <v>6379</v>
      </c>
      <c r="M171" s="65" t="s">
        <v>5735</v>
      </c>
      <c r="N171" s="2" t="s">
        <v>5418</v>
      </c>
      <c r="O171" s="2" t="s">
        <v>5418</v>
      </c>
      <c r="P171" s="42"/>
      <c r="Q171" s="2" t="s">
        <v>5417</v>
      </c>
    </row>
    <row r="172" spans="2:17">
      <c r="B172" s="14" t="s">
        <v>6498</v>
      </c>
      <c r="C172" s="14" t="s">
        <v>6379</v>
      </c>
      <c r="M172" s="2" t="s">
        <v>5862</v>
      </c>
      <c r="N172" s="2" t="s">
        <v>5418</v>
      </c>
      <c r="O172" s="2" t="s">
        <v>5418</v>
      </c>
      <c r="P172" s="42"/>
      <c r="Q172" s="2" t="s">
        <v>5417</v>
      </c>
    </row>
    <row r="173" spans="2:17">
      <c r="B173" s="14" t="s">
        <v>6499</v>
      </c>
      <c r="C173" s="14" t="s">
        <v>6379</v>
      </c>
      <c r="M173" s="2" t="s">
        <v>5732</v>
      </c>
      <c r="N173" s="2" t="s">
        <v>5421</v>
      </c>
      <c r="O173" s="2" t="s">
        <v>5422</v>
      </c>
      <c r="P173" s="2" t="s">
        <v>5422</v>
      </c>
      <c r="Q173" s="2" t="s">
        <v>5420</v>
      </c>
    </row>
    <row r="174" spans="2:17" ht="15.75">
      <c r="B174" s="14" t="s">
        <v>6500</v>
      </c>
      <c r="C174" s="14" t="s">
        <v>6379</v>
      </c>
      <c r="M174" s="47" t="s">
        <v>5730</v>
      </c>
      <c r="N174" s="2" t="s">
        <v>5418</v>
      </c>
      <c r="O174" s="70" t="s">
        <v>1030</v>
      </c>
      <c r="P174" s="42" t="s">
        <v>5490</v>
      </c>
      <c r="Q174" s="2" t="s">
        <v>5417</v>
      </c>
    </row>
    <row r="175" spans="2:17" ht="15.75">
      <c r="B175" s="14" t="s">
        <v>5858</v>
      </c>
      <c r="C175" s="14" t="s">
        <v>6379</v>
      </c>
      <c r="M175" s="47" t="s">
        <v>5731</v>
      </c>
      <c r="N175" s="2" t="s">
        <v>5418</v>
      </c>
      <c r="O175" s="70" t="s">
        <v>4881</v>
      </c>
      <c r="P175" s="42" t="s">
        <v>2380</v>
      </c>
      <c r="Q175" s="2" t="s">
        <v>5417</v>
      </c>
    </row>
    <row r="176" spans="2:17">
      <c r="B176" s="14" t="s">
        <v>6501</v>
      </c>
      <c r="C176" s="14" t="s">
        <v>6379</v>
      </c>
      <c r="M176" s="2" t="s">
        <v>5729</v>
      </c>
      <c r="N176" s="2" t="s">
        <v>5418</v>
      </c>
      <c r="O176" s="70" t="s">
        <v>1030</v>
      </c>
      <c r="P176" s="42" t="s">
        <v>5490</v>
      </c>
      <c r="Q176" s="2" t="s">
        <v>5417</v>
      </c>
    </row>
    <row r="177" spans="2:17">
      <c r="B177" s="14" t="s">
        <v>6502</v>
      </c>
      <c r="C177" s="14" t="s">
        <v>6379</v>
      </c>
      <c r="M177" s="2" t="s">
        <v>5708</v>
      </c>
      <c r="N177" s="2" t="s">
        <v>45</v>
      </c>
      <c r="O177" s="2" t="s">
        <v>45</v>
      </c>
      <c r="P177" s="72" t="s">
        <v>5789</v>
      </c>
      <c r="Q177" s="2" t="s">
        <v>5425</v>
      </c>
    </row>
    <row r="178" spans="2:17">
      <c r="B178" s="14" t="s">
        <v>6503</v>
      </c>
      <c r="C178" s="14" t="s">
        <v>6379</v>
      </c>
      <c r="M178" s="2" t="s">
        <v>5548</v>
      </c>
      <c r="N178" s="2" t="s">
        <v>5421</v>
      </c>
      <c r="O178" s="2" t="s">
        <v>25</v>
      </c>
      <c r="P178" s="2" t="s">
        <v>683</v>
      </c>
      <c r="Q178" s="2" t="s">
        <v>5420</v>
      </c>
    </row>
    <row r="179" spans="2:17">
      <c r="B179" s="14" t="s">
        <v>6504</v>
      </c>
      <c r="C179" s="14" t="s">
        <v>6379</v>
      </c>
      <c r="M179" s="2" t="s">
        <v>5520</v>
      </c>
      <c r="N179" s="2" t="s">
        <v>5421</v>
      </c>
      <c r="O179" s="2" t="s">
        <v>33</v>
      </c>
      <c r="P179" t="s">
        <v>683</v>
      </c>
      <c r="Q179" s="2" t="s">
        <v>5420</v>
      </c>
    </row>
    <row r="180" spans="2:17">
      <c r="B180" s="14" t="s">
        <v>6505</v>
      </c>
      <c r="C180" s="14" t="s">
        <v>6379</v>
      </c>
      <c r="M180" s="2" t="s">
        <v>5697</v>
      </c>
      <c r="N180" s="2" t="s">
        <v>5430</v>
      </c>
      <c r="O180" s="2" t="s">
        <v>5434</v>
      </c>
      <c r="P180" s="42" t="s">
        <v>5458</v>
      </c>
      <c r="Q180" s="2" t="s">
        <v>5430</v>
      </c>
    </row>
    <row r="181" spans="2:17">
      <c r="B181" s="14" t="s">
        <v>6506</v>
      </c>
      <c r="C181" s="14" t="s">
        <v>6379</v>
      </c>
      <c r="M181" s="2" t="s">
        <v>5752</v>
      </c>
      <c r="N181" s="2" t="s">
        <v>5418</v>
      </c>
      <c r="O181" s="2" t="s">
        <v>4881</v>
      </c>
      <c r="P181" s="2" t="s">
        <v>5856</v>
      </c>
      <c r="Q181" s="2" t="s">
        <v>5435</v>
      </c>
    </row>
    <row r="182" spans="2:17">
      <c r="B182" s="14" t="s">
        <v>6507</v>
      </c>
      <c r="C182" s="14" t="s">
        <v>6379</v>
      </c>
      <c r="M182" s="2" t="s">
        <v>5740</v>
      </c>
      <c r="N182" s="2" t="s">
        <v>5418</v>
      </c>
      <c r="O182" s="2" t="s">
        <v>4881</v>
      </c>
      <c r="P182" s="42" t="s">
        <v>6508</v>
      </c>
      <c r="Q182" s="2" t="s">
        <v>5417</v>
      </c>
    </row>
    <row r="183" spans="2:17">
      <c r="B183" s="14" t="s">
        <v>218</v>
      </c>
      <c r="C183" s="14" t="s">
        <v>6386</v>
      </c>
      <c r="M183" s="2" t="s">
        <v>5739</v>
      </c>
      <c r="N183" s="2" t="s">
        <v>5430</v>
      </c>
      <c r="O183" s="2"/>
      <c r="P183" s="2"/>
      <c r="Q183" s="2" t="s">
        <v>5430</v>
      </c>
    </row>
    <row r="184" spans="2:17">
      <c r="B184" s="14" t="s">
        <v>5540</v>
      </c>
      <c r="C184" s="14" t="s">
        <v>6386</v>
      </c>
      <c r="M184" s="2" t="s">
        <v>5743</v>
      </c>
      <c r="N184" s="2" t="s">
        <v>44</v>
      </c>
      <c r="O184" s="2" t="s">
        <v>48</v>
      </c>
      <c r="P184" s="2" t="s">
        <v>1983</v>
      </c>
      <c r="Q184" s="2" t="s">
        <v>5425</v>
      </c>
    </row>
    <row r="185" spans="2:17">
      <c r="B185" s="14" t="s">
        <v>6509</v>
      </c>
      <c r="C185" s="14" t="s">
        <v>6379</v>
      </c>
      <c r="M185" s="2" t="s">
        <v>5742</v>
      </c>
      <c r="N185" s="2" t="s">
        <v>5418</v>
      </c>
      <c r="O185" s="2" t="s">
        <v>1030</v>
      </c>
      <c r="P185" t="s">
        <v>5490</v>
      </c>
      <c r="Q185" s="2" t="s">
        <v>5417</v>
      </c>
    </row>
    <row r="186" spans="2:17">
      <c r="B186" s="14" t="s">
        <v>5642</v>
      </c>
      <c r="C186" s="14" t="s">
        <v>6386</v>
      </c>
      <c r="M186" s="2" t="s">
        <v>5580</v>
      </c>
      <c r="N186" s="2" t="s">
        <v>5580</v>
      </c>
      <c r="O186" s="2" t="s">
        <v>350</v>
      </c>
      <c r="P186" s="2" t="s">
        <v>350</v>
      </c>
      <c r="Q186" s="2" t="s">
        <v>5436</v>
      </c>
    </row>
    <row r="187" spans="2:17">
      <c r="B187" s="14" t="s">
        <v>6510</v>
      </c>
      <c r="C187" s="14" t="s">
        <v>6386</v>
      </c>
      <c r="M187" t="s">
        <v>5749</v>
      </c>
      <c r="N187" s="71" t="s">
        <v>5430</v>
      </c>
      <c r="O187" t="s">
        <v>5431</v>
      </c>
      <c r="P187" t="s">
        <v>5479</v>
      </c>
      <c r="Q187" s="71" t="s">
        <v>5430</v>
      </c>
    </row>
    <row r="188" spans="2:17">
      <c r="B188" s="14" t="s">
        <v>6511</v>
      </c>
      <c r="C188" s="14" t="s">
        <v>6379</v>
      </c>
      <c r="M188" s="2" t="s">
        <v>5751</v>
      </c>
      <c r="N188" s="2" t="s">
        <v>5430</v>
      </c>
      <c r="O188" s="2" t="s">
        <v>5434</v>
      </c>
      <c r="P188" s="42" t="s">
        <v>5458</v>
      </c>
      <c r="Q188" s="2" t="s">
        <v>5430</v>
      </c>
    </row>
    <row r="189" spans="2:17">
      <c r="B189" s="14" t="s">
        <v>5524</v>
      </c>
      <c r="C189" s="14" t="s">
        <v>6386</v>
      </c>
      <c r="M189" t="s">
        <v>5750</v>
      </c>
      <c r="N189" s="71" t="s">
        <v>5430</v>
      </c>
      <c r="O189" t="s">
        <v>5433</v>
      </c>
      <c r="P189" t="s">
        <v>5473</v>
      </c>
      <c r="Q189" s="71" t="s">
        <v>5430</v>
      </c>
    </row>
    <row r="190" spans="2:17">
      <c r="B190" s="14" t="s">
        <v>6512</v>
      </c>
      <c r="C190" s="14" t="s">
        <v>6379</v>
      </c>
      <c r="M190" t="s">
        <v>2760</v>
      </c>
      <c r="N190" s="71" t="s">
        <v>5430</v>
      </c>
      <c r="O190" t="s">
        <v>5431</v>
      </c>
      <c r="P190" t="s">
        <v>5479</v>
      </c>
      <c r="Q190" s="71" t="s">
        <v>5430</v>
      </c>
    </row>
    <row r="191" spans="2:17">
      <c r="B191" s="14" t="s">
        <v>5673</v>
      </c>
      <c r="C191" s="14" t="s">
        <v>6379</v>
      </c>
      <c r="M191" t="s">
        <v>5849</v>
      </c>
      <c r="N191" s="71" t="s">
        <v>5430</v>
      </c>
      <c r="O191" t="s">
        <v>5432</v>
      </c>
      <c r="P191" t="s">
        <v>5432</v>
      </c>
      <c r="Q191" s="71" t="s">
        <v>5430</v>
      </c>
    </row>
    <row r="192" spans="2:17">
      <c r="B192" s="14" t="s">
        <v>6513</v>
      </c>
      <c r="C192" s="14" t="s">
        <v>6379</v>
      </c>
      <c r="M192" t="s">
        <v>5534</v>
      </c>
      <c r="N192" s="2" t="s">
        <v>5418</v>
      </c>
      <c r="P192" t="s">
        <v>5491</v>
      </c>
      <c r="Q192" s="71" t="s">
        <v>5417</v>
      </c>
    </row>
    <row r="193" spans="2:17">
      <c r="B193" s="14" t="s">
        <v>6514</v>
      </c>
      <c r="C193" s="14" t="s">
        <v>6379</v>
      </c>
      <c r="M193" t="s">
        <v>5748</v>
      </c>
      <c r="N193" s="2" t="s">
        <v>5480</v>
      </c>
      <c r="O193" t="s">
        <v>118</v>
      </c>
      <c r="P193" t="s">
        <v>118</v>
      </c>
      <c r="Q193" s="71" t="s">
        <v>5414</v>
      </c>
    </row>
    <row r="194" spans="2:17">
      <c r="B194" s="14" t="s">
        <v>5567</v>
      </c>
      <c r="C194" s="14" t="s">
        <v>6386</v>
      </c>
      <c r="M194" t="s">
        <v>5741</v>
      </c>
      <c r="N194" s="53" t="s">
        <v>5483</v>
      </c>
      <c r="O194" t="s">
        <v>27</v>
      </c>
      <c r="P194" t="s">
        <v>160</v>
      </c>
      <c r="Q194" t="s">
        <v>5416</v>
      </c>
    </row>
    <row r="195" spans="2:17">
      <c r="B195" s="14" t="s">
        <v>6515</v>
      </c>
      <c r="C195" s="14" t="s">
        <v>6379</v>
      </c>
      <c r="M195" t="s">
        <v>5540</v>
      </c>
      <c r="N195" s="2" t="s">
        <v>6446</v>
      </c>
      <c r="O195" s="2" t="s">
        <v>25</v>
      </c>
      <c r="P195" t="s">
        <v>683</v>
      </c>
      <c r="Q195" t="s">
        <v>5420</v>
      </c>
    </row>
    <row r="196" spans="2:17">
      <c r="B196" s="14" t="s">
        <v>6516</v>
      </c>
      <c r="C196" s="14" t="s">
        <v>6379</v>
      </c>
      <c r="M196" t="s">
        <v>5744</v>
      </c>
      <c r="N196" s="2" t="s">
        <v>6446</v>
      </c>
      <c r="O196" t="s">
        <v>5421</v>
      </c>
      <c r="P196" t="s">
        <v>683</v>
      </c>
      <c r="Q196" t="s">
        <v>5420</v>
      </c>
    </row>
    <row r="197" spans="2:17">
      <c r="B197" s="14" t="s">
        <v>6517</v>
      </c>
      <c r="C197" s="14" t="s">
        <v>6379</v>
      </c>
      <c r="M197" t="s">
        <v>5757</v>
      </c>
      <c r="N197" s="53" t="s">
        <v>5483</v>
      </c>
      <c r="O197" t="s">
        <v>27</v>
      </c>
      <c r="P197" t="s">
        <v>160</v>
      </c>
      <c r="Q197" t="s">
        <v>5416</v>
      </c>
    </row>
    <row r="198" spans="2:17">
      <c r="B198" s="14" t="s">
        <v>6518</v>
      </c>
      <c r="C198" s="14" t="s">
        <v>6379</v>
      </c>
      <c r="M198" t="s">
        <v>441</v>
      </c>
      <c r="N198" s="53" t="s">
        <v>5483</v>
      </c>
      <c r="O198" t="s">
        <v>27</v>
      </c>
      <c r="P198" t="s">
        <v>160</v>
      </c>
      <c r="Q198" t="s">
        <v>5416</v>
      </c>
    </row>
    <row r="199" spans="2:17">
      <c r="B199" s="14" t="s">
        <v>5716</v>
      </c>
      <c r="C199" s="14" t="s">
        <v>6379</v>
      </c>
      <c r="M199" t="s">
        <v>5745</v>
      </c>
      <c r="N199" s="2" t="s">
        <v>5418</v>
      </c>
      <c r="O199" s="2" t="s">
        <v>5418</v>
      </c>
      <c r="P199" s="42"/>
      <c r="Q199" s="71" t="s">
        <v>5417</v>
      </c>
    </row>
    <row r="200" spans="2:17">
      <c r="B200" s="14" t="s">
        <v>6519</v>
      </c>
      <c r="C200" s="14" t="s">
        <v>6379</v>
      </c>
      <c r="M200" t="s">
        <v>5753</v>
      </c>
      <c r="N200" s="71" t="s">
        <v>44</v>
      </c>
      <c r="O200" t="s">
        <v>5427</v>
      </c>
      <c r="P200" t="s">
        <v>5489</v>
      </c>
      <c r="Q200" t="s">
        <v>5425</v>
      </c>
    </row>
    <row r="201" spans="2:17">
      <c r="B201" s="14" t="s">
        <v>6520</v>
      </c>
      <c r="C201" s="14" t="s">
        <v>6379</v>
      </c>
      <c r="M201" t="s">
        <v>5756</v>
      </c>
      <c r="N201" s="71" t="s">
        <v>44</v>
      </c>
      <c r="O201" t="s">
        <v>5427</v>
      </c>
      <c r="P201" t="s">
        <v>5492</v>
      </c>
      <c r="Q201" t="s">
        <v>5425</v>
      </c>
    </row>
    <row r="202" spans="2:17">
      <c r="B202" s="14" t="s">
        <v>6521</v>
      </c>
      <c r="C202" s="14" t="s">
        <v>6379</v>
      </c>
      <c r="M202" t="s">
        <v>5754</v>
      </c>
      <c r="N202" s="71" t="s">
        <v>44</v>
      </c>
      <c r="O202" t="s">
        <v>5426</v>
      </c>
      <c r="P202" t="s">
        <v>5426</v>
      </c>
      <c r="Q202" t="s">
        <v>5425</v>
      </c>
    </row>
    <row r="203" spans="2:17">
      <c r="B203" s="14" t="s">
        <v>6521</v>
      </c>
      <c r="C203" s="14" t="s">
        <v>6379</v>
      </c>
      <c r="M203" t="s">
        <v>5799</v>
      </c>
      <c r="N203" s="71" t="s">
        <v>44</v>
      </c>
      <c r="O203" t="s">
        <v>5426</v>
      </c>
      <c r="P203" t="s">
        <v>5426</v>
      </c>
      <c r="Q203" t="s">
        <v>5425</v>
      </c>
    </row>
    <row r="204" spans="2:17">
      <c r="B204" s="14" t="s">
        <v>4568</v>
      </c>
      <c r="C204" s="14" t="s">
        <v>6386</v>
      </c>
      <c r="M204" t="s">
        <v>5886</v>
      </c>
      <c r="N204" t="s">
        <v>5418</v>
      </c>
      <c r="O204" t="s">
        <v>232</v>
      </c>
      <c r="P204" s="42" t="s">
        <v>5832</v>
      </c>
      <c r="Q204" s="71" t="s">
        <v>5417</v>
      </c>
    </row>
    <row r="205" spans="2:17">
      <c r="B205" s="14" t="s">
        <v>6522</v>
      </c>
      <c r="C205" s="14" t="s">
        <v>6379</v>
      </c>
      <c r="M205" t="s">
        <v>5852</v>
      </c>
      <c r="N205" s="54" t="s">
        <v>5421</v>
      </c>
      <c r="O205" s="2" t="s">
        <v>25</v>
      </c>
      <c r="P205" s="42" t="s">
        <v>28</v>
      </c>
      <c r="Q205" s="2" t="s">
        <v>5420</v>
      </c>
    </row>
    <row r="206" spans="2:17">
      <c r="B206" s="14" t="s">
        <v>5668</v>
      </c>
      <c r="C206" s="14" t="s">
        <v>6379</v>
      </c>
      <c r="M206" t="s">
        <v>5761</v>
      </c>
      <c r="N206" t="s">
        <v>45</v>
      </c>
      <c r="O206" t="s">
        <v>45</v>
      </c>
      <c r="P206" s="72" t="s">
        <v>5789</v>
      </c>
      <c r="Q206" t="s">
        <v>5425</v>
      </c>
    </row>
    <row r="207" spans="2:17">
      <c r="B207" s="14" t="s">
        <v>5641</v>
      </c>
      <c r="C207" s="14" t="s">
        <v>6386</v>
      </c>
      <c r="M207" t="s">
        <v>5762</v>
      </c>
      <c r="N207" s="71" t="s">
        <v>44</v>
      </c>
      <c r="O207" t="s">
        <v>5426</v>
      </c>
      <c r="P207" t="s">
        <v>1983</v>
      </c>
      <c r="Q207" t="s">
        <v>5425</v>
      </c>
    </row>
    <row r="208" spans="2:17">
      <c r="B208" s="14" t="s">
        <v>6523</v>
      </c>
      <c r="C208" s="14" t="s">
        <v>6386</v>
      </c>
      <c r="M208" t="s">
        <v>5760</v>
      </c>
      <c r="N208" s="53" t="s">
        <v>5483</v>
      </c>
      <c r="O208" t="s">
        <v>27</v>
      </c>
      <c r="P208" t="s">
        <v>160</v>
      </c>
      <c r="Q208" t="s">
        <v>5416</v>
      </c>
    </row>
    <row r="209" spans="2:17">
      <c r="B209" s="14" t="s">
        <v>6523</v>
      </c>
      <c r="C209" s="14" t="s">
        <v>6379</v>
      </c>
      <c r="M209" t="s">
        <v>5895</v>
      </c>
      <c r="N209" t="s">
        <v>5430</v>
      </c>
      <c r="O209" t="s">
        <v>5431</v>
      </c>
      <c r="P209" s="42" t="s">
        <v>5479</v>
      </c>
      <c r="Q209" t="s">
        <v>5430</v>
      </c>
    </row>
    <row r="210" spans="2:17">
      <c r="B210" s="14" t="s">
        <v>4630</v>
      </c>
      <c r="C210" s="14" t="s">
        <v>6379</v>
      </c>
      <c r="M210" t="s">
        <v>5809</v>
      </c>
      <c r="N210" s="2" t="s">
        <v>5430</v>
      </c>
      <c r="O210" s="2" t="s">
        <v>5455</v>
      </c>
      <c r="P210" s="42" t="s">
        <v>5458</v>
      </c>
      <c r="Q210" s="2" t="s">
        <v>5430</v>
      </c>
    </row>
    <row r="211" spans="2:17">
      <c r="B211" s="14" t="s">
        <v>5646</v>
      </c>
      <c r="C211" s="14" t="s">
        <v>6386</v>
      </c>
      <c r="M211" t="s">
        <v>6524</v>
      </c>
      <c r="N211" t="s">
        <v>5418</v>
      </c>
      <c r="O211" t="s">
        <v>5418</v>
      </c>
      <c r="Q211" s="71" t="s">
        <v>5417</v>
      </c>
    </row>
    <row r="212" spans="2:17">
      <c r="B212" s="14" t="s">
        <v>5646</v>
      </c>
      <c r="C212" s="14" t="s">
        <v>6379</v>
      </c>
    </row>
    <row r="213" spans="2:17">
      <c r="B213" s="14" t="s">
        <v>6525</v>
      </c>
      <c r="C213" s="14" t="s">
        <v>6379</v>
      </c>
    </row>
    <row r="214" spans="2:17">
      <c r="B214" s="14" t="s">
        <v>6526</v>
      </c>
      <c r="C214" s="14" t="s">
        <v>6379</v>
      </c>
    </row>
    <row r="215" spans="2:17">
      <c r="B215" s="14" t="s">
        <v>6527</v>
      </c>
      <c r="C215" s="14" t="s">
        <v>6379</v>
      </c>
    </row>
    <row r="216" spans="2:17">
      <c r="B216" s="14" t="s">
        <v>6528</v>
      </c>
      <c r="C216" s="14" t="s">
        <v>6379</v>
      </c>
    </row>
    <row r="217" spans="2:17">
      <c r="B217" s="14" t="s">
        <v>6529</v>
      </c>
      <c r="C217" s="14" t="s">
        <v>6379</v>
      </c>
    </row>
    <row r="218" spans="2:17">
      <c r="B218" s="14" t="s">
        <v>6530</v>
      </c>
      <c r="C218" s="14" t="s">
        <v>6379</v>
      </c>
    </row>
    <row r="219" spans="2:17">
      <c r="B219" s="14" t="s">
        <v>6531</v>
      </c>
      <c r="C219" s="14" t="s">
        <v>6379</v>
      </c>
    </row>
    <row r="220" spans="2:17">
      <c r="B220" s="14" t="s">
        <v>6532</v>
      </c>
      <c r="C220" s="14" t="s">
        <v>6386</v>
      </c>
    </row>
    <row r="221" spans="2:17">
      <c r="B221" s="14" t="s">
        <v>6532</v>
      </c>
      <c r="C221" s="14" t="s">
        <v>6379</v>
      </c>
    </row>
    <row r="222" spans="2:17">
      <c r="B222" s="14" t="s">
        <v>6533</v>
      </c>
      <c r="C222" s="14" t="s">
        <v>6386</v>
      </c>
    </row>
    <row r="223" spans="2:17">
      <c r="B223" s="14" t="s">
        <v>6533</v>
      </c>
      <c r="C223" s="14" t="s">
        <v>6379</v>
      </c>
    </row>
    <row r="224" spans="2:17">
      <c r="B224" s="14" t="s">
        <v>6534</v>
      </c>
      <c r="C224" s="14" t="s">
        <v>6379</v>
      </c>
    </row>
    <row r="225" spans="2:3">
      <c r="B225" s="14" t="s">
        <v>6535</v>
      </c>
      <c r="C225" s="14" t="s">
        <v>6379</v>
      </c>
    </row>
    <row r="226" spans="2:3">
      <c r="B226" s="14" t="s">
        <v>6536</v>
      </c>
      <c r="C226" s="14" t="s">
        <v>6379</v>
      </c>
    </row>
    <row r="227" spans="2:3">
      <c r="B227" s="14" t="s">
        <v>6537</v>
      </c>
      <c r="C227" s="14" t="s">
        <v>6379</v>
      </c>
    </row>
    <row r="228" spans="2:3">
      <c r="B228" s="14" t="s">
        <v>6538</v>
      </c>
      <c r="C228" s="14" t="s">
        <v>6379</v>
      </c>
    </row>
    <row r="229" spans="2:3">
      <c r="B229" s="14" t="s">
        <v>6539</v>
      </c>
      <c r="C229" s="14" t="s">
        <v>6379</v>
      </c>
    </row>
    <row r="230" spans="2:3">
      <c r="B230" s="14" t="s">
        <v>6540</v>
      </c>
      <c r="C230" s="14" t="s">
        <v>6379</v>
      </c>
    </row>
    <row r="231" spans="2:3">
      <c r="B231" s="14" t="s">
        <v>6541</v>
      </c>
      <c r="C231" s="14" t="s">
        <v>6379</v>
      </c>
    </row>
    <row r="232" spans="2:3">
      <c r="B232" s="14" t="s">
        <v>6542</v>
      </c>
      <c r="C232" s="14" t="s">
        <v>6379</v>
      </c>
    </row>
    <row r="233" spans="2:3">
      <c r="B233" s="14" t="s">
        <v>6543</v>
      </c>
      <c r="C233" s="14" t="s">
        <v>6379</v>
      </c>
    </row>
    <row r="234" spans="2:3">
      <c r="B234" s="14" t="s">
        <v>6544</v>
      </c>
      <c r="C234" s="14" t="s">
        <v>6386</v>
      </c>
    </row>
    <row r="235" spans="2:3">
      <c r="B235" s="14" t="s">
        <v>6544</v>
      </c>
      <c r="C235" s="14" t="s">
        <v>6379</v>
      </c>
    </row>
    <row r="236" spans="2:3">
      <c r="B236" s="14" t="s">
        <v>6545</v>
      </c>
      <c r="C236" s="14" t="s">
        <v>6379</v>
      </c>
    </row>
    <row r="237" spans="2:3">
      <c r="B237" s="14" t="s">
        <v>6546</v>
      </c>
      <c r="C237" s="14" t="s">
        <v>6379</v>
      </c>
    </row>
    <row r="238" spans="2:3">
      <c r="B238" s="14" t="s">
        <v>6547</v>
      </c>
      <c r="C238" s="14" t="s">
        <v>6379</v>
      </c>
    </row>
    <row r="239" spans="2:3">
      <c r="B239" s="14" t="s">
        <v>6548</v>
      </c>
      <c r="C239" s="14" t="s">
        <v>6379</v>
      </c>
    </row>
    <row r="240" spans="2:3">
      <c r="B240" s="14" t="s">
        <v>5526</v>
      </c>
      <c r="C240" s="14" t="s">
        <v>6379</v>
      </c>
    </row>
    <row r="241" spans="2:3">
      <c r="B241" s="14" t="s">
        <v>6549</v>
      </c>
      <c r="C241" s="14" t="s">
        <v>6379</v>
      </c>
    </row>
    <row r="242" spans="2:3">
      <c r="B242" s="14" t="s">
        <v>4638</v>
      </c>
      <c r="C242" s="14" t="s">
        <v>6379</v>
      </c>
    </row>
    <row r="243" spans="2:3">
      <c r="B243" s="14" t="s">
        <v>6550</v>
      </c>
      <c r="C243" s="14" t="s">
        <v>6379</v>
      </c>
    </row>
    <row r="244" spans="2:3">
      <c r="B244" s="14" t="s">
        <v>6551</v>
      </c>
      <c r="C244" s="14" t="s">
        <v>6379</v>
      </c>
    </row>
    <row r="245" spans="2:3">
      <c r="B245" s="14" t="s">
        <v>6552</v>
      </c>
      <c r="C245" s="14" t="s">
        <v>6379</v>
      </c>
    </row>
    <row r="246" spans="2:3">
      <c r="B246" s="14" t="s">
        <v>6553</v>
      </c>
      <c r="C246" s="14" t="s">
        <v>6379</v>
      </c>
    </row>
    <row r="247" spans="2:3">
      <c r="B247" s="14" t="s">
        <v>6554</v>
      </c>
      <c r="C247" s="14" t="s">
        <v>6379</v>
      </c>
    </row>
    <row r="248" spans="2:3">
      <c r="B248" s="14" t="s">
        <v>75</v>
      </c>
      <c r="C248" s="14" t="s">
        <v>6410</v>
      </c>
    </row>
    <row r="249" spans="2:3">
      <c r="B249" s="14" t="s">
        <v>5640</v>
      </c>
      <c r="C249" s="14" t="s">
        <v>6379</v>
      </c>
    </row>
    <row r="250" spans="2:3">
      <c r="B250" s="14" t="s">
        <v>6555</v>
      </c>
      <c r="C250" s="14" t="s">
        <v>6379</v>
      </c>
    </row>
    <row r="251" spans="2:3">
      <c r="B251" s="14" t="s">
        <v>5650</v>
      </c>
      <c r="C251" s="14" t="s">
        <v>6379</v>
      </c>
    </row>
    <row r="252" spans="2:3">
      <c r="B252" s="14" t="s">
        <v>6556</v>
      </c>
      <c r="C252" s="14" t="s">
        <v>6379</v>
      </c>
    </row>
    <row r="253" spans="2:3">
      <c r="B253" s="14" t="s">
        <v>6557</v>
      </c>
      <c r="C253" s="14" t="s">
        <v>6379</v>
      </c>
    </row>
    <row r="254" spans="2:3">
      <c r="B254" s="14" t="s">
        <v>6558</v>
      </c>
      <c r="C254" s="14" t="s">
        <v>6379</v>
      </c>
    </row>
    <row r="255" spans="2:3">
      <c r="B255" s="14" t="s">
        <v>149</v>
      </c>
      <c r="C255" s="14" t="s">
        <v>6386</v>
      </c>
    </row>
    <row r="256" spans="2:3">
      <c r="B256" s="14" t="s">
        <v>878</v>
      </c>
      <c r="C256" s="14" t="s">
        <v>6386</v>
      </c>
    </row>
    <row r="257" spans="2:3">
      <c r="B257" s="14" t="s">
        <v>878</v>
      </c>
      <c r="C257" s="14" t="s">
        <v>6379</v>
      </c>
    </row>
    <row r="258" spans="2:3">
      <c r="B258" s="14" t="s">
        <v>6559</v>
      </c>
      <c r="C258" s="14" t="s">
        <v>6379</v>
      </c>
    </row>
    <row r="259" spans="2:3">
      <c r="B259" s="14" t="s">
        <v>313</v>
      </c>
      <c r="C259" s="14" t="s">
        <v>6386</v>
      </c>
    </row>
    <row r="260" spans="2:3">
      <c r="B260" s="14"/>
      <c r="C260" s="14"/>
    </row>
    <row r="261" spans="2:3">
      <c r="B261" s="14" t="s">
        <v>6560</v>
      </c>
      <c r="C261" s="14" t="s">
        <v>6379</v>
      </c>
    </row>
    <row r="262" spans="2:3">
      <c r="B262" s="14" t="s">
        <v>6561</v>
      </c>
      <c r="C262" s="14" t="s">
        <v>6379</v>
      </c>
    </row>
    <row r="263" spans="2:3">
      <c r="B263" s="14" t="s">
        <v>6562</v>
      </c>
      <c r="C263" s="14" t="s">
        <v>6379</v>
      </c>
    </row>
    <row r="264" spans="2:3">
      <c r="B264" s="14" t="s">
        <v>106</v>
      </c>
      <c r="C264" s="14" t="s">
        <v>6379</v>
      </c>
    </row>
    <row r="265" spans="2:3">
      <c r="B265" s="14" t="s">
        <v>193</v>
      </c>
      <c r="C265" s="14" t="s">
        <v>6379</v>
      </c>
    </row>
    <row r="266" spans="2:3">
      <c r="B266" s="14" t="s">
        <v>6563</v>
      </c>
      <c r="C266" s="14" t="s">
        <v>6379</v>
      </c>
    </row>
    <row r="267" spans="2:3">
      <c r="B267" s="14" t="s">
        <v>6564</v>
      </c>
      <c r="C267" s="14" t="s">
        <v>6379</v>
      </c>
    </row>
    <row r="268" spans="2:3">
      <c r="B268" s="14" t="s">
        <v>6565</v>
      </c>
      <c r="C268" s="14" t="s">
        <v>6379</v>
      </c>
    </row>
    <row r="269" spans="2:3">
      <c r="B269" s="14" t="s">
        <v>6566</v>
      </c>
      <c r="C269" s="14" t="s">
        <v>6379</v>
      </c>
    </row>
    <row r="270" spans="2:3">
      <c r="B270" s="14" t="s">
        <v>6567</v>
      </c>
      <c r="C270" s="14" t="s">
        <v>6379</v>
      </c>
    </row>
    <row r="271" spans="2:3">
      <c r="B271" s="14" t="s">
        <v>3764</v>
      </c>
      <c r="C271" s="14" t="s">
        <v>6379</v>
      </c>
    </row>
    <row r="272" spans="2:3">
      <c r="B272" s="14" t="s">
        <v>85</v>
      </c>
      <c r="C272" s="14" t="s">
        <v>6379</v>
      </c>
    </row>
    <row r="273" spans="2:3">
      <c r="B273" s="14" t="s">
        <v>6568</v>
      </c>
      <c r="C273" s="14" t="s">
        <v>6379</v>
      </c>
    </row>
    <row r="274" spans="2:3">
      <c r="B274" s="14" t="s">
        <v>6569</v>
      </c>
      <c r="C274" s="14" t="s">
        <v>6379</v>
      </c>
    </row>
    <row r="275" spans="2:3">
      <c r="B275" s="14" t="s">
        <v>834</v>
      </c>
      <c r="C275" s="14" t="s">
        <v>6379</v>
      </c>
    </row>
    <row r="276" spans="2:3">
      <c r="B276" s="14" t="s">
        <v>5700</v>
      </c>
      <c r="C276" s="14" t="s">
        <v>6379</v>
      </c>
    </row>
    <row r="277" spans="2:3">
      <c r="B277" s="14" t="s">
        <v>5126</v>
      </c>
      <c r="C277" s="14" t="s">
        <v>6379</v>
      </c>
    </row>
    <row r="278" spans="2:3">
      <c r="B278" s="14" t="s">
        <v>6403</v>
      </c>
      <c r="C278" s="14" t="s">
        <v>6379</v>
      </c>
    </row>
    <row r="279" spans="2:3">
      <c r="B279" s="14" t="s">
        <v>6570</v>
      </c>
      <c r="C279" s="14" t="s">
        <v>6379</v>
      </c>
    </row>
    <row r="280" spans="2:3">
      <c r="B280" s="14" t="s">
        <v>6571</v>
      </c>
      <c r="C280" s="14" t="s">
        <v>6379</v>
      </c>
    </row>
    <row r="281" spans="2:3">
      <c r="B281" s="14" t="s">
        <v>6572</v>
      </c>
      <c r="C281" s="14" t="s">
        <v>6379</v>
      </c>
    </row>
    <row r="282" spans="2:3">
      <c r="B282" s="14" t="s">
        <v>6573</v>
      </c>
      <c r="C282" s="14" t="s">
        <v>6379</v>
      </c>
    </row>
    <row r="283" spans="2:3">
      <c r="B283" s="14" t="s">
        <v>5625</v>
      </c>
      <c r="C283" s="14" t="s">
        <v>6379</v>
      </c>
    </row>
    <row r="284" spans="2:3">
      <c r="B284" s="14" t="s">
        <v>6469</v>
      </c>
      <c r="C284" s="14" t="s">
        <v>6379</v>
      </c>
    </row>
    <row r="285" spans="2:3">
      <c r="B285" s="14" t="s">
        <v>6574</v>
      </c>
      <c r="C285" s="14" t="s">
        <v>6379</v>
      </c>
    </row>
    <row r="286" spans="2:3">
      <c r="B286" s="14" t="s">
        <v>5589</v>
      </c>
      <c r="C286" s="14" t="s">
        <v>6410</v>
      </c>
    </row>
    <row r="287" spans="2:3">
      <c r="B287" s="14" t="s">
        <v>6575</v>
      </c>
      <c r="C287" s="14" t="s">
        <v>6379</v>
      </c>
    </row>
    <row r="288" spans="2:3">
      <c r="B288" s="14" t="s">
        <v>6576</v>
      </c>
      <c r="C288" s="14" t="s">
        <v>6379</v>
      </c>
    </row>
    <row r="289" spans="2:3">
      <c r="B289" s="14" t="s">
        <v>1573</v>
      </c>
      <c r="C289" s="14" t="s">
        <v>6379</v>
      </c>
    </row>
    <row r="290" spans="2:3">
      <c r="B290" s="14" t="s">
        <v>441</v>
      </c>
      <c r="C290" s="14" t="s">
        <v>6410</v>
      </c>
    </row>
    <row r="291" spans="2:3">
      <c r="B291" s="14" t="s">
        <v>6577</v>
      </c>
      <c r="C291" s="14" t="s">
        <v>6379</v>
      </c>
    </row>
    <row r="292" spans="2:3">
      <c r="B292" s="14" t="s">
        <v>6578</v>
      </c>
      <c r="C292" s="14" t="s">
        <v>6379</v>
      </c>
    </row>
    <row r="293" spans="2:3">
      <c r="B293" s="14" t="s">
        <v>6579</v>
      </c>
      <c r="C293" s="14" t="s">
        <v>6379</v>
      </c>
    </row>
    <row r="294" spans="2:3">
      <c r="B294" s="14" t="s">
        <v>6580</v>
      </c>
      <c r="C294" s="14" t="s">
        <v>6379</v>
      </c>
    </row>
    <row r="295" spans="2:3">
      <c r="B295" s="14" t="s">
        <v>6581</v>
      </c>
      <c r="C295" s="14" t="s">
        <v>6379</v>
      </c>
    </row>
    <row r="296" spans="2:3">
      <c r="B296" s="14" t="s">
        <v>6582</v>
      </c>
      <c r="C296" s="14" t="s">
        <v>6379</v>
      </c>
    </row>
    <row r="297" spans="2:3">
      <c r="B297" s="14" t="s">
        <v>6583</v>
      </c>
      <c r="C297" s="14" t="s">
        <v>6379</v>
      </c>
    </row>
    <row r="298" spans="2:3">
      <c r="B298" s="14" t="s">
        <v>6584</v>
      </c>
      <c r="C298" s="14" t="s">
        <v>6379</v>
      </c>
    </row>
    <row r="299" spans="2:3">
      <c r="B299" s="14" t="s">
        <v>5558</v>
      </c>
      <c r="C299" s="14" t="s">
        <v>6379</v>
      </c>
    </row>
    <row r="300" spans="2:3">
      <c r="B300" s="14" t="s">
        <v>5896</v>
      </c>
      <c r="C300" s="14" t="s">
        <v>6379</v>
      </c>
    </row>
    <row r="301" spans="2:3">
      <c r="B301" s="14" t="s">
        <v>6585</v>
      </c>
      <c r="C301" s="14" t="s">
        <v>6379</v>
      </c>
    </row>
    <row r="302" spans="2:3">
      <c r="B302" s="14" t="s">
        <v>6586</v>
      </c>
      <c r="C302" s="14" t="s">
        <v>6379</v>
      </c>
    </row>
    <row r="303" spans="2:3">
      <c r="B303" s="14" t="s">
        <v>5634</v>
      </c>
      <c r="C303" s="14" t="s">
        <v>6379</v>
      </c>
    </row>
    <row r="304" spans="2:3">
      <c r="B304" s="14" t="s">
        <v>5579</v>
      </c>
      <c r="C304" s="14" t="s">
        <v>6379</v>
      </c>
    </row>
    <row r="305" spans="2:3">
      <c r="B305" s="14" t="s">
        <v>2019</v>
      </c>
      <c r="C305" s="14" t="s">
        <v>6379</v>
      </c>
    </row>
    <row r="306" spans="2:3">
      <c r="B306" s="14" t="s">
        <v>5537</v>
      </c>
      <c r="C306" s="14" t="s">
        <v>6379</v>
      </c>
    </row>
    <row r="307" spans="2:3">
      <c r="B307" s="14" t="s">
        <v>6587</v>
      </c>
      <c r="C307" s="14" t="s">
        <v>6379</v>
      </c>
    </row>
    <row r="308" spans="2:3">
      <c r="B308" s="14" t="s">
        <v>5862</v>
      </c>
      <c r="C308" s="14" t="s">
        <v>6379</v>
      </c>
    </row>
    <row r="309" spans="2:3">
      <c r="B309" s="14" t="s">
        <v>6588</v>
      </c>
      <c r="C309" s="14" t="s">
        <v>6379</v>
      </c>
    </row>
    <row r="310" spans="2:3">
      <c r="B310" s="14" t="s">
        <v>6589</v>
      </c>
      <c r="C310" s="14" t="s">
        <v>6379</v>
      </c>
    </row>
    <row r="311" spans="2:3">
      <c r="B311" s="14" t="s">
        <v>6590</v>
      </c>
      <c r="C311" s="14" t="s">
        <v>6379</v>
      </c>
    </row>
    <row r="312" spans="2:3">
      <c r="B312" s="14" t="s">
        <v>5534</v>
      </c>
      <c r="C312" s="14" t="s">
        <v>6379</v>
      </c>
    </row>
    <row r="313" spans="2:3">
      <c r="B313" s="14" t="s">
        <v>5637</v>
      </c>
      <c r="C313" s="14" t="s">
        <v>6379</v>
      </c>
    </row>
    <row r="314" spans="2:3">
      <c r="B314" s="14" t="s">
        <v>6591</v>
      </c>
      <c r="C314" s="14" t="s">
        <v>6379</v>
      </c>
    </row>
    <row r="315" spans="2:3">
      <c r="B315" s="14" t="s">
        <v>6592</v>
      </c>
      <c r="C315" s="14" t="s">
        <v>6379</v>
      </c>
    </row>
    <row r="316" spans="2:3">
      <c r="B316" s="14" t="s">
        <v>5642</v>
      </c>
      <c r="C316" s="14" t="s">
        <v>6379</v>
      </c>
    </row>
    <row r="317" spans="2:3">
      <c r="B317" s="14" t="s">
        <v>5897</v>
      </c>
      <c r="C317" s="14" t="s">
        <v>6379</v>
      </c>
    </row>
    <row r="318" spans="2:3">
      <c r="B318" s="14" t="s">
        <v>6593</v>
      </c>
      <c r="C318" s="14" t="s">
        <v>6379</v>
      </c>
    </row>
    <row r="319" spans="2:3">
      <c r="B319" s="14" t="s">
        <v>6594</v>
      </c>
      <c r="C319" s="14" t="s">
        <v>6379</v>
      </c>
    </row>
    <row r="320" spans="2:3">
      <c r="B320" s="14" t="s">
        <v>6595</v>
      </c>
      <c r="C320" s="14" t="s">
        <v>6379</v>
      </c>
    </row>
    <row r="321" spans="2:3">
      <c r="B321" s="14" t="s">
        <v>6596</v>
      </c>
      <c r="C321" s="14" t="s">
        <v>6379</v>
      </c>
    </row>
    <row r="322" spans="2:3">
      <c r="B322" s="14" t="s">
        <v>6597</v>
      </c>
      <c r="C322" s="14" t="s">
        <v>6379</v>
      </c>
    </row>
    <row r="323" spans="2:3">
      <c r="B323" s="14" t="s">
        <v>6598</v>
      </c>
      <c r="C323" s="14" t="s">
        <v>6379</v>
      </c>
    </row>
    <row r="324" spans="2:3">
      <c r="B324" s="14" t="s">
        <v>3680</v>
      </c>
      <c r="C324" s="14" t="s">
        <v>6379</v>
      </c>
    </row>
    <row r="325" spans="2:3">
      <c r="B325" s="14" t="s">
        <v>6599</v>
      </c>
      <c r="C325" s="14" t="s">
        <v>6379</v>
      </c>
    </row>
    <row r="326" spans="2:3">
      <c r="B326" s="14" t="s">
        <v>144</v>
      </c>
      <c r="C326" s="14" t="s">
        <v>6379</v>
      </c>
    </row>
    <row r="327" spans="2:3">
      <c r="B327" s="14" t="s">
        <v>6600</v>
      </c>
      <c r="C327" s="14" t="s">
        <v>6379</v>
      </c>
    </row>
    <row r="328" spans="2:3">
      <c r="B328" s="14" t="s">
        <v>6601</v>
      </c>
      <c r="C328" s="14" t="s">
        <v>6379</v>
      </c>
    </row>
    <row r="329" spans="2:3">
      <c r="B329" s="14" t="s">
        <v>6602</v>
      </c>
      <c r="C329" s="14" t="s">
        <v>6379</v>
      </c>
    </row>
    <row r="330" spans="2:3">
      <c r="B330" s="14" t="s">
        <v>6603</v>
      </c>
      <c r="C330" s="14" t="s">
        <v>6379</v>
      </c>
    </row>
    <row r="331" spans="2:3">
      <c r="B331" s="14" t="s">
        <v>6604</v>
      </c>
      <c r="C331" s="14" t="s">
        <v>6379</v>
      </c>
    </row>
    <row r="332" spans="2:3">
      <c r="B332" s="14"/>
      <c r="C332" s="14"/>
    </row>
    <row r="333" spans="2:3">
      <c r="B333" s="14" t="s">
        <v>6605</v>
      </c>
      <c r="C333" s="14" t="s">
        <v>6379</v>
      </c>
    </row>
    <row r="334" spans="2:3">
      <c r="B334" s="14" t="s">
        <v>6606</v>
      </c>
      <c r="C334" s="14" t="s">
        <v>6379</v>
      </c>
    </row>
    <row r="335" spans="2:3">
      <c r="B335" s="14" t="s">
        <v>5543</v>
      </c>
      <c r="C335" s="14" t="s">
        <v>6379</v>
      </c>
    </row>
    <row r="336" spans="2:3">
      <c r="B336" s="14" t="s">
        <v>6607</v>
      </c>
      <c r="C336" s="14" t="s">
        <v>6379</v>
      </c>
    </row>
    <row r="337" spans="2:3">
      <c r="B337" s="14" t="s">
        <v>6608</v>
      </c>
      <c r="C337" s="14" t="s">
        <v>6379</v>
      </c>
    </row>
    <row r="338" spans="2:3">
      <c r="B338" s="14" t="s">
        <v>6609</v>
      </c>
      <c r="C338" s="14" t="s">
        <v>6379</v>
      </c>
    </row>
    <row r="339" spans="2:3">
      <c r="B339" s="14" t="s">
        <v>458</v>
      </c>
      <c r="C339" s="14" t="s">
        <v>6379</v>
      </c>
    </row>
    <row r="340" spans="2:3">
      <c r="B340" s="14" t="s">
        <v>6610</v>
      </c>
      <c r="C340" s="14" t="s">
        <v>6379</v>
      </c>
    </row>
    <row r="341" spans="2:3">
      <c r="B341" s="14" t="s">
        <v>5517</v>
      </c>
      <c r="C341" s="14" t="s">
        <v>6379</v>
      </c>
    </row>
    <row r="342" spans="2:3">
      <c r="B342" s="14" t="s">
        <v>5588</v>
      </c>
      <c r="C342" s="14" t="s">
        <v>6410</v>
      </c>
    </row>
    <row r="343" spans="2:3">
      <c r="B343" s="14" t="s">
        <v>5591</v>
      </c>
      <c r="C343" s="14" t="s">
        <v>6410</v>
      </c>
    </row>
    <row r="344" spans="2:3">
      <c r="B344" s="14" t="s">
        <v>5536</v>
      </c>
      <c r="C344" s="14" t="s">
        <v>6379</v>
      </c>
    </row>
    <row r="345" spans="2:3">
      <c r="B345" s="14" t="s">
        <v>744</v>
      </c>
      <c r="C345" s="14" t="s">
        <v>6410</v>
      </c>
    </row>
    <row r="346" spans="2:3">
      <c r="B346" s="14" t="s">
        <v>6611</v>
      </c>
      <c r="C346" s="14" t="s">
        <v>6379</v>
      </c>
    </row>
    <row r="347" spans="2:3">
      <c r="B347" s="14" t="s">
        <v>6612</v>
      </c>
      <c r="C347" s="14" t="s">
        <v>6379</v>
      </c>
    </row>
    <row r="348" spans="2:3">
      <c r="B348" s="14" t="s">
        <v>6613</v>
      </c>
      <c r="C348" s="14" t="s">
        <v>6379</v>
      </c>
    </row>
    <row r="349" spans="2:3">
      <c r="B349" s="14" t="s">
        <v>5669</v>
      </c>
      <c r="C349" s="14" t="s">
        <v>6379</v>
      </c>
    </row>
    <row r="350" spans="2:3">
      <c r="B350" s="14" t="s">
        <v>6614</v>
      </c>
      <c r="C350" s="14" t="s">
        <v>6379</v>
      </c>
    </row>
    <row r="351" spans="2:3">
      <c r="B351" s="14" t="s">
        <v>6615</v>
      </c>
      <c r="C351" s="14" t="s">
        <v>6379</v>
      </c>
    </row>
    <row r="352" spans="2:3">
      <c r="B352" s="14" t="s">
        <v>6616</v>
      </c>
      <c r="C352" s="14" t="s">
        <v>6379</v>
      </c>
    </row>
    <row r="353" spans="2:3">
      <c r="B353" s="14" t="s">
        <v>6617</v>
      </c>
      <c r="C353" s="14" t="s">
        <v>6379</v>
      </c>
    </row>
    <row r="354" spans="2:3">
      <c r="B354" s="14" t="s">
        <v>5748</v>
      </c>
      <c r="C354" s="14" t="s">
        <v>6379</v>
      </c>
    </row>
    <row r="355" spans="2:3">
      <c r="B355" s="14" t="s">
        <v>6618</v>
      </c>
      <c r="C355" s="14" t="s">
        <v>6379</v>
      </c>
    </row>
    <row r="356" spans="2:3">
      <c r="B356" s="14" t="s">
        <v>6619</v>
      </c>
      <c r="C356" s="14" t="s">
        <v>6379</v>
      </c>
    </row>
    <row r="357" spans="2:3">
      <c r="B357" s="14" t="s">
        <v>5667</v>
      </c>
      <c r="C357" s="14" t="s">
        <v>6379</v>
      </c>
    </row>
    <row r="358" spans="2:3">
      <c r="B358" s="14" t="s">
        <v>6620</v>
      </c>
      <c r="C358" s="14" t="s">
        <v>6379</v>
      </c>
    </row>
    <row r="359" spans="2:3">
      <c r="B359" s="14" t="s">
        <v>6621</v>
      </c>
      <c r="C359" s="14" t="s">
        <v>6379</v>
      </c>
    </row>
    <row r="360" spans="2:3">
      <c r="B360" s="14" t="s">
        <v>6622</v>
      </c>
      <c r="C360" s="14" t="s">
        <v>6379</v>
      </c>
    </row>
    <row r="361" spans="2:3">
      <c r="B361" s="14" t="s">
        <v>6623</v>
      </c>
      <c r="C361" s="14" t="s">
        <v>6379</v>
      </c>
    </row>
    <row r="362" spans="2:3">
      <c r="B362" s="14" t="s">
        <v>6624</v>
      </c>
      <c r="C362" s="14" t="s">
        <v>6379</v>
      </c>
    </row>
    <row r="363" spans="2:3">
      <c r="B363" s="14" t="s">
        <v>5623</v>
      </c>
      <c r="C363" s="14" t="s">
        <v>6379</v>
      </c>
    </row>
    <row r="364" spans="2:3">
      <c r="B364" s="14" t="s">
        <v>5505</v>
      </c>
      <c r="C364" s="14" t="s">
        <v>6379</v>
      </c>
    </row>
    <row r="365" spans="2:3">
      <c r="B365" s="14" t="s">
        <v>6625</v>
      </c>
      <c r="C365" s="14" t="s">
        <v>6379</v>
      </c>
    </row>
    <row r="366" spans="2:3">
      <c r="B366" s="14" t="s">
        <v>4037</v>
      </c>
      <c r="C366" s="14" t="s">
        <v>6379</v>
      </c>
    </row>
    <row r="367" spans="2:3">
      <c r="B367" s="14" t="s">
        <v>5078</v>
      </c>
      <c r="C367" s="14" t="s">
        <v>6379</v>
      </c>
    </row>
    <row r="368" spans="2:3">
      <c r="B368" s="14" t="s">
        <v>6626</v>
      </c>
      <c r="C368" s="14" t="s">
        <v>6379</v>
      </c>
    </row>
    <row r="369" spans="2:3">
      <c r="B369" s="14" t="s">
        <v>5622</v>
      </c>
      <c r="C369" s="14" t="s">
        <v>6379</v>
      </c>
    </row>
    <row r="370" spans="2:3">
      <c r="B370" s="14" t="s">
        <v>227</v>
      </c>
      <c r="C370" s="14" t="s">
        <v>6379</v>
      </c>
    </row>
    <row r="371" spans="2:3">
      <c r="B371" s="14" t="s">
        <v>6627</v>
      </c>
      <c r="C371" s="14" t="s">
        <v>6379</v>
      </c>
    </row>
    <row r="372" spans="2:3">
      <c r="B372" s="14" t="s">
        <v>6628</v>
      </c>
      <c r="C372" s="14" t="s">
        <v>6379</v>
      </c>
    </row>
    <row r="373" spans="2:3">
      <c r="B373" s="14" t="s">
        <v>5695</v>
      </c>
      <c r="C373" s="14" t="s">
        <v>6410</v>
      </c>
    </row>
    <row r="374" spans="2:3">
      <c r="B374" s="14" t="s">
        <v>6629</v>
      </c>
      <c r="C374" s="14" t="s">
        <v>6379</v>
      </c>
    </row>
    <row r="375" spans="2:3">
      <c r="B375" s="14" t="s">
        <v>6630</v>
      </c>
      <c r="C375" s="14" t="s">
        <v>6379</v>
      </c>
    </row>
    <row r="376" spans="2:3">
      <c r="B376" s="14" t="s">
        <v>360</v>
      </c>
      <c r="C376" s="14" t="s">
        <v>6379</v>
      </c>
    </row>
    <row r="377" spans="2:3">
      <c r="B377" s="14" t="s">
        <v>5670</v>
      </c>
      <c r="C377" s="14" t="s">
        <v>6379</v>
      </c>
    </row>
    <row r="378" spans="2:3">
      <c r="B378" s="14" t="s">
        <v>6631</v>
      </c>
      <c r="C378" s="14" t="s">
        <v>6379</v>
      </c>
    </row>
    <row r="379" spans="2:3">
      <c r="B379" s="14" t="s">
        <v>5864</v>
      </c>
      <c r="C379" s="14" t="s">
        <v>6379</v>
      </c>
    </row>
    <row r="380" spans="2:3">
      <c r="B380" s="14" t="s">
        <v>6632</v>
      </c>
      <c r="C380" s="14" t="s">
        <v>6379</v>
      </c>
    </row>
    <row r="381" spans="2:3">
      <c r="B381" s="14" t="s">
        <v>6633</v>
      </c>
      <c r="C381" s="14" t="s">
        <v>6410</v>
      </c>
    </row>
    <row r="382" spans="2:3">
      <c r="B382" s="14" t="s">
        <v>6634</v>
      </c>
      <c r="C382" s="14" t="s">
        <v>6379</v>
      </c>
    </row>
    <row r="383" spans="2:3">
      <c r="B383" s="14" t="s">
        <v>5676</v>
      </c>
      <c r="C383" s="14" t="s">
        <v>6379</v>
      </c>
    </row>
    <row r="384" spans="2:3">
      <c r="B384" s="14" t="s">
        <v>6635</v>
      </c>
      <c r="C384" s="14" t="s">
        <v>6379</v>
      </c>
    </row>
    <row r="385" spans="2:3">
      <c r="B385" s="14" t="s">
        <v>6636</v>
      </c>
      <c r="C385" s="14" t="s">
        <v>6379</v>
      </c>
    </row>
    <row r="386" spans="2:3">
      <c r="B386" s="14" t="s">
        <v>6637</v>
      </c>
      <c r="C386" s="14" t="s">
        <v>6379</v>
      </c>
    </row>
    <row r="387" spans="2:3">
      <c r="B387" s="14" t="s">
        <v>6638</v>
      </c>
      <c r="C387" s="14" t="s">
        <v>6379</v>
      </c>
    </row>
    <row r="388" spans="2:3">
      <c r="B388" s="14" t="s">
        <v>6639</v>
      </c>
      <c r="C388" s="14" t="s">
        <v>6379</v>
      </c>
    </row>
    <row r="389" spans="2:3">
      <c r="B389" s="14" t="s">
        <v>6640</v>
      </c>
      <c r="C389" s="14" t="s">
        <v>6379</v>
      </c>
    </row>
    <row r="390" spans="2:3">
      <c r="B390" s="14" t="s">
        <v>6641</v>
      </c>
      <c r="C390" s="14" t="s">
        <v>6379</v>
      </c>
    </row>
    <row r="391" spans="2:3">
      <c r="B391" s="14" t="s">
        <v>6642</v>
      </c>
      <c r="C391" s="14" t="s">
        <v>6379</v>
      </c>
    </row>
    <row r="392" spans="2:3">
      <c r="B392" s="14" t="s">
        <v>6643</v>
      </c>
      <c r="C392" s="14" t="s">
        <v>6379</v>
      </c>
    </row>
    <row r="393" spans="2:3">
      <c r="B393" s="14" t="s">
        <v>1364</v>
      </c>
      <c r="C393" s="14" t="s">
        <v>6379</v>
      </c>
    </row>
    <row r="394" spans="2:3">
      <c r="B394" s="14" t="s">
        <v>6644</v>
      </c>
      <c r="C394" s="14" t="s">
        <v>6379</v>
      </c>
    </row>
    <row r="395" spans="2:3">
      <c r="B395" s="14" t="s">
        <v>6645</v>
      </c>
      <c r="C395" s="14" t="s">
        <v>6379</v>
      </c>
    </row>
    <row r="396" spans="2:3">
      <c r="B396" s="14" t="s">
        <v>6646</v>
      </c>
      <c r="C396" s="14" t="s">
        <v>6379</v>
      </c>
    </row>
    <row r="397" spans="2:3">
      <c r="B397" s="14" t="s">
        <v>5524</v>
      </c>
      <c r="C397" s="14" t="s">
        <v>6379</v>
      </c>
    </row>
    <row r="398" spans="2:3">
      <c r="B398" s="14" t="s">
        <v>5551</v>
      </c>
      <c r="C398" s="14" t="s">
        <v>6379</v>
      </c>
    </row>
    <row r="399" spans="2:3">
      <c r="B399" s="14" t="s">
        <v>6647</v>
      </c>
      <c r="C399" s="14" t="s">
        <v>6379</v>
      </c>
    </row>
    <row r="400" spans="2:3">
      <c r="B400" s="14" t="s">
        <v>6648</v>
      </c>
      <c r="C400" s="14" t="s">
        <v>6379</v>
      </c>
    </row>
    <row r="401" spans="2:3">
      <c r="B401" s="14" t="s">
        <v>6649</v>
      </c>
      <c r="C401" s="14" t="s">
        <v>6379</v>
      </c>
    </row>
    <row r="402" spans="2:3">
      <c r="B402" s="14" t="s">
        <v>6650</v>
      </c>
      <c r="C402" s="14" t="s">
        <v>6379</v>
      </c>
    </row>
    <row r="403" spans="2:3">
      <c r="B403" s="14" t="s">
        <v>6651</v>
      </c>
      <c r="C403" s="14" t="s">
        <v>6379</v>
      </c>
    </row>
    <row r="404" spans="2:3">
      <c r="B404" s="14" t="s">
        <v>859</v>
      </c>
      <c r="C404" s="14" t="s">
        <v>6410</v>
      </c>
    </row>
    <row r="405" spans="2:3">
      <c r="B405" s="14" t="s">
        <v>6652</v>
      </c>
      <c r="C405" s="14" t="s">
        <v>6379</v>
      </c>
    </row>
    <row r="406" spans="2:3">
      <c r="B406" s="14" t="s">
        <v>6653</v>
      </c>
      <c r="C406" s="14" t="s">
        <v>6379</v>
      </c>
    </row>
    <row r="407" spans="2:3">
      <c r="B407" s="14" t="s">
        <v>5726</v>
      </c>
      <c r="C407" s="14" t="s">
        <v>6379</v>
      </c>
    </row>
    <row r="408" spans="2:3">
      <c r="B408" s="14" t="s">
        <v>6654</v>
      </c>
      <c r="C408" s="14" t="s">
        <v>6379</v>
      </c>
    </row>
    <row r="409" spans="2:3">
      <c r="B409" s="14" t="s">
        <v>6655</v>
      </c>
      <c r="C409" s="14" t="s">
        <v>6379</v>
      </c>
    </row>
    <row r="410" spans="2:3">
      <c r="B410" s="14" t="s">
        <v>6656</v>
      </c>
      <c r="C410" s="14" t="s">
        <v>6379</v>
      </c>
    </row>
    <row r="411" spans="2:3">
      <c r="B411" s="14" t="s">
        <v>6657</v>
      </c>
      <c r="C411" s="14" t="s">
        <v>6379</v>
      </c>
    </row>
    <row r="412" spans="2:3">
      <c r="B412" s="14" t="s">
        <v>6658</v>
      </c>
      <c r="C412" s="14" t="s">
        <v>6379</v>
      </c>
    </row>
    <row r="413" spans="2:3">
      <c r="B413" s="14" t="s">
        <v>6659</v>
      </c>
      <c r="C413" s="14" t="s">
        <v>6379</v>
      </c>
    </row>
    <row r="414" spans="2:3">
      <c r="B414" s="14" t="s">
        <v>6660</v>
      </c>
      <c r="C414" s="14" t="s">
        <v>6379</v>
      </c>
    </row>
    <row r="415" spans="2:3">
      <c r="B415" s="14" t="s">
        <v>6661</v>
      </c>
      <c r="C415" s="14" t="s">
        <v>6379</v>
      </c>
    </row>
    <row r="416" spans="2:3">
      <c r="B416" s="14" t="s">
        <v>6662</v>
      </c>
      <c r="C416" s="14" t="s">
        <v>6379</v>
      </c>
    </row>
    <row r="417" spans="2:3">
      <c r="B417" s="14" t="s">
        <v>6663</v>
      </c>
      <c r="C417" s="14" t="s">
        <v>6379</v>
      </c>
    </row>
    <row r="418" spans="2:3">
      <c r="B418" s="14" t="s">
        <v>6664</v>
      </c>
      <c r="C418" s="14" t="s">
        <v>6379</v>
      </c>
    </row>
    <row r="419" spans="2:3">
      <c r="B419" s="14" t="s">
        <v>5639</v>
      </c>
      <c r="C419" s="14" t="s">
        <v>6410</v>
      </c>
    </row>
    <row r="420" spans="2:3">
      <c r="B420" s="14" t="s">
        <v>6665</v>
      </c>
      <c r="C420" s="14" t="s">
        <v>6379</v>
      </c>
    </row>
    <row r="421" spans="2:3">
      <c r="B421" s="14" t="s">
        <v>6666</v>
      </c>
      <c r="C421" s="14" t="s">
        <v>6379</v>
      </c>
    </row>
    <row r="422" spans="2:3">
      <c r="B422" s="14" t="s">
        <v>2324</v>
      </c>
      <c r="C422" s="14" t="s">
        <v>6379</v>
      </c>
    </row>
    <row r="423" spans="2:3">
      <c r="B423" s="14" t="s">
        <v>6667</v>
      </c>
      <c r="C423" s="14" t="s">
        <v>6379</v>
      </c>
    </row>
    <row r="424" spans="2:3">
      <c r="B424" s="14" t="s">
        <v>3610</v>
      </c>
      <c r="C424" s="14" t="s">
        <v>6379</v>
      </c>
    </row>
    <row r="425" spans="2:3">
      <c r="B425" s="14" t="s">
        <v>5533</v>
      </c>
      <c r="C425" s="14" t="s">
        <v>6379</v>
      </c>
    </row>
    <row r="426" spans="2:3">
      <c r="B426" s="14" t="s">
        <v>4169</v>
      </c>
      <c r="C426" s="14" t="s">
        <v>6410</v>
      </c>
    </row>
    <row r="427" spans="2:3">
      <c r="B427" s="14" t="s">
        <v>6668</v>
      </c>
      <c r="C427" s="14" t="s">
        <v>6379</v>
      </c>
    </row>
    <row r="428" spans="2:3">
      <c r="B428" s="14" t="s">
        <v>5751</v>
      </c>
      <c r="C428" s="14" t="s">
        <v>6379</v>
      </c>
    </row>
    <row r="429" spans="2:3">
      <c r="B429" s="14" t="s">
        <v>5672</v>
      </c>
      <c r="C429" s="14" t="s">
        <v>6379</v>
      </c>
    </row>
    <row r="430" spans="2:3">
      <c r="B430" s="14" t="s">
        <v>6669</v>
      </c>
      <c r="C430" s="14" t="s">
        <v>6379</v>
      </c>
    </row>
    <row r="431" spans="2:3">
      <c r="B431" s="14" t="s">
        <v>6670</v>
      </c>
      <c r="C431" s="14" t="s">
        <v>6671</v>
      </c>
    </row>
    <row r="432" spans="2:3">
      <c r="B432" s="14" t="s">
        <v>6672</v>
      </c>
      <c r="C432" s="14" t="s">
        <v>6379</v>
      </c>
    </row>
    <row r="433" spans="2:3">
      <c r="B433" s="14" t="s">
        <v>6673</v>
      </c>
      <c r="C433" s="14" t="s">
        <v>6379</v>
      </c>
    </row>
    <row r="434" spans="2:3">
      <c r="B434" s="14" t="s">
        <v>6674</v>
      </c>
      <c r="C434" s="14" t="s">
        <v>6379</v>
      </c>
    </row>
    <row r="435" spans="2:3">
      <c r="B435" s="14" t="s">
        <v>6675</v>
      </c>
      <c r="C435" s="14" t="s">
        <v>6379</v>
      </c>
    </row>
    <row r="436" spans="2:3">
      <c r="B436" s="14" t="s">
        <v>6676</v>
      </c>
      <c r="C436" s="14" t="s">
        <v>6379</v>
      </c>
    </row>
    <row r="437" spans="2:3">
      <c r="B437" s="14" t="s">
        <v>6677</v>
      </c>
      <c r="C437" s="14" t="s">
        <v>6379</v>
      </c>
    </row>
    <row r="438" spans="2:3">
      <c r="B438" s="14" t="s">
        <v>6678</v>
      </c>
      <c r="C438" s="14" t="s">
        <v>6379</v>
      </c>
    </row>
    <row r="439" spans="2:3">
      <c r="B439" s="14" t="s">
        <v>6679</v>
      </c>
      <c r="C439" s="14" t="s">
        <v>6379</v>
      </c>
    </row>
    <row r="440" spans="2:3">
      <c r="B440" s="14" t="s">
        <v>5694</v>
      </c>
      <c r="C440" s="14" t="s">
        <v>6379</v>
      </c>
    </row>
    <row r="441" spans="2:3">
      <c r="B441" s="14" t="s">
        <v>5749</v>
      </c>
      <c r="C441" s="14" t="s">
        <v>6379</v>
      </c>
    </row>
    <row r="442" spans="2:3">
      <c r="B442" s="14" t="s">
        <v>6680</v>
      </c>
      <c r="C442" s="14" t="s">
        <v>6379</v>
      </c>
    </row>
    <row r="443" spans="2:3">
      <c r="B443" s="14" t="s">
        <v>6681</v>
      </c>
      <c r="C443" s="14" t="s">
        <v>6379</v>
      </c>
    </row>
    <row r="444" spans="2:3">
      <c r="B444" s="14" t="s">
        <v>6426</v>
      </c>
      <c r="C444" s="14" t="s">
        <v>6379</v>
      </c>
    </row>
    <row r="445" spans="2:3">
      <c r="B445" s="14" t="s">
        <v>2565</v>
      </c>
      <c r="C445" s="14" t="s">
        <v>6379</v>
      </c>
    </row>
    <row r="446" spans="2:3">
      <c r="B446" s="14" t="s">
        <v>3861</v>
      </c>
      <c r="C446" s="14" t="s">
        <v>6379</v>
      </c>
    </row>
    <row r="447" spans="2:3">
      <c r="B447" s="14" t="s">
        <v>6682</v>
      </c>
      <c r="C447" s="14" t="s">
        <v>6379</v>
      </c>
    </row>
    <row r="448" spans="2:3">
      <c r="B448" s="14" t="s">
        <v>6683</v>
      </c>
      <c r="C448" s="14" t="s">
        <v>6379</v>
      </c>
    </row>
    <row r="449" spans="2:3">
      <c r="B449" s="14" t="s">
        <v>6684</v>
      </c>
      <c r="C449" s="14" t="s">
        <v>6379</v>
      </c>
    </row>
    <row r="450" spans="2:3">
      <c r="B450" s="14" t="s">
        <v>6510</v>
      </c>
      <c r="C450" s="14" t="s">
        <v>6379</v>
      </c>
    </row>
    <row r="451" spans="2:3">
      <c r="B451" s="14" t="s">
        <v>4037</v>
      </c>
      <c r="C451" s="14" t="s">
        <v>6379</v>
      </c>
    </row>
    <row r="452" spans="2:3">
      <c r="B452" s="14" t="s">
        <v>5664</v>
      </c>
      <c r="C452" s="14" t="s">
        <v>6379</v>
      </c>
    </row>
    <row r="453" spans="2:3">
      <c r="B453" s="14" t="s">
        <v>6685</v>
      </c>
      <c r="C453" s="14" t="s">
        <v>6379</v>
      </c>
    </row>
    <row r="454" spans="2:3">
      <c r="B454" s="14" t="s">
        <v>6686</v>
      </c>
      <c r="C454" s="14" t="s">
        <v>6379</v>
      </c>
    </row>
    <row r="455" spans="2:3">
      <c r="B455" s="14" t="s">
        <v>6687</v>
      </c>
      <c r="C455" s="14" t="s">
        <v>6379</v>
      </c>
    </row>
    <row r="456" spans="2:3">
      <c r="B456" s="14" t="s">
        <v>6688</v>
      </c>
      <c r="C456" s="14" t="s">
        <v>6379</v>
      </c>
    </row>
    <row r="457" spans="2:3">
      <c r="B457" s="14" t="s">
        <v>6689</v>
      </c>
      <c r="C457" s="14" t="s">
        <v>6379</v>
      </c>
    </row>
    <row r="458" spans="2:3">
      <c r="B458" s="14" t="s">
        <v>6690</v>
      </c>
      <c r="C458" s="14" t="s">
        <v>6379</v>
      </c>
    </row>
    <row r="459" spans="2:3">
      <c r="B459" s="14" t="s">
        <v>6691</v>
      </c>
      <c r="C459" s="14" t="s">
        <v>6379</v>
      </c>
    </row>
    <row r="460" spans="2:3">
      <c r="B460" s="14" t="s">
        <v>5641</v>
      </c>
      <c r="C460" s="14" t="s">
        <v>6379</v>
      </c>
    </row>
    <row r="461" spans="2:3">
      <c r="B461" s="14" t="s">
        <v>517</v>
      </c>
      <c r="C461" s="14" t="s">
        <v>6379</v>
      </c>
    </row>
    <row r="462" spans="2:3">
      <c r="B462" s="14" t="s">
        <v>5584</v>
      </c>
      <c r="C462" s="14" t="s">
        <v>6379</v>
      </c>
    </row>
    <row r="463" spans="2:3">
      <c r="B463" s="14" t="s">
        <v>6692</v>
      </c>
      <c r="C463" s="14" t="s">
        <v>6379</v>
      </c>
    </row>
    <row r="464" spans="2:3">
      <c r="B464" s="14" t="s">
        <v>6693</v>
      </c>
      <c r="C464" s="14" t="s">
        <v>6379</v>
      </c>
    </row>
    <row r="465" spans="2:3">
      <c r="B465" s="14" t="s">
        <v>6694</v>
      </c>
      <c r="C465" s="14" t="s">
        <v>6379</v>
      </c>
    </row>
    <row r="466" spans="2:3">
      <c r="B466" s="14" t="s">
        <v>6695</v>
      </c>
      <c r="C466" s="14" t="s">
        <v>6379</v>
      </c>
    </row>
    <row r="467" spans="2:3">
      <c r="B467" s="14" t="s">
        <v>163</v>
      </c>
      <c r="C467" s="14" t="s">
        <v>6379</v>
      </c>
    </row>
    <row r="468" spans="2:3">
      <c r="B468" s="14" t="s">
        <v>6696</v>
      </c>
      <c r="C468" s="14" t="s">
        <v>6379</v>
      </c>
    </row>
    <row r="469" spans="2:3">
      <c r="B469" s="14" t="s">
        <v>5515</v>
      </c>
      <c r="C469" s="14" t="s">
        <v>6379</v>
      </c>
    </row>
    <row r="470" spans="2:3">
      <c r="B470" s="14" t="s">
        <v>5506</v>
      </c>
      <c r="C470" s="14" t="s">
        <v>6379</v>
      </c>
    </row>
    <row r="471" spans="2:3">
      <c r="B471" s="14" t="s">
        <v>6697</v>
      </c>
      <c r="C471" s="14" t="s">
        <v>6379</v>
      </c>
    </row>
    <row r="472" spans="2:3">
      <c r="B472" s="14" t="s">
        <v>6698</v>
      </c>
      <c r="C472" s="14" t="s">
        <v>6379</v>
      </c>
    </row>
    <row r="473" spans="2:3">
      <c r="B473" s="14" t="s">
        <v>6699</v>
      </c>
      <c r="C473" s="14" t="s">
        <v>6379</v>
      </c>
    </row>
    <row r="474" spans="2:3">
      <c r="B474" s="14" t="s">
        <v>6700</v>
      </c>
      <c r="C474" s="14" t="s">
        <v>6379</v>
      </c>
    </row>
    <row r="475" spans="2:3">
      <c r="B475" s="14" t="s">
        <v>5638</v>
      </c>
      <c r="C475" s="14" t="s">
        <v>6379</v>
      </c>
    </row>
    <row r="476" spans="2:3">
      <c r="B476" s="14" t="s">
        <v>6701</v>
      </c>
      <c r="C476" s="14" t="s">
        <v>6379</v>
      </c>
    </row>
    <row r="477" spans="2:3">
      <c r="B477" s="14" t="s">
        <v>6702</v>
      </c>
      <c r="C477" s="14" t="s">
        <v>6379</v>
      </c>
    </row>
    <row r="478" spans="2:3">
      <c r="B478" s="14" t="s">
        <v>6703</v>
      </c>
      <c r="C478" s="14" t="s">
        <v>6379</v>
      </c>
    </row>
    <row r="479" spans="2:3">
      <c r="B479" s="14" t="s">
        <v>6704</v>
      </c>
      <c r="C479" s="14" t="s">
        <v>6379</v>
      </c>
    </row>
    <row r="480" spans="2:3">
      <c r="B480" s="14"/>
      <c r="C480" s="14"/>
    </row>
    <row r="481" spans="2:3">
      <c r="B481" s="14" t="s">
        <v>6705</v>
      </c>
      <c r="C481" s="14" t="s">
        <v>6379</v>
      </c>
    </row>
    <row r="482" spans="2:3">
      <c r="B482" s="14" t="s">
        <v>5532</v>
      </c>
      <c r="C482" s="14" t="s">
        <v>6379</v>
      </c>
    </row>
    <row r="483" spans="2:3">
      <c r="B483" s="14" t="s">
        <v>5624</v>
      </c>
      <c r="C483" s="14" t="s">
        <v>6379</v>
      </c>
    </row>
    <row r="484" spans="2:3">
      <c r="B484" s="14" t="s">
        <v>6706</v>
      </c>
      <c r="C484" s="14" t="s">
        <v>6379</v>
      </c>
    </row>
    <row r="485" spans="2:3">
      <c r="B485" s="14" t="s">
        <v>851</v>
      </c>
      <c r="C485" s="14" t="s">
        <v>6379</v>
      </c>
    </row>
    <row r="486" spans="2:3">
      <c r="B486" s="14" t="s">
        <v>6707</v>
      </c>
      <c r="C486" s="14" t="s">
        <v>6379</v>
      </c>
    </row>
    <row r="487" spans="2:3">
      <c r="B487" s="14" t="s">
        <v>6708</v>
      </c>
      <c r="C487" s="14" t="s">
        <v>6379</v>
      </c>
    </row>
    <row r="488" spans="2:3">
      <c r="B488" s="14" t="s">
        <v>5675</v>
      </c>
      <c r="C488" s="14" t="s">
        <v>6379</v>
      </c>
    </row>
    <row r="489" spans="2:3">
      <c r="B489" s="14" t="s">
        <v>6709</v>
      </c>
      <c r="C489" s="14" t="s">
        <v>6379</v>
      </c>
    </row>
    <row r="490" spans="2:3">
      <c r="B490" s="14" t="s">
        <v>6710</v>
      </c>
      <c r="C490" s="14" t="s">
        <v>6379</v>
      </c>
    </row>
    <row r="491" spans="2:3">
      <c r="B491" s="14" t="s">
        <v>6711</v>
      </c>
      <c r="C491" s="14" t="s">
        <v>6379</v>
      </c>
    </row>
    <row r="492" spans="2:3">
      <c r="B492" s="14" t="s">
        <v>6712</v>
      </c>
      <c r="C492" s="14" t="s">
        <v>6379</v>
      </c>
    </row>
    <row r="493" spans="2:3">
      <c r="B493" s="14" t="s">
        <v>714</v>
      </c>
      <c r="C493" s="14" t="s">
        <v>6379</v>
      </c>
    </row>
    <row r="494" spans="2:3">
      <c r="B494" s="14" t="s">
        <v>5857</v>
      </c>
      <c r="C494" s="14" t="s">
        <v>6379</v>
      </c>
    </row>
    <row r="495" spans="2:3">
      <c r="B495" s="14" t="s">
        <v>6713</v>
      </c>
      <c r="C495" s="14" t="s">
        <v>6379</v>
      </c>
    </row>
    <row r="496" spans="2:3">
      <c r="B496" s="14" t="s">
        <v>6714</v>
      </c>
      <c r="C496" s="14" t="s">
        <v>6379</v>
      </c>
    </row>
    <row r="497" spans="2:3">
      <c r="B497" s="14" t="s">
        <v>6715</v>
      </c>
      <c r="C497" s="14" t="s">
        <v>6379</v>
      </c>
    </row>
    <row r="498" spans="2:3">
      <c r="B498" s="14" t="s">
        <v>6716</v>
      </c>
      <c r="C498" s="14" t="s">
        <v>6379</v>
      </c>
    </row>
    <row r="499" spans="2:3">
      <c r="B499" s="14" t="s">
        <v>6717</v>
      </c>
      <c r="C499" s="14" t="s">
        <v>6379</v>
      </c>
    </row>
    <row r="500" spans="2:3">
      <c r="B500" s="14" t="s">
        <v>5609</v>
      </c>
      <c r="C500" s="14" t="s">
        <v>6379</v>
      </c>
    </row>
    <row r="501" spans="2:3">
      <c r="B501" s="14" t="s">
        <v>1357</v>
      </c>
      <c r="C501" s="14" t="s">
        <v>6379</v>
      </c>
    </row>
    <row r="502" spans="2:3">
      <c r="B502" s="14" t="s">
        <v>6718</v>
      </c>
      <c r="C502" s="14" t="s">
        <v>6379</v>
      </c>
    </row>
    <row r="503" spans="2:3">
      <c r="B503" s="14" t="s">
        <v>5865</v>
      </c>
      <c r="C503" s="14" t="s">
        <v>6379</v>
      </c>
    </row>
    <row r="504" spans="2:3">
      <c r="B504" s="14" t="s">
        <v>6719</v>
      </c>
      <c r="C504" s="14" t="s">
        <v>6379</v>
      </c>
    </row>
    <row r="505" spans="2:3">
      <c r="B505" s="14" t="s">
        <v>6720</v>
      </c>
      <c r="C505" s="14" t="s">
        <v>6379</v>
      </c>
    </row>
    <row r="506" spans="2:3">
      <c r="B506" s="14" t="s">
        <v>6721</v>
      </c>
      <c r="C506" s="14" t="s">
        <v>6379</v>
      </c>
    </row>
    <row r="507" spans="2:3">
      <c r="B507" s="14" t="s">
        <v>6722</v>
      </c>
      <c r="C507" s="14" t="s">
        <v>6379</v>
      </c>
    </row>
    <row r="508" spans="2:3">
      <c r="B508" s="14" t="s">
        <v>5561</v>
      </c>
      <c r="C508" s="14" t="s">
        <v>6379</v>
      </c>
    </row>
    <row r="509" spans="2:3">
      <c r="B509" s="14" t="s">
        <v>6723</v>
      </c>
      <c r="C509" s="14" t="s">
        <v>6379</v>
      </c>
    </row>
    <row r="510" spans="2:3">
      <c r="B510" s="14" t="s">
        <v>6724</v>
      </c>
      <c r="C510" s="14" t="s">
        <v>6379</v>
      </c>
    </row>
    <row r="511" spans="2:3">
      <c r="B511" s="14" t="s">
        <v>6725</v>
      </c>
      <c r="C511" s="14" t="s">
        <v>6379</v>
      </c>
    </row>
    <row r="512" spans="2:3">
      <c r="B512" s="14" t="s">
        <v>6726</v>
      </c>
      <c r="C512" s="14" t="s">
        <v>6379</v>
      </c>
    </row>
    <row r="513" spans="2:3">
      <c r="B513" s="14" t="s">
        <v>5677</v>
      </c>
      <c r="C513" s="14" t="s">
        <v>6379</v>
      </c>
    </row>
    <row r="514" spans="2:3">
      <c r="B514" s="14" t="s">
        <v>2727</v>
      </c>
      <c r="C514" s="14" t="s">
        <v>6379</v>
      </c>
    </row>
    <row r="515" spans="2:3">
      <c r="B515" s="14" t="s">
        <v>6727</v>
      </c>
      <c r="C515" s="14" t="s">
        <v>6379</v>
      </c>
    </row>
    <row r="516" spans="2:3">
      <c r="B516" s="14" t="s">
        <v>6728</v>
      </c>
      <c r="C516" s="14" t="s">
        <v>6379</v>
      </c>
    </row>
    <row r="517" spans="2:3">
      <c r="B517" s="14" t="s">
        <v>6729</v>
      </c>
      <c r="C517" s="14" t="s">
        <v>6379</v>
      </c>
    </row>
    <row r="518" spans="2:3">
      <c r="B518" s="14" t="s">
        <v>6730</v>
      </c>
      <c r="C518" s="14" t="s">
        <v>6379</v>
      </c>
    </row>
    <row r="519" spans="2:3">
      <c r="B519" s="14" t="s">
        <v>5541</v>
      </c>
      <c r="C519" s="14" t="s">
        <v>6379</v>
      </c>
    </row>
    <row r="520" spans="2:3">
      <c r="B520" s="14" t="s">
        <v>250</v>
      </c>
      <c r="C520" s="14" t="s">
        <v>6410</v>
      </c>
    </row>
    <row r="521" spans="2:3">
      <c r="B521" s="14" t="s">
        <v>6731</v>
      </c>
      <c r="C521" s="14" t="s">
        <v>6379</v>
      </c>
    </row>
    <row r="522" spans="2:3">
      <c r="B522" s="14" t="s">
        <v>149</v>
      </c>
      <c r="C522" s="14" t="s">
        <v>6379</v>
      </c>
    </row>
    <row r="523" spans="2:3">
      <c r="B523" s="14" t="s">
        <v>5833</v>
      </c>
      <c r="C523" s="14" t="s">
        <v>6379</v>
      </c>
    </row>
    <row r="524" spans="2:3">
      <c r="B524" s="14" t="s">
        <v>6732</v>
      </c>
      <c r="C524" s="14" t="s">
        <v>6379</v>
      </c>
    </row>
    <row r="525" spans="2:3">
      <c r="B525" s="14" t="s">
        <v>6733</v>
      </c>
      <c r="C525" s="14" t="s">
        <v>6410</v>
      </c>
    </row>
    <row r="526" spans="2:3">
      <c r="B526" s="14" t="s">
        <v>6734</v>
      </c>
      <c r="C526" s="14" t="s">
        <v>6379</v>
      </c>
    </row>
    <row r="527" spans="2:3">
      <c r="B527" s="14" t="s">
        <v>6735</v>
      </c>
      <c r="C527" s="14" t="s">
        <v>6379</v>
      </c>
    </row>
    <row r="528" spans="2:3">
      <c r="B528" s="14" t="s">
        <v>5513</v>
      </c>
      <c r="C528" s="14" t="s">
        <v>6379</v>
      </c>
    </row>
    <row r="529" spans="2:3">
      <c r="B529" s="14" t="s">
        <v>5680</v>
      </c>
      <c r="C529" s="14" t="s">
        <v>6379</v>
      </c>
    </row>
    <row r="530" spans="2:3">
      <c r="B530" s="14" t="s">
        <v>6736</v>
      </c>
      <c r="C530" s="14" t="s">
        <v>6379</v>
      </c>
    </row>
    <row r="531" spans="2:3">
      <c r="B531" s="14" t="s">
        <v>6737</v>
      </c>
      <c r="C531" s="14" t="s">
        <v>6379</v>
      </c>
    </row>
    <row r="532" spans="2:3">
      <c r="B532" s="14" t="s">
        <v>6738</v>
      </c>
      <c r="C532" s="14" t="s">
        <v>6379</v>
      </c>
    </row>
    <row r="533" spans="2:3">
      <c r="B533" s="14" t="s">
        <v>6739</v>
      </c>
      <c r="C533" s="14" t="s">
        <v>6379</v>
      </c>
    </row>
    <row r="534" spans="2:3">
      <c r="B534" s="14" t="s">
        <v>6740</v>
      </c>
      <c r="C534" s="14" t="s">
        <v>6379</v>
      </c>
    </row>
    <row r="535" spans="2:3">
      <c r="B535" s="14" t="s">
        <v>6741</v>
      </c>
      <c r="C535" s="14" t="s">
        <v>6379</v>
      </c>
    </row>
    <row r="536" spans="2:3">
      <c r="B536" s="14" t="s">
        <v>6742</v>
      </c>
      <c r="C536" s="14" t="s">
        <v>6379</v>
      </c>
    </row>
    <row r="537" spans="2:3">
      <c r="B537" s="14" t="s">
        <v>6743</v>
      </c>
      <c r="C537" s="14" t="s">
        <v>6379</v>
      </c>
    </row>
    <row r="538" spans="2:3">
      <c r="B538" s="14" t="s">
        <v>6744</v>
      </c>
      <c r="C538" s="14" t="s">
        <v>6379</v>
      </c>
    </row>
    <row r="539" spans="2:3">
      <c r="B539" s="14" t="s">
        <v>6745</v>
      </c>
      <c r="C539" s="14" t="s">
        <v>6379</v>
      </c>
    </row>
    <row r="540" spans="2:3">
      <c r="B540" s="14" t="s">
        <v>6746</v>
      </c>
      <c r="C540" s="14" t="s">
        <v>6379</v>
      </c>
    </row>
    <row r="541" spans="2:3">
      <c r="B541" s="14" t="s">
        <v>6747</v>
      </c>
      <c r="C541" s="14" t="s">
        <v>6379</v>
      </c>
    </row>
    <row r="542" spans="2:3">
      <c r="B542" s="14" t="s">
        <v>6748</v>
      </c>
      <c r="C542" s="14" t="s">
        <v>6379</v>
      </c>
    </row>
    <row r="543" spans="2:3">
      <c r="B543" s="14" t="s">
        <v>6749</v>
      </c>
      <c r="C543" s="14" t="s">
        <v>6379</v>
      </c>
    </row>
    <row r="544" spans="2:3">
      <c r="B544" s="14" t="s">
        <v>6750</v>
      </c>
      <c r="C544" s="14" t="s">
        <v>6379</v>
      </c>
    </row>
    <row r="545" spans="2:3">
      <c r="B545" s="14" t="s">
        <v>6751</v>
      </c>
      <c r="C545" s="14" t="s">
        <v>6379</v>
      </c>
    </row>
    <row r="546" spans="2:3">
      <c r="B546" s="14" t="s">
        <v>6752</v>
      </c>
      <c r="C546" s="14" t="s">
        <v>6379</v>
      </c>
    </row>
    <row r="547" spans="2:3">
      <c r="B547" s="14" t="s">
        <v>6753</v>
      </c>
      <c r="C547" s="14" t="s">
        <v>6379</v>
      </c>
    </row>
    <row r="548" spans="2:3">
      <c r="B548" s="14" t="s">
        <v>6754</v>
      </c>
      <c r="C548" s="14" t="s">
        <v>6379</v>
      </c>
    </row>
    <row r="549" spans="2:3">
      <c r="B549" s="14" t="s">
        <v>6755</v>
      </c>
      <c r="C549" s="14" t="s">
        <v>6379</v>
      </c>
    </row>
    <row r="550" spans="2:3">
      <c r="B550" s="14" t="s">
        <v>6756</v>
      </c>
      <c r="C550" s="14" t="s">
        <v>6379</v>
      </c>
    </row>
    <row r="551" spans="2:3">
      <c r="B551" s="14" t="s">
        <v>6757</v>
      </c>
      <c r="C551" s="14" t="s">
        <v>6379</v>
      </c>
    </row>
    <row r="552" spans="2:3">
      <c r="B552" s="14" t="s">
        <v>6758</v>
      </c>
      <c r="C552" s="14" t="s">
        <v>6379</v>
      </c>
    </row>
    <row r="553" spans="2:3">
      <c r="B553" s="14" t="s">
        <v>6759</v>
      </c>
      <c r="C553" s="14" t="s">
        <v>6379</v>
      </c>
    </row>
    <row r="554" spans="2:3">
      <c r="B554" s="14" t="s">
        <v>6760</v>
      </c>
      <c r="C554" s="14" t="s">
        <v>6379</v>
      </c>
    </row>
    <row r="555" spans="2:3">
      <c r="B555" s="14" t="s">
        <v>6761</v>
      </c>
      <c r="C555" s="14" t="s">
        <v>6379</v>
      </c>
    </row>
    <row r="556" spans="2:3">
      <c r="B556" s="14" t="s">
        <v>6762</v>
      </c>
      <c r="C556" s="14" t="s">
        <v>6379</v>
      </c>
    </row>
    <row r="557" spans="2:3">
      <c r="B557" s="14" t="s">
        <v>6763</v>
      </c>
      <c r="C557" s="14" t="s">
        <v>6379</v>
      </c>
    </row>
    <row r="558" spans="2:3">
      <c r="B558" s="14" t="s">
        <v>6764</v>
      </c>
      <c r="C558" s="14" t="s">
        <v>6379</v>
      </c>
    </row>
    <row r="559" spans="2:3">
      <c r="B559" s="14" t="s">
        <v>6761</v>
      </c>
      <c r="C559" s="14" t="s">
        <v>6379</v>
      </c>
    </row>
    <row r="560" spans="2:3">
      <c r="B560" s="14" t="s">
        <v>6765</v>
      </c>
      <c r="C560" s="14" t="s">
        <v>6379</v>
      </c>
    </row>
    <row r="561" spans="2:3">
      <c r="B561" s="14" t="s">
        <v>6766</v>
      </c>
      <c r="C561" s="14" t="s">
        <v>6379</v>
      </c>
    </row>
    <row r="562" spans="2:3">
      <c r="B562" s="14" t="s">
        <v>6767</v>
      </c>
      <c r="C562" s="14" t="s">
        <v>6379</v>
      </c>
    </row>
    <row r="563" spans="2:3">
      <c r="B563" s="14" t="s">
        <v>6768</v>
      </c>
      <c r="C563" s="14" t="s">
        <v>6379</v>
      </c>
    </row>
    <row r="564" spans="2:3">
      <c r="B564" s="14" t="s">
        <v>6769</v>
      </c>
      <c r="C564" s="14" t="s">
        <v>6379</v>
      </c>
    </row>
    <row r="565" spans="2:3">
      <c r="B565" s="14" t="s">
        <v>6770</v>
      </c>
      <c r="C565" s="14" t="s">
        <v>6379</v>
      </c>
    </row>
    <row r="566" spans="2:3">
      <c r="B566" s="14" t="s">
        <v>6771</v>
      </c>
      <c r="C566" s="14" t="s">
        <v>6379</v>
      </c>
    </row>
    <row r="567" spans="2:3">
      <c r="B567" s="14" t="s">
        <v>6772</v>
      </c>
      <c r="C567" s="14" t="s">
        <v>6379</v>
      </c>
    </row>
    <row r="568" spans="2:3">
      <c r="B568" s="14" t="s">
        <v>6773</v>
      </c>
      <c r="C568" s="14" t="s">
        <v>6379</v>
      </c>
    </row>
    <row r="569" spans="2:3">
      <c r="B569" s="14" t="s">
        <v>6774</v>
      </c>
      <c r="C569" s="14" t="s">
        <v>6379</v>
      </c>
    </row>
    <row r="570" spans="2:3">
      <c r="B570" s="14" t="s">
        <v>6775</v>
      </c>
      <c r="C570" s="14" t="s">
        <v>6379</v>
      </c>
    </row>
    <row r="571" spans="2:3">
      <c r="B571" s="14" t="s">
        <v>6776</v>
      </c>
      <c r="C571" s="14" t="s">
        <v>6379</v>
      </c>
    </row>
    <row r="572" spans="2:3">
      <c r="B572" s="14" t="s">
        <v>6777</v>
      </c>
      <c r="C572" s="14" t="s">
        <v>6379</v>
      </c>
    </row>
    <row r="573" spans="2:3">
      <c r="B573" s="14" t="s">
        <v>6778</v>
      </c>
      <c r="C573" s="14" t="s">
        <v>6379</v>
      </c>
    </row>
    <row r="574" spans="2:3">
      <c r="B574" s="14" t="s">
        <v>6779</v>
      </c>
      <c r="C574" s="14" t="s">
        <v>6379</v>
      </c>
    </row>
    <row r="575" spans="2:3">
      <c r="B575" s="14" t="s">
        <v>6780</v>
      </c>
      <c r="C575" s="14" t="s">
        <v>6379</v>
      </c>
    </row>
    <row r="576" spans="2:3">
      <c r="B576" s="14" t="s">
        <v>6781</v>
      </c>
      <c r="C576" s="14" t="s">
        <v>6379</v>
      </c>
    </row>
    <row r="577" spans="2:3">
      <c r="B577" s="14" t="s">
        <v>6782</v>
      </c>
      <c r="C577" s="14" t="s">
        <v>6379</v>
      </c>
    </row>
    <row r="578" spans="2:3">
      <c r="B578" s="14" t="s">
        <v>6783</v>
      </c>
      <c r="C578" s="14" t="s">
        <v>6379</v>
      </c>
    </row>
    <row r="579" spans="2:3">
      <c r="B579" s="14" t="s">
        <v>6784</v>
      </c>
      <c r="C579" s="14" t="s">
        <v>6379</v>
      </c>
    </row>
    <row r="580" spans="2:3">
      <c r="B580" s="14" t="s">
        <v>6785</v>
      </c>
      <c r="C580" s="14" t="s">
        <v>6379</v>
      </c>
    </row>
    <row r="581" spans="2:3">
      <c r="B581" s="14" t="s">
        <v>6786</v>
      </c>
      <c r="C581" s="14" t="s">
        <v>6379</v>
      </c>
    </row>
    <row r="582" spans="2:3">
      <c r="B582" s="14" t="s">
        <v>6787</v>
      </c>
      <c r="C582" s="14" t="s">
        <v>6379</v>
      </c>
    </row>
    <row r="583" spans="2:3">
      <c r="B583" s="14" t="s">
        <v>6788</v>
      </c>
      <c r="C583" s="14" t="s">
        <v>6379</v>
      </c>
    </row>
    <row r="584" spans="2:3">
      <c r="B584" s="14" t="s">
        <v>6786</v>
      </c>
      <c r="C584" s="14" t="s">
        <v>6379</v>
      </c>
    </row>
    <row r="585" spans="2:3">
      <c r="B585" s="14" t="s">
        <v>6789</v>
      </c>
      <c r="C585" s="14" t="s">
        <v>6379</v>
      </c>
    </row>
    <row r="586" spans="2:3">
      <c r="B586" s="14" t="s">
        <v>6790</v>
      </c>
      <c r="C586" s="14" t="s">
        <v>6379</v>
      </c>
    </row>
    <row r="587" spans="2:3">
      <c r="B587" s="14" t="s">
        <v>6791</v>
      </c>
      <c r="C587" s="14" t="s">
        <v>6379</v>
      </c>
    </row>
    <row r="588" spans="2:3">
      <c r="B588" s="14" t="s">
        <v>6792</v>
      </c>
      <c r="C588" s="14" t="s">
        <v>6379</v>
      </c>
    </row>
    <row r="589" spans="2:3">
      <c r="B589" s="14" t="s">
        <v>6793</v>
      </c>
      <c r="C589" s="14" t="s">
        <v>6379</v>
      </c>
    </row>
    <row r="590" spans="2:3">
      <c r="B590" s="14" t="s">
        <v>6794</v>
      </c>
      <c r="C590" s="14" t="s">
        <v>6379</v>
      </c>
    </row>
    <row r="591" spans="2:3">
      <c r="B591" s="14" t="s">
        <v>6795</v>
      </c>
      <c r="C591" s="14" t="s">
        <v>6379</v>
      </c>
    </row>
    <row r="592" spans="2:3">
      <c r="B592" s="14" t="s">
        <v>6796</v>
      </c>
      <c r="C592" s="14" t="s">
        <v>6379</v>
      </c>
    </row>
    <row r="593" spans="2:3">
      <c r="B593" s="14" t="s">
        <v>6797</v>
      </c>
      <c r="C593" s="14" t="s">
        <v>6379</v>
      </c>
    </row>
    <row r="594" spans="2:3">
      <c r="B594" s="14" t="s">
        <v>6798</v>
      </c>
      <c r="C594" s="14" t="s">
        <v>6379</v>
      </c>
    </row>
    <row r="595" spans="2:3">
      <c r="B595" s="14" t="s">
        <v>6799</v>
      </c>
      <c r="C595" s="14" t="s">
        <v>6379</v>
      </c>
    </row>
    <row r="596" spans="2:3">
      <c r="B596" s="14" t="s">
        <v>6800</v>
      </c>
      <c r="C596" s="14" t="s">
        <v>6379</v>
      </c>
    </row>
    <row r="597" spans="2:3">
      <c r="B597" s="14" t="s">
        <v>6801</v>
      </c>
      <c r="C597" s="14" t="s">
        <v>6379</v>
      </c>
    </row>
    <row r="598" spans="2:3">
      <c r="B598" s="14" t="s">
        <v>6802</v>
      </c>
      <c r="C598" s="14" t="s">
        <v>6379</v>
      </c>
    </row>
    <row r="599" spans="2:3">
      <c r="B599" s="14" t="s">
        <v>6803</v>
      </c>
      <c r="C599" s="14" t="s">
        <v>6379</v>
      </c>
    </row>
    <row r="600" spans="2:3">
      <c r="B600" s="14" t="s">
        <v>6804</v>
      </c>
      <c r="C600" s="14" t="s">
        <v>6379</v>
      </c>
    </row>
    <row r="601" spans="2:3">
      <c r="B601" s="14" t="s">
        <v>6805</v>
      </c>
      <c r="C601" s="14" t="s">
        <v>6379</v>
      </c>
    </row>
    <row r="602" spans="2:3">
      <c r="B602" s="14" t="s">
        <v>6806</v>
      </c>
      <c r="C602" s="14" t="s">
        <v>6379</v>
      </c>
    </row>
    <row r="603" spans="2:3">
      <c r="B603" s="14" t="s">
        <v>6807</v>
      </c>
      <c r="C603" s="14" t="s">
        <v>6379</v>
      </c>
    </row>
    <row r="604" spans="2:3">
      <c r="B604" s="14" t="s">
        <v>6808</v>
      </c>
      <c r="C604" s="14" t="s">
        <v>6379</v>
      </c>
    </row>
    <row r="605" spans="2:3">
      <c r="B605" s="14" t="s">
        <v>6809</v>
      </c>
      <c r="C605" s="14" t="s">
        <v>6379</v>
      </c>
    </row>
    <row r="606" spans="2:3">
      <c r="B606" s="14" t="s">
        <v>6810</v>
      </c>
      <c r="C606" s="14" t="s">
        <v>6379</v>
      </c>
    </row>
    <row r="607" spans="2:3">
      <c r="B607" s="14" t="s">
        <v>6811</v>
      </c>
      <c r="C607" s="14" t="s">
        <v>6379</v>
      </c>
    </row>
    <row r="608" spans="2:3">
      <c r="B608" s="14" t="s">
        <v>6812</v>
      </c>
      <c r="C608" s="14" t="s">
        <v>6379</v>
      </c>
    </row>
    <row r="609" spans="2:3">
      <c r="B609" s="14" t="s">
        <v>6813</v>
      </c>
      <c r="C609" s="14" t="s">
        <v>6379</v>
      </c>
    </row>
    <row r="610" spans="2:3">
      <c r="B610" s="14" t="s">
        <v>6814</v>
      </c>
      <c r="C610" s="14" t="s">
        <v>6379</v>
      </c>
    </row>
    <row r="611" spans="2:3">
      <c r="B611" s="14" t="s">
        <v>6815</v>
      </c>
      <c r="C611" s="14" t="s">
        <v>6379</v>
      </c>
    </row>
    <row r="612" spans="2:3">
      <c r="B612" s="14" t="s">
        <v>6816</v>
      </c>
      <c r="C612" s="14" t="s">
        <v>6379</v>
      </c>
    </row>
    <row r="613" spans="2:3">
      <c r="B613" s="14" t="s">
        <v>6817</v>
      </c>
      <c r="C613" s="14" t="s">
        <v>6379</v>
      </c>
    </row>
    <row r="614" spans="2:3">
      <c r="B614" s="14" t="s">
        <v>6818</v>
      </c>
      <c r="C614" s="14" t="s">
        <v>6379</v>
      </c>
    </row>
    <row r="615" spans="2:3">
      <c r="B615" s="14" t="s">
        <v>6819</v>
      </c>
      <c r="C615" s="14" t="s">
        <v>6379</v>
      </c>
    </row>
    <row r="616" spans="2:3">
      <c r="B616" s="14" t="s">
        <v>6820</v>
      </c>
      <c r="C616" s="14" t="s">
        <v>6379</v>
      </c>
    </row>
    <row r="617" spans="2:3">
      <c r="B617" s="14" t="s">
        <v>6821</v>
      </c>
      <c r="C617" s="14" t="s">
        <v>6379</v>
      </c>
    </row>
    <row r="618" spans="2:3">
      <c r="B618" s="14" t="s">
        <v>6822</v>
      </c>
      <c r="C618" s="14" t="s">
        <v>6379</v>
      </c>
    </row>
    <row r="619" spans="2:3">
      <c r="B619" s="14" t="s">
        <v>6823</v>
      </c>
      <c r="C619" s="14" t="s">
        <v>6379</v>
      </c>
    </row>
    <row r="620" spans="2:3">
      <c r="B620" s="14" t="s">
        <v>6824</v>
      </c>
      <c r="C620" s="14" t="s">
        <v>6379</v>
      </c>
    </row>
    <row r="621" spans="2:3">
      <c r="B621" s="14" t="s">
        <v>6825</v>
      </c>
      <c r="C621" s="14" t="s">
        <v>6379</v>
      </c>
    </row>
    <row r="622" spans="2:3">
      <c r="B622" s="14" t="s">
        <v>6826</v>
      </c>
      <c r="C622" s="14" t="s">
        <v>6379</v>
      </c>
    </row>
    <row r="623" spans="2:3">
      <c r="B623" s="14" t="s">
        <v>6827</v>
      </c>
      <c r="C623" s="14" t="s">
        <v>6379</v>
      </c>
    </row>
    <row r="624" spans="2:3">
      <c r="B624" s="14" t="s">
        <v>6828</v>
      </c>
      <c r="C624" s="14" t="s">
        <v>6379</v>
      </c>
    </row>
    <row r="625" spans="2:3">
      <c r="B625" s="14" t="s">
        <v>6829</v>
      </c>
      <c r="C625" s="14" t="s">
        <v>6379</v>
      </c>
    </row>
    <row r="626" spans="2:3">
      <c r="B626" s="14" t="s">
        <v>6830</v>
      </c>
      <c r="C626" s="14" t="s">
        <v>6379</v>
      </c>
    </row>
    <row r="627" spans="2:3">
      <c r="B627" s="14" t="s">
        <v>6831</v>
      </c>
      <c r="C627" s="14" t="s">
        <v>6379</v>
      </c>
    </row>
    <row r="628" spans="2:3">
      <c r="B628" s="14" t="s">
        <v>6832</v>
      </c>
      <c r="C628" s="14" t="s">
        <v>6379</v>
      </c>
    </row>
    <row r="629" spans="2:3">
      <c r="B629" s="14" t="s">
        <v>6833</v>
      </c>
      <c r="C629" s="14" t="s">
        <v>6379</v>
      </c>
    </row>
    <row r="630" spans="2:3">
      <c r="B630" s="14" t="s">
        <v>6834</v>
      </c>
      <c r="C630" s="14" t="s">
        <v>6379</v>
      </c>
    </row>
    <row r="631" spans="2:3">
      <c r="B631" s="14" t="s">
        <v>6835</v>
      </c>
      <c r="C631" s="14" t="s">
        <v>6379</v>
      </c>
    </row>
    <row r="632" spans="2:3">
      <c r="B632" s="14" t="s">
        <v>6836</v>
      </c>
      <c r="C632" s="14" t="s">
        <v>6379</v>
      </c>
    </row>
    <row r="633" spans="2:3">
      <c r="B633" s="14" t="s">
        <v>6837</v>
      </c>
      <c r="C633" s="14" t="s">
        <v>6379</v>
      </c>
    </row>
    <row r="634" spans="2:3">
      <c r="B634" s="14" t="s">
        <v>6838</v>
      </c>
      <c r="C634" s="14" t="s">
        <v>6379</v>
      </c>
    </row>
    <row r="635" spans="2:3">
      <c r="B635" s="14" t="s">
        <v>6839</v>
      </c>
      <c r="C635" s="14" t="s">
        <v>6379</v>
      </c>
    </row>
    <row r="636" spans="2:3">
      <c r="B636" s="14" t="s">
        <v>6840</v>
      </c>
      <c r="C636" s="14" t="s">
        <v>6379</v>
      </c>
    </row>
    <row r="637" spans="2:3">
      <c r="B637" s="14" t="s">
        <v>6841</v>
      </c>
      <c r="C637" s="14" t="s">
        <v>6379</v>
      </c>
    </row>
    <row r="638" spans="2:3">
      <c r="B638" s="14" t="s">
        <v>6842</v>
      </c>
      <c r="C638" s="14" t="s">
        <v>6379</v>
      </c>
    </row>
    <row r="639" spans="2:3">
      <c r="B639" s="14" t="s">
        <v>6843</v>
      </c>
      <c r="C639" s="14" t="s">
        <v>6379</v>
      </c>
    </row>
    <row r="640" spans="2:3">
      <c r="B640" s="14" t="s">
        <v>6844</v>
      </c>
      <c r="C640" s="14" t="s">
        <v>6379</v>
      </c>
    </row>
    <row r="641" spans="2:3">
      <c r="B641" s="14" t="s">
        <v>6845</v>
      </c>
      <c r="C641" s="14" t="s">
        <v>6379</v>
      </c>
    </row>
    <row r="642" spans="2:3">
      <c r="B642" s="14" t="s">
        <v>6846</v>
      </c>
      <c r="C642" s="14" t="s">
        <v>6379</v>
      </c>
    </row>
    <row r="643" spans="2:3">
      <c r="B643" s="14" t="s">
        <v>6847</v>
      </c>
      <c r="C643" s="14" t="s">
        <v>6379</v>
      </c>
    </row>
    <row r="644" spans="2:3">
      <c r="B644" s="14" t="s">
        <v>6848</v>
      </c>
      <c r="C644" s="14" t="s">
        <v>6379</v>
      </c>
    </row>
    <row r="645" spans="2:3">
      <c r="B645" s="14" t="s">
        <v>6849</v>
      </c>
      <c r="C645" s="14" t="s">
        <v>6379</v>
      </c>
    </row>
    <row r="646" spans="2:3">
      <c r="B646" s="14" t="s">
        <v>6850</v>
      </c>
      <c r="C646" s="14" t="s">
        <v>6379</v>
      </c>
    </row>
    <row r="647" spans="2:3">
      <c r="B647" s="14" t="s">
        <v>6851</v>
      </c>
      <c r="C647" s="14" t="s">
        <v>6379</v>
      </c>
    </row>
    <row r="648" spans="2:3">
      <c r="B648" s="14" t="s">
        <v>6852</v>
      </c>
      <c r="C648" s="14" t="s">
        <v>6379</v>
      </c>
    </row>
    <row r="649" spans="2:3">
      <c r="B649" s="14" t="s">
        <v>6853</v>
      </c>
      <c r="C649" s="14" t="s">
        <v>6379</v>
      </c>
    </row>
    <row r="650" spans="2:3">
      <c r="B650" s="14" t="s">
        <v>6854</v>
      </c>
      <c r="C650" s="14" t="s">
        <v>6379</v>
      </c>
    </row>
    <row r="651" spans="2:3">
      <c r="B651" s="14" t="s">
        <v>6855</v>
      </c>
      <c r="C651" s="14" t="s">
        <v>6379</v>
      </c>
    </row>
    <row r="652" spans="2:3">
      <c r="B652" s="14" t="s">
        <v>6856</v>
      </c>
      <c r="C652" s="14" t="s">
        <v>6379</v>
      </c>
    </row>
    <row r="653" spans="2:3">
      <c r="B653" s="14" t="s">
        <v>6857</v>
      </c>
      <c r="C653" s="14" t="s">
        <v>6379</v>
      </c>
    </row>
    <row r="654" spans="2:3">
      <c r="B654" s="14" t="s">
        <v>6858</v>
      </c>
      <c r="C654" s="14" t="s">
        <v>6379</v>
      </c>
    </row>
    <row r="655" spans="2:3">
      <c r="B655" s="14" t="s">
        <v>6859</v>
      </c>
      <c r="C655" s="14" t="s">
        <v>6379</v>
      </c>
    </row>
    <row r="656" spans="2:3">
      <c r="B656" s="14" t="s">
        <v>6860</v>
      </c>
      <c r="C656" s="14" t="s">
        <v>6379</v>
      </c>
    </row>
    <row r="657" spans="2:3">
      <c r="B657" s="14" t="s">
        <v>6861</v>
      </c>
      <c r="C657" s="14" t="s">
        <v>6379</v>
      </c>
    </row>
    <row r="658" spans="2:3">
      <c r="B658" s="14" t="s">
        <v>6862</v>
      </c>
      <c r="C658" s="14" t="s">
        <v>6379</v>
      </c>
    </row>
    <row r="659" spans="2:3">
      <c r="B659" s="14" t="s">
        <v>6863</v>
      </c>
      <c r="C659" s="14" t="s">
        <v>6379</v>
      </c>
    </row>
    <row r="660" spans="2:3">
      <c r="B660" s="14" t="s">
        <v>6864</v>
      </c>
      <c r="C660" s="14" t="s">
        <v>6379</v>
      </c>
    </row>
    <row r="661" spans="2:3">
      <c r="B661" s="14" t="s">
        <v>6865</v>
      </c>
      <c r="C661" s="14" t="s">
        <v>6379</v>
      </c>
    </row>
    <row r="662" spans="2:3">
      <c r="B662" s="14" t="s">
        <v>6866</v>
      </c>
      <c r="C662" s="14" t="s">
        <v>6379</v>
      </c>
    </row>
    <row r="663" spans="2:3">
      <c r="B663" s="14" t="s">
        <v>6867</v>
      </c>
      <c r="C663" s="14" t="s">
        <v>6379</v>
      </c>
    </row>
    <row r="664" spans="2:3">
      <c r="B664" s="14" t="s">
        <v>6868</v>
      </c>
      <c r="C664" s="14" t="s">
        <v>6379</v>
      </c>
    </row>
    <row r="665" spans="2:3">
      <c r="B665" s="14" t="s">
        <v>6869</v>
      </c>
      <c r="C665" s="14" t="s">
        <v>6379</v>
      </c>
    </row>
    <row r="666" spans="2:3">
      <c r="B666" s="14" t="s">
        <v>6870</v>
      </c>
      <c r="C666" s="14" t="s">
        <v>6379</v>
      </c>
    </row>
    <row r="667" spans="2:3">
      <c r="B667" s="14" t="s">
        <v>6871</v>
      </c>
      <c r="C667" s="14" t="s">
        <v>6379</v>
      </c>
    </row>
    <row r="668" spans="2:3">
      <c r="B668" s="14" t="s">
        <v>6872</v>
      </c>
      <c r="C668" s="14" t="s">
        <v>6379</v>
      </c>
    </row>
    <row r="669" spans="2:3">
      <c r="B669" s="14" t="s">
        <v>6873</v>
      </c>
      <c r="C669" s="14" t="s">
        <v>6379</v>
      </c>
    </row>
    <row r="670" spans="2:3">
      <c r="B670" s="14" t="s">
        <v>6874</v>
      </c>
      <c r="C670" s="14" t="s">
        <v>6379</v>
      </c>
    </row>
    <row r="671" spans="2:3">
      <c r="B671" s="14" t="s">
        <v>6875</v>
      </c>
      <c r="C671" s="14" t="s">
        <v>6379</v>
      </c>
    </row>
    <row r="672" spans="2:3">
      <c r="B672" s="14" t="s">
        <v>6876</v>
      </c>
      <c r="C672" s="14" t="s">
        <v>6379</v>
      </c>
    </row>
    <row r="673" spans="2:3">
      <c r="B673" s="14" t="s">
        <v>6877</v>
      </c>
      <c r="C673" s="14" t="s">
        <v>6379</v>
      </c>
    </row>
    <row r="674" spans="2:3">
      <c r="B674" s="14" t="s">
        <v>6878</v>
      </c>
      <c r="C674" s="14" t="s">
        <v>6379</v>
      </c>
    </row>
    <row r="675" spans="2:3">
      <c r="B675" s="14" t="s">
        <v>6879</v>
      </c>
      <c r="C675" s="14" t="s">
        <v>6379</v>
      </c>
    </row>
    <row r="676" spans="2:3">
      <c r="B676" s="14" t="s">
        <v>6880</v>
      </c>
      <c r="C676" s="14" t="s">
        <v>6379</v>
      </c>
    </row>
    <row r="677" spans="2:3">
      <c r="B677" s="14" t="s">
        <v>6881</v>
      </c>
      <c r="C677" s="14" t="s">
        <v>6379</v>
      </c>
    </row>
    <row r="678" spans="2:3">
      <c r="B678" s="14" t="s">
        <v>6882</v>
      </c>
      <c r="C678" s="14" t="s">
        <v>6379</v>
      </c>
    </row>
    <row r="679" spans="2:3">
      <c r="B679" s="14" t="s">
        <v>6883</v>
      </c>
      <c r="C679" s="14" t="s">
        <v>6379</v>
      </c>
    </row>
    <row r="680" spans="2:3">
      <c r="B680" s="14" t="s">
        <v>6884</v>
      </c>
      <c r="C680" s="14" t="s">
        <v>6379</v>
      </c>
    </row>
    <row r="681" spans="2:3">
      <c r="B681" s="14" t="s">
        <v>6885</v>
      </c>
      <c r="C681" s="14" t="s">
        <v>6379</v>
      </c>
    </row>
    <row r="682" spans="2:3">
      <c r="B682" s="14" t="s">
        <v>6886</v>
      </c>
      <c r="C682" s="14" t="s">
        <v>6379</v>
      </c>
    </row>
    <row r="683" spans="2:3">
      <c r="B683" s="14" t="s">
        <v>6887</v>
      </c>
      <c r="C683" s="14" t="s">
        <v>6379</v>
      </c>
    </row>
    <row r="684" spans="2:3">
      <c r="B684" s="14" t="s">
        <v>6888</v>
      </c>
      <c r="C684" s="14" t="s">
        <v>6379</v>
      </c>
    </row>
    <row r="685" spans="2:3">
      <c r="B685" s="14" t="s">
        <v>6889</v>
      </c>
      <c r="C685" s="14" t="s">
        <v>6379</v>
      </c>
    </row>
    <row r="686" spans="2:3">
      <c r="B686" s="14" t="s">
        <v>6890</v>
      </c>
      <c r="C686" s="14" t="s">
        <v>6379</v>
      </c>
    </row>
    <row r="687" spans="2:3">
      <c r="B687" s="14" t="s">
        <v>6891</v>
      </c>
      <c r="C687" s="14" t="s">
        <v>6379</v>
      </c>
    </row>
    <row r="688" spans="2:3">
      <c r="B688" s="14" t="s">
        <v>6892</v>
      </c>
      <c r="C688" s="14" t="s">
        <v>6379</v>
      </c>
    </row>
    <row r="689" spans="2:3">
      <c r="B689" s="14" t="s">
        <v>6893</v>
      </c>
      <c r="C689" s="14" t="s">
        <v>6379</v>
      </c>
    </row>
    <row r="690" spans="2:3">
      <c r="B690" s="14" t="s">
        <v>6894</v>
      </c>
      <c r="C690" s="14" t="s">
        <v>6379</v>
      </c>
    </row>
    <row r="691" spans="2:3">
      <c r="B691" s="14" t="s">
        <v>6895</v>
      </c>
      <c r="C691" s="14" t="s">
        <v>6379</v>
      </c>
    </row>
    <row r="692" spans="2:3">
      <c r="B692" s="14" t="s">
        <v>6896</v>
      </c>
      <c r="C692" s="14" t="s">
        <v>6379</v>
      </c>
    </row>
    <row r="693" spans="2:3">
      <c r="B693" s="14" t="s">
        <v>6897</v>
      </c>
      <c r="C693" s="14" t="s">
        <v>6379</v>
      </c>
    </row>
    <row r="694" spans="2:3">
      <c r="B694" s="14" t="s">
        <v>6898</v>
      </c>
      <c r="C694" s="14" t="s">
        <v>6379</v>
      </c>
    </row>
    <row r="695" spans="2:3">
      <c r="B695" s="14" t="s">
        <v>6899</v>
      </c>
      <c r="C695" s="14" t="s">
        <v>6379</v>
      </c>
    </row>
    <row r="696" spans="2:3">
      <c r="B696" s="14" t="s">
        <v>6900</v>
      </c>
      <c r="C696" s="14" t="s">
        <v>6379</v>
      </c>
    </row>
    <row r="697" spans="2:3">
      <c r="B697" s="14" t="s">
        <v>6901</v>
      </c>
      <c r="C697" s="14" t="s">
        <v>6379</v>
      </c>
    </row>
    <row r="698" spans="2:3">
      <c r="B698" s="14" t="s">
        <v>6902</v>
      </c>
      <c r="C698" s="14" t="s">
        <v>6379</v>
      </c>
    </row>
    <row r="699" spans="2:3">
      <c r="B699" s="14" t="s">
        <v>6903</v>
      </c>
      <c r="C699" s="14" t="s">
        <v>6379</v>
      </c>
    </row>
    <row r="700" spans="2:3">
      <c r="B700" s="14" t="s">
        <v>6904</v>
      </c>
      <c r="C700" s="14" t="s">
        <v>6379</v>
      </c>
    </row>
    <row r="701" spans="2:3">
      <c r="B701" s="14" t="s">
        <v>6897</v>
      </c>
      <c r="C701" s="14" t="s">
        <v>6379</v>
      </c>
    </row>
    <row r="702" spans="2:3">
      <c r="B702" s="14" t="s">
        <v>6905</v>
      </c>
      <c r="C702" s="14" t="s">
        <v>6379</v>
      </c>
    </row>
    <row r="703" spans="2:3">
      <c r="B703" s="14" t="s">
        <v>6906</v>
      </c>
      <c r="C703" s="14" t="s">
        <v>6379</v>
      </c>
    </row>
    <row r="704" spans="2:3">
      <c r="B704" s="14" t="s">
        <v>6907</v>
      </c>
      <c r="C704" s="14" t="s">
        <v>6379</v>
      </c>
    </row>
    <row r="705" spans="2:3">
      <c r="B705" s="14" t="s">
        <v>6908</v>
      </c>
      <c r="C705" s="14" t="s">
        <v>6379</v>
      </c>
    </row>
    <row r="706" spans="2:3">
      <c r="B706" s="14" t="s">
        <v>6909</v>
      </c>
      <c r="C706" s="14" t="s">
        <v>6379</v>
      </c>
    </row>
    <row r="707" spans="2:3">
      <c r="B707" s="14" t="s">
        <v>6910</v>
      </c>
      <c r="C707" s="14" t="s">
        <v>6379</v>
      </c>
    </row>
    <row r="708" spans="2:3">
      <c r="B708" s="14" t="s">
        <v>6911</v>
      </c>
      <c r="C708" s="14" t="s">
        <v>6379</v>
      </c>
    </row>
    <row r="709" spans="2:3">
      <c r="B709" s="14" t="s">
        <v>6912</v>
      </c>
      <c r="C709" s="14" t="s">
        <v>6379</v>
      </c>
    </row>
    <row r="710" spans="2:3">
      <c r="B710" s="14" t="s">
        <v>6913</v>
      </c>
      <c r="C710" s="14" t="s">
        <v>6379</v>
      </c>
    </row>
    <row r="711" spans="2:3">
      <c r="B711" s="14" t="s">
        <v>6914</v>
      </c>
      <c r="C711" s="14" t="s">
        <v>6379</v>
      </c>
    </row>
    <row r="712" spans="2:3">
      <c r="B712" s="14" t="s">
        <v>6915</v>
      </c>
      <c r="C712" s="14" t="s">
        <v>6379</v>
      </c>
    </row>
    <row r="713" spans="2:3">
      <c r="B713" s="14" t="s">
        <v>6916</v>
      </c>
      <c r="C713" s="14" t="s">
        <v>6379</v>
      </c>
    </row>
    <row r="714" spans="2:3">
      <c r="B714" s="14" t="s">
        <v>6917</v>
      </c>
      <c r="C714" s="14" t="s">
        <v>6379</v>
      </c>
    </row>
    <row r="715" spans="2:3">
      <c r="B715" s="14" t="s">
        <v>6918</v>
      </c>
      <c r="C715" s="14" t="s">
        <v>6379</v>
      </c>
    </row>
    <row r="716" spans="2:3">
      <c r="B716" s="14" t="s">
        <v>5559</v>
      </c>
      <c r="C716" s="14" t="s">
        <v>6379</v>
      </c>
    </row>
    <row r="717" spans="2:3">
      <c r="B717" s="14" t="s">
        <v>5582</v>
      </c>
      <c r="C717" s="14" t="s">
        <v>6379</v>
      </c>
    </row>
    <row r="718" spans="2:3">
      <c r="B718" s="14" t="s">
        <v>5877</v>
      </c>
      <c r="C718" s="14" t="s">
        <v>6379</v>
      </c>
    </row>
    <row r="719" spans="2:3">
      <c r="B719" s="14" t="s">
        <v>5671</v>
      </c>
      <c r="C719" s="14" t="s">
        <v>6379</v>
      </c>
    </row>
    <row r="720" spans="2:3">
      <c r="B720" s="14" t="s">
        <v>6919</v>
      </c>
      <c r="C720" s="14" t="s">
        <v>6379</v>
      </c>
    </row>
    <row r="721" spans="2:3">
      <c r="B721" s="14" t="s">
        <v>6920</v>
      </c>
      <c r="C721" s="14" t="s">
        <v>6379</v>
      </c>
    </row>
    <row r="722" spans="2:3">
      <c r="B722" s="14" t="s">
        <v>218</v>
      </c>
      <c r="C722" s="14" t="s">
        <v>6379</v>
      </c>
    </row>
    <row r="723" spans="2:3">
      <c r="B723" s="14" t="s">
        <v>6921</v>
      </c>
      <c r="C723" s="14" t="s">
        <v>6379</v>
      </c>
    </row>
    <row r="724" spans="2:3">
      <c r="B724" s="14" t="s">
        <v>6922</v>
      </c>
      <c r="C724" s="14" t="s">
        <v>6379</v>
      </c>
    </row>
    <row r="725" spans="2:3">
      <c r="B725" s="14" t="s">
        <v>6923</v>
      </c>
      <c r="C725" s="14" t="s">
        <v>6379</v>
      </c>
    </row>
    <row r="726" spans="2:3">
      <c r="B726" s="14" t="s">
        <v>6924</v>
      </c>
      <c r="C726" s="14" t="s">
        <v>6379</v>
      </c>
    </row>
    <row r="727" spans="2:3">
      <c r="B727" s="14" t="s">
        <v>6925</v>
      </c>
      <c r="C727" s="14" t="s">
        <v>6379</v>
      </c>
    </row>
    <row r="728" spans="2:3">
      <c r="B728" s="14" t="s">
        <v>6926</v>
      </c>
      <c r="C728" s="14" t="s">
        <v>6379</v>
      </c>
    </row>
    <row r="729" spans="2:3">
      <c r="B729" s="14" t="s">
        <v>6927</v>
      </c>
      <c r="C729" s="14" t="s">
        <v>6379</v>
      </c>
    </row>
    <row r="730" spans="2:3">
      <c r="B730" s="14" t="s">
        <v>6928</v>
      </c>
      <c r="C730" s="14" t="s">
        <v>6379</v>
      </c>
    </row>
    <row r="731" spans="2:3">
      <c r="B731" s="14" t="s">
        <v>6929</v>
      </c>
      <c r="C731" s="14" t="s">
        <v>6379</v>
      </c>
    </row>
    <row r="732" spans="2:3">
      <c r="B732" s="14" t="s">
        <v>6930</v>
      </c>
      <c r="C732" s="14" t="s">
        <v>6379</v>
      </c>
    </row>
    <row r="733" spans="2:3">
      <c r="B733" s="14" t="s">
        <v>6931</v>
      </c>
      <c r="C733" s="14" t="s">
        <v>6379</v>
      </c>
    </row>
    <row r="734" spans="2:3">
      <c r="B734" s="14" t="s">
        <v>5808</v>
      </c>
      <c r="C734" s="14" t="s">
        <v>6379</v>
      </c>
    </row>
    <row r="735" spans="2:3">
      <c r="B735" s="14" t="s">
        <v>5666</v>
      </c>
      <c r="C735" s="14" t="s">
        <v>6379</v>
      </c>
    </row>
    <row r="736" spans="2:3">
      <c r="B736" s="14" t="s">
        <v>6932</v>
      </c>
      <c r="C736" s="14" t="s">
        <v>6379</v>
      </c>
    </row>
    <row r="737" spans="2:3">
      <c r="B737" s="14" t="s">
        <v>6933</v>
      </c>
      <c r="C737" s="14" t="s">
        <v>6379</v>
      </c>
    </row>
    <row r="738" spans="2:3">
      <c r="B738" s="14" t="s">
        <v>6477</v>
      </c>
      <c r="C738" s="14" t="s">
        <v>6379</v>
      </c>
    </row>
    <row r="739" spans="2:3">
      <c r="B739" s="14" t="s">
        <v>6934</v>
      </c>
      <c r="C739" s="14" t="s">
        <v>6379</v>
      </c>
    </row>
    <row r="740" spans="2:3">
      <c r="B740" s="14" t="s">
        <v>6935</v>
      </c>
      <c r="C740" s="14" t="s">
        <v>6379</v>
      </c>
    </row>
    <row r="741" spans="2:3">
      <c r="B741" s="14" t="s">
        <v>6936</v>
      </c>
      <c r="C741" s="14" t="s">
        <v>6379</v>
      </c>
    </row>
    <row r="742" spans="2:3">
      <c r="B742" s="14" t="s">
        <v>5567</v>
      </c>
      <c r="C742" s="14" t="s">
        <v>6379</v>
      </c>
    </row>
    <row r="743" spans="2:3">
      <c r="B743" s="14" t="s">
        <v>5557</v>
      </c>
      <c r="C743" s="14" t="s">
        <v>6379</v>
      </c>
    </row>
    <row r="744" spans="2:3">
      <c r="B744" s="14" t="s">
        <v>6937</v>
      </c>
      <c r="C744" s="14" t="s">
        <v>6379</v>
      </c>
    </row>
    <row r="745" spans="2:3">
      <c r="B745" s="14" t="s">
        <v>5278</v>
      </c>
      <c r="C745" s="14" t="s">
        <v>6379</v>
      </c>
    </row>
    <row r="746" spans="2:3">
      <c r="B746" s="14" t="s">
        <v>6938</v>
      </c>
      <c r="C746" s="14" t="s">
        <v>6379</v>
      </c>
    </row>
    <row r="747" spans="2:3">
      <c r="B747" s="14" t="s">
        <v>6939</v>
      </c>
      <c r="C747" s="14" t="s">
        <v>6379</v>
      </c>
    </row>
    <row r="748" spans="2:3">
      <c r="B748" s="14" t="s">
        <v>5674</v>
      </c>
      <c r="C748" s="14" t="s">
        <v>6379</v>
      </c>
    </row>
    <row r="749" spans="2:3">
      <c r="B749" s="14" t="s">
        <v>6940</v>
      </c>
      <c r="C749" s="14" t="s">
        <v>6379</v>
      </c>
    </row>
    <row r="750" spans="2:3">
      <c r="B750" s="14" t="s">
        <v>1831</v>
      </c>
      <c r="C750" s="14" t="s">
        <v>6379</v>
      </c>
    </row>
    <row r="751" spans="2:3">
      <c r="B751" s="14" t="s">
        <v>6941</v>
      </c>
      <c r="C751" s="14" t="s">
        <v>6379</v>
      </c>
    </row>
    <row r="752" spans="2:3">
      <c r="B752" s="14" t="s">
        <v>6942</v>
      </c>
      <c r="C752" s="14" t="s">
        <v>6379</v>
      </c>
    </row>
    <row r="753" spans="2:3">
      <c r="B753" s="14" t="s">
        <v>6943</v>
      </c>
      <c r="C753" s="14" t="s">
        <v>6379</v>
      </c>
    </row>
    <row r="754" spans="2:3">
      <c r="B754" s="14" t="s">
        <v>6944</v>
      </c>
      <c r="C754" s="14" t="s">
        <v>6379</v>
      </c>
    </row>
    <row r="755" spans="2:3">
      <c r="B755" s="14" t="s">
        <v>6945</v>
      </c>
      <c r="C755" s="14" t="s">
        <v>6379</v>
      </c>
    </row>
    <row r="756" spans="2:3">
      <c r="B756" s="14" t="s">
        <v>6946</v>
      </c>
      <c r="C756" s="14" t="s">
        <v>6379</v>
      </c>
    </row>
    <row r="757" spans="2:3">
      <c r="B757" s="14" t="s">
        <v>5539</v>
      </c>
      <c r="C757" s="14" t="s">
        <v>6379</v>
      </c>
    </row>
    <row r="758" spans="2:3">
      <c r="B758" s="14" t="s">
        <v>5552</v>
      </c>
      <c r="C758" s="14" t="s">
        <v>6379</v>
      </c>
    </row>
    <row r="759" spans="2:3">
      <c r="B759" s="14" t="s">
        <v>6947</v>
      </c>
      <c r="C759" s="14" t="s">
        <v>6379</v>
      </c>
    </row>
    <row r="760" spans="2:3">
      <c r="B760" s="14" t="s">
        <v>6948</v>
      </c>
      <c r="C760" s="14" t="s">
        <v>6379</v>
      </c>
    </row>
    <row r="761" spans="2:3">
      <c r="B761" s="14" t="s">
        <v>6458</v>
      </c>
      <c r="C761" s="14" t="s">
        <v>6379</v>
      </c>
    </row>
    <row r="762" spans="2:3">
      <c r="B762" s="14" t="s">
        <v>6949</v>
      </c>
      <c r="C762" s="14" t="s">
        <v>6379</v>
      </c>
    </row>
    <row r="763" spans="2:3">
      <c r="B763" s="14" t="s">
        <v>6950</v>
      </c>
      <c r="C763" s="14" t="s">
        <v>6379</v>
      </c>
    </row>
    <row r="764" spans="2:3">
      <c r="B764" s="14" t="s">
        <v>6951</v>
      </c>
      <c r="C764" s="14" t="s">
        <v>6379</v>
      </c>
    </row>
    <row r="765" spans="2:3">
      <c r="B765" s="14" t="s">
        <v>6952</v>
      </c>
      <c r="C765" s="14" t="s">
        <v>6379</v>
      </c>
    </row>
    <row r="766" spans="2:3">
      <c r="B766" s="14" t="s">
        <v>182</v>
      </c>
      <c r="C766" s="14" t="s">
        <v>6379</v>
      </c>
    </row>
    <row r="767" spans="2:3">
      <c r="B767" s="14" t="s">
        <v>6953</v>
      </c>
      <c r="C767" s="14" t="s">
        <v>6379</v>
      </c>
    </row>
    <row r="768" spans="2:3">
      <c r="B768" s="14" t="s">
        <v>6954</v>
      </c>
      <c r="C768" s="14" t="s">
        <v>6379</v>
      </c>
    </row>
    <row r="769" spans="2:3">
      <c r="B769" s="14" t="s">
        <v>5860</v>
      </c>
      <c r="C769" s="14" t="s">
        <v>6379</v>
      </c>
    </row>
    <row r="770" spans="2:3">
      <c r="B770" s="14" t="s">
        <v>6955</v>
      </c>
      <c r="C770" s="14" t="s">
        <v>6379</v>
      </c>
    </row>
    <row r="771" spans="2:3">
      <c r="B771" s="14" t="s">
        <v>6956</v>
      </c>
      <c r="C771" s="14" t="s">
        <v>6379</v>
      </c>
    </row>
    <row r="772" spans="2:3">
      <c r="B772" s="14" t="s">
        <v>5555</v>
      </c>
      <c r="C772" s="14" t="s">
        <v>6379</v>
      </c>
    </row>
    <row r="773" spans="2:3">
      <c r="B773" s="14" t="s">
        <v>300</v>
      </c>
      <c r="C773" s="14" t="s">
        <v>6379</v>
      </c>
    </row>
    <row r="774" spans="2:3">
      <c r="B774" s="14" t="s">
        <v>6957</v>
      </c>
      <c r="C774" s="14" t="s">
        <v>6379</v>
      </c>
    </row>
    <row r="775" spans="2:3">
      <c r="B775" s="14" t="s">
        <v>6958</v>
      </c>
      <c r="C775" s="14" t="s">
        <v>6379</v>
      </c>
    </row>
    <row r="776" spans="2:3">
      <c r="B776" s="14" t="s">
        <v>6959</v>
      </c>
      <c r="C776" s="14" t="s">
        <v>6379</v>
      </c>
    </row>
    <row r="777" spans="2:3">
      <c r="B777" s="14" t="s">
        <v>6960</v>
      </c>
      <c r="C777" s="14" t="s">
        <v>6379</v>
      </c>
    </row>
    <row r="778" spans="2:3">
      <c r="B778" s="14" t="s">
        <v>2760</v>
      </c>
      <c r="C778" s="14" t="s">
        <v>6379</v>
      </c>
    </row>
    <row r="779" spans="2:3">
      <c r="B779" s="14" t="s">
        <v>1414</v>
      </c>
      <c r="C779" s="14" t="s">
        <v>6379</v>
      </c>
    </row>
    <row r="780" spans="2:3">
      <c r="B780" s="14" t="s">
        <v>6961</v>
      </c>
      <c r="C780" s="14" t="s">
        <v>6379</v>
      </c>
    </row>
    <row r="781" spans="2:3">
      <c r="B781" s="14"/>
      <c r="C781" s="14"/>
    </row>
    <row r="782" spans="2:3">
      <c r="B782" s="14" t="s">
        <v>5540</v>
      </c>
      <c r="C782" s="14" t="s">
        <v>6379</v>
      </c>
    </row>
    <row r="783" spans="2:3">
      <c r="B783" s="14"/>
      <c r="C783" s="14"/>
    </row>
    <row r="784" spans="2:3">
      <c r="B784" s="14"/>
      <c r="C784" s="14"/>
    </row>
    <row r="785" spans="2:3">
      <c r="B785" s="14"/>
      <c r="C785" s="14"/>
    </row>
    <row r="786" spans="2:3">
      <c r="B786" s="14"/>
      <c r="C786" s="14"/>
    </row>
    <row r="787" spans="2:3">
      <c r="B787" s="14"/>
      <c r="C787" s="14"/>
    </row>
    <row r="788" spans="2:3">
      <c r="B788" s="14"/>
      <c r="C788" s="14"/>
    </row>
    <row r="789" spans="2:3">
      <c r="B789" s="14" t="s">
        <v>5574</v>
      </c>
      <c r="C789" s="14" t="s">
        <v>6379</v>
      </c>
    </row>
    <row r="790" spans="2:3">
      <c r="B790" s="14" t="s">
        <v>6962</v>
      </c>
      <c r="C790" s="14" t="s">
        <v>6379</v>
      </c>
    </row>
    <row r="791" spans="2:3">
      <c r="B791" s="14" t="s">
        <v>5554</v>
      </c>
      <c r="C791" s="14" t="s">
        <v>6379</v>
      </c>
    </row>
    <row r="792" spans="2:3">
      <c r="B792" s="14" t="s">
        <v>126</v>
      </c>
      <c r="C792" s="14" t="s">
        <v>6379</v>
      </c>
    </row>
    <row r="793" spans="2:3">
      <c r="B793" s="14" t="s">
        <v>6963</v>
      </c>
      <c r="C793" s="14" t="s">
        <v>6379</v>
      </c>
    </row>
    <row r="794" spans="2:3">
      <c r="B794" s="14" t="s">
        <v>5578</v>
      </c>
      <c r="C794" s="14" t="s">
        <v>6379</v>
      </c>
    </row>
    <row r="795" spans="2:3">
      <c r="B795" s="14" t="s">
        <v>6964</v>
      </c>
      <c r="C795" s="14" t="s">
        <v>6379</v>
      </c>
    </row>
    <row r="796" spans="2:3">
      <c r="B796" s="14" t="s">
        <v>5620</v>
      </c>
      <c r="C796" s="14" t="s">
        <v>6379</v>
      </c>
    </row>
    <row r="797" spans="2:3">
      <c r="B797" s="14" t="s">
        <v>5645</v>
      </c>
      <c r="C797" s="14" t="s">
        <v>6379</v>
      </c>
    </row>
    <row r="798" spans="2:3">
      <c r="B798" s="14" t="s">
        <v>6965</v>
      </c>
      <c r="C798" s="14" t="s">
        <v>6379</v>
      </c>
    </row>
    <row r="799" spans="2:3">
      <c r="B799" s="14" t="s">
        <v>6966</v>
      </c>
      <c r="C799" s="14" t="s">
        <v>6379</v>
      </c>
    </row>
    <row r="800" spans="2:3">
      <c r="B800" s="14" t="s">
        <v>5569</v>
      </c>
      <c r="C800" s="14" t="s">
        <v>6379</v>
      </c>
    </row>
    <row r="801" spans="2:3">
      <c r="B801" s="14" t="s">
        <v>4196</v>
      </c>
      <c r="C801" s="14" t="s">
        <v>6379</v>
      </c>
    </row>
    <row r="802" spans="2:3">
      <c r="B802" s="14" t="s">
        <v>5560</v>
      </c>
      <c r="C802" s="14" t="s">
        <v>6379</v>
      </c>
    </row>
    <row r="803" spans="2:3">
      <c r="B803" s="14" t="s">
        <v>5556</v>
      </c>
      <c r="C803" s="14" t="s">
        <v>6379</v>
      </c>
    </row>
    <row r="804" spans="2:3">
      <c r="B804" s="14" t="s">
        <v>5636</v>
      </c>
      <c r="C804" s="14" t="s">
        <v>6379</v>
      </c>
    </row>
    <row r="805" spans="2:3">
      <c r="B805" s="14" t="s">
        <v>5565</v>
      </c>
      <c r="C805" s="14" t="s">
        <v>6379</v>
      </c>
    </row>
    <row r="806" spans="2:3">
      <c r="B806" s="14" t="s">
        <v>6967</v>
      </c>
      <c r="C806" s="14" t="s">
        <v>6379</v>
      </c>
    </row>
    <row r="807" spans="2:3">
      <c r="B807" s="14" t="s">
        <v>884</v>
      </c>
      <c r="C807" s="14" t="s">
        <v>6379</v>
      </c>
    </row>
    <row r="808" spans="2:3">
      <c r="B808" s="14" t="s">
        <v>6968</v>
      </c>
      <c r="C808" s="14" t="s">
        <v>6379</v>
      </c>
    </row>
    <row r="809" spans="2:3">
      <c r="B809" s="14" t="s">
        <v>6969</v>
      </c>
      <c r="C809" s="14" t="s">
        <v>6379</v>
      </c>
    </row>
    <row r="810" spans="2:3">
      <c r="B810" s="14" t="s">
        <v>6970</v>
      </c>
      <c r="C810" s="14" t="s">
        <v>6379</v>
      </c>
    </row>
    <row r="811" spans="2:3">
      <c r="B811" s="14"/>
      <c r="C811" s="14"/>
    </row>
    <row r="812" spans="2:3">
      <c r="B812" s="14" t="s">
        <v>5176</v>
      </c>
      <c r="C812" s="14" t="s">
        <v>6379</v>
      </c>
    </row>
    <row r="813" spans="2:3">
      <c r="B813" s="14" t="s">
        <v>6971</v>
      </c>
      <c r="C813" s="14" t="s">
        <v>6379</v>
      </c>
    </row>
    <row r="814" spans="2:3">
      <c r="B814" s="14" t="s">
        <v>6972</v>
      </c>
      <c r="C814" s="14" t="s">
        <v>6379</v>
      </c>
    </row>
    <row r="815" spans="2:3">
      <c r="B815" s="14" t="s">
        <v>5635</v>
      </c>
      <c r="C815" s="14" t="s">
        <v>6379</v>
      </c>
    </row>
    <row r="816" spans="2:3">
      <c r="B816" s="14" t="s">
        <v>116</v>
      </c>
      <c r="C816" s="14" t="s">
        <v>6379</v>
      </c>
    </row>
    <row r="817" spans="2:3">
      <c r="B817" s="14" t="s">
        <v>6973</v>
      </c>
      <c r="C817" s="14" t="s">
        <v>6379</v>
      </c>
    </row>
    <row r="818" spans="2:3">
      <c r="B818" s="14" t="s">
        <v>6974</v>
      </c>
      <c r="C818" s="14" t="s">
        <v>6379</v>
      </c>
    </row>
    <row r="819" spans="2:3">
      <c r="B819" s="14" t="s">
        <v>2167</v>
      </c>
      <c r="C819" s="14" t="s">
        <v>6379</v>
      </c>
    </row>
    <row r="820" spans="2:3">
      <c r="B820" s="14" t="s">
        <v>5604</v>
      </c>
      <c r="C820" s="14" t="s">
        <v>6379</v>
      </c>
    </row>
    <row r="821" spans="2:3">
      <c r="B821" s="14" t="s">
        <v>189</v>
      </c>
      <c r="C821" s="14" t="s">
        <v>6379</v>
      </c>
    </row>
    <row r="822" spans="2:3">
      <c r="B822" s="14" t="s">
        <v>5562</v>
      </c>
      <c r="C822" s="14" t="s">
        <v>6379</v>
      </c>
    </row>
    <row r="823" spans="2:3">
      <c r="B823" s="14" t="s">
        <v>6975</v>
      </c>
      <c r="C823" s="14" t="s">
        <v>6379</v>
      </c>
    </row>
    <row r="824" spans="2:3">
      <c r="B824" s="14" t="s">
        <v>5583</v>
      </c>
      <c r="C824" s="14" t="s">
        <v>6379</v>
      </c>
    </row>
    <row r="825" spans="2:3">
      <c r="B825" s="14" t="s">
        <v>5643</v>
      </c>
      <c r="C825" s="14" t="s">
        <v>6379</v>
      </c>
    </row>
    <row r="826" spans="2:3">
      <c r="B826" s="14" t="s">
        <v>5816</v>
      </c>
      <c r="C826" s="14" t="s">
        <v>6379</v>
      </c>
    </row>
    <row r="827" spans="2:3">
      <c r="B827" s="14" t="s">
        <v>5563</v>
      </c>
      <c r="C827" s="14" t="s">
        <v>6379</v>
      </c>
    </row>
    <row r="828" spans="2:3">
      <c r="B828" s="14" t="s">
        <v>6976</v>
      </c>
      <c r="C828" s="14" t="s">
        <v>6379</v>
      </c>
    </row>
    <row r="829" spans="2:3">
      <c r="B829" s="14" t="s">
        <v>6977</v>
      </c>
      <c r="C829" s="14" t="s">
        <v>6379</v>
      </c>
    </row>
    <row r="830" spans="2:3">
      <c r="B830" s="14" t="s">
        <v>6978</v>
      </c>
      <c r="C830" s="14" t="s">
        <v>6379</v>
      </c>
    </row>
    <row r="831" spans="2:3">
      <c r="B831" s="14" t="s">
        <v>5514</v>
      </c>
      <c r="C831" s="14" t="s">
        <v>6379</v>
      </c>
    </row>
    <row r="832" spans="2:3">
      <c r="B832" s="14" t="s">
        <v>6462</v>
      </c>
      <c r="C832" s="14" t="s">
        <v>6379</v>
      </c>
    </row>
    <row r="833" spans="2:3">
      <c r="B833" s="14" t="s">
        <v>6979</v>
      </c>
      <c r="C833" s="14" t="s">
        <v>6379</v>
      </c>
    </row>
    <row r="834" spans="2:3">
      <c r="B834" s="14" t="s">
        <v>6980</v>
      </c>
      <c r="C834" s="14" t="s">
        <v>6379</v>
      </c>
    </row>
    <row r="835" spans="2:3">
      <c r="B835" s="14" t="s">
        <v>5564</v>
      </c>
      <c r="C835" s="14" t="s">
        <v>6379</v>
      </c>
    </row>
    <row r="836" spans="2:3">
      <c r="B836" s="14" t="s">
        <v>6981</v>
      </c>
      <c r="C836" s="14" t="s">
        <v>6379</v>
      </c>
    </row>
    <row r="837" spans="2:3">
      <c r="B837" s="14" t="s">
        <v>5545</v>
      </c>
      <c r="C837" s="14" t="s">
        <v>6379</v>
      </c>
    </row>
    <row r="838" spans="2:3">
      <c r="B838" s="14" t="s">
        <v>653</v>
      </c>
      <c r="C838" s="14" t="s">
        <v>6379</v>
      </c>
    </row>
    <row r="839" spans="2:3">
      <c r="B839" s="14" t="s">
        <v>6982</v>
      </c>
      <c r="C839" s="14" t="s">
        <v>6379</v>
      </c>
    </row>
    <row r="840" spans="2:3">
      <c r="B840" s="14" t="s">
        <v>5516</v>
      </c>
      <c r="C840" s="14" t="s">
        <v>6379</v>
      </c>
    </row>
    <row r="841" spans="2:3">
      <c r="B841" s="14" t="s">
        <v>6983</v>
      </c>
      <c r="C841" s="14" t="s">
        <v>6379</v>
      </c>
    </row>
    <row r="842" spans="2:3">
      <c r="B842" s="14" t="s">
        <v>5356</v>
      </c>
      <c r="C842" s="14" t="s">
        <v>6379</v>
      </c>
    </row>
    <row r="843" spans="2:3">
      <c r="B843" s="14" t="s">
        <v>5679</v>
      </c>
      <c r="C843" s="14" t="s">
        <v>6379</v>
      </c>
    </row>
    <row r="844" spans="2:3">
      <c r="B844" s="14" t="s">
        <v>6984</v>
      </c>
      <c r="C844" s="14" t="s">
        <v>6379</v>
      </c>
    </row>
    <row r="845" spans="2:3">
      <c r="B845" s="14" t="s">
        <v>6457</v>
      </c>
      <c r="C845" s="14" t="s">
        <v>6379</v>
      </c>
    </row>
    <row r="846" spans="2:3">
      <c r="B846" s="14" t="s">
        <v>322</v>
      </c>
      <c r="C846" s="14" t="s">
        <v>6379</v>
      </c>
    </row>
    <row r="847" spans="2:3">
      <c r="B847" s="14" t="s">
        <v>6985</v>
      </c>
      <c r="C847" s="14" t="s">
        <v>6379</v>
      </c>
    </row>
    <row r="848" spans="2:3">
      <c r="B848" s="14" t="s">
        <v>5568</v>
      </c>
      <c r="C848" s="14" t="s">
        <v>6379</v>
      </c>
    </row>
    <row r="849" spans="2:3">
      <c r="B849" s="14" t="s">
        <v>1740</v>
      </c>
      <c r="C849" s="14" t="s">
        <v>6379</v>
      </c>
    </row>
    <row r="850" spans="2:3">
      <c r="B850" s="14" t="s">
        <v>6986</v>
      </c>
      <c r="C850" s="14" t="s">
        <v>6410</v>
      </c>
    </row>
    <row r="851" spans="2:3">
      <c r="B851" s="14" t="s">
        <v>6987</v>
      </c>
      <c r="C851" s="14" t="s">
        <v>6410</v>
      </c>
    </row>
    <row r="852" spans="2:3">
      <c r="B852" s="14" t="s">
        <v>6988</v>
      </c>
      <c r="C852" s="14" t="s">
        <v>6379</v>
      </c>
    </row>
    <row r="853" spans="2:3">
      <c r="B853" s="14" t="s">
        <v>203</v>
      </c>
      <c r="C853" s="14" t="s">
        <v>6379</v>
      </c>
    </row>
    <row r="854" spans="2:3">
      <c r="B854" s="14" t="s">
        <v>6989</v>
      </c>
      <c r="C854" s="14" t="s">
        <v>6410</v>
      </c>
    </row>
    <row r="855" spans="2:3">
      <c r="B855" s="14" t="s">
        <v>5192</v>
      </c>
      <c r="C855" s="14" t="s">
        <v>6379</v>
      </c>
    </row>
    <row r="856" spans="2:3">
      <c r="B856" s="14" t="s">
        <v>1890</v>
      </c>
      <c r="C856" s="14" t="s">
        <v>6379</v>
      </c>
    </row>
    <row r="857" spans="2:3">
      <c r="B857" s="14" t="s">
        <v>2077</v>
      </c>
      <c r="C857" s="14" t="s">
        <v>6379</v>
      </c>
    </row>
    <row r="858" spans="2:3">
      <c r="B858" s="14" t="s">
        <v>5206</v>
      </c>
      <c r="C858" s="14" t="s">
        <v>6379</v>
      </c>
    </row>
    <row r="859" spans="2:3">
      <c r="B859" s="14" t="s">
        <v>3381</v>
      </c>
      <c r="C859" s="14" t="s">
        <v>6379</v>
      </c>
    </row>
    <row r="860" spans="2:3">
      <c r="B860" s="14" t="s">
        <v>6990</v>
      </c>
      <c r="C860" s="14" t="s">
        <v>6379</v>
      </c>
    </row>
    <row r="861" spans="2:3">
      <c r="B861" s="14" t="s">
        <v>1893</v>
      </c>
      <c r="C861" s="14" t="s">
        <v>6379</v>
      </c>
    </row>
    <row r="862" spans="2:3">
      <c r="B862" s="14" t="s">
        <v>3818</v>
      </c>
      <c r="C862" s="14" t="s">
        <v>6379</v>
      </c>
    </row>
    <row r="863" spans="2:3">
      <c r="B863" s="14" t="s">
        <v>5841</v>
      </c>
      <c r="C863" s="14" t="s">
        <v>6410</v>
      </c>
    </row>
    <row r="864" spans="2:3">
      <c r="B864" s="14" t="s">
        <v>375</v>
      </c>
      <c r="C864" s="14" t="s">
        <v>6379</v>
      </c>
    </row>
    <row r="865" spans="2:3">
      <c r="B865" s="14" t="s">
        <v>5852</v>
      </c>
      <c r="C865" s="14" t="s">
        <v>6392</v>
      </c>
    </row>
    <row r="866" spans="2:3">
      <c r="B866" s="14" t="s">
        <v>4311</v>
      </c>
      <c r="C866" s="14" t="s">
        <v>6379</v>
      </c>
    </row>
    <row r="867" spans="2:3">
      <c r="B867" s="14" t="s">
        <v>6991</v>
      </c>
      <c r="C867" s="14" t="s">
        <v>6379</v>
      </c>
    </row>
    <row r="868" spans="2:3">
      <c r="B868" s="14" t="s">
        <v>6992</v>
      </c>
      <c r="C868" s="14" t="s">
        <v>6379</v>
      </c>
    </row>
    <row r="869" spans="2:3">
      <c r="B869" s="14" t="s">
        <v>6993</v>
      </c>
      <c r="C869" s="14" t="s">
        <v>6379</v>
      </c>
    </row>
    <row r="870" spans="2:3">
      <c r="B870" s="14" t="s">
        <v>313</v>
      </c>
      <c r="C870" s="14" t="s">
        <v>6379</v>
      </c>
    </row>
    <row r="871" spans="2:3">
      <c r="B871" s="14" t="s">
        <v>6994</v>
      </c>
      <c r="C871" s="14" t="s">
        <v>6379</v>
      </c>
    </row>
    <row r="872" spans="2:3">
      <c r="B872" s="14" t="s">
        <v>5121</v>
      </c>
      <c r="C872" s="14" t="s">
        <v>6379</v>
      </c>
    </row>
    <row r="873" spans="2:3">
      <c r="B873" s="14" t="s">
        <v>308</v>
      </c>
      <c r="C873" s="14" t="s">
        <v>6379</v>
      </c>
    </row>
    <row r="874" spans="2:3">
      <c r="B874" s="14" t="s">
        <v>121</v>
      </c>
      <c r="C874" s="14" t="s">
        <v>6379</v>
      </c>
    </row>
    <row r="875" spans="2:3">
      <c r="B875" s="14" t="s">
        <v>976</v>
      </c>
      <c r="C875" s="14" t="s">
        <v>6379</v>
      </c>
    </row>
    <row r="876" spans="2:3">
      <c r="B876" s="14" t="s">
        <v>1754</v>
      </c>
      <c r="C876" s="14" t="s">
        <v>6379</v>
      </c>
    </row>
    <row r="877" spans="2:3">
      <c r="B877" s="14" t="s">
        <v>4721</v>
      </c>
      <c r="C877" s="14" t="s">
        <v>6379</v>
      </c>
    </row>
    <row r="878" spans="2:3">
      <c r="B878" s="14" t="s">
        <v>4568</v>
      </c>
      <c r="C878" s="14" t="s">
        <v>6379</v>
      </c>
    </row>
    <row r="879" spans="2:3">
      <c r="B879" s="14" t="s">
        <v>4643</v>
      </c>
      <c r="C879" s="14" t="s">
        <v>6379</v>
      </c>
    </row>
    <row r="880" spans="2:3">
      <c r="B880" s="14" t="s">
        <v>4081</v>
      </c>
      <c r="C880" s="14" t="s">
        <v>6410</v>
      </c>
    </row>
    <row r="881" spans="2:3">
      <c r="B881" s="14" t="s">
        <v>4884</v>
      </c>
      <c r="C881" s="14" t="s">
        <v>6410</v>
      </c>
    </row>
    <row r="882" spans="2:3">
      <c r="B882" s="14" t="s">
        <v>193</v>
      </c>
      <c r="C882" s="14" t="s">
        <v>6995</v>
      </c>
    </row>
    <row r="883" spans="2:3">
      <c r="B883" s="14" t="s">
        <v>5622</v>
      </c>
      <c r="C883" s="14" t="s">
        <v>6995</v>
      </c>
    </row>
    <row r="884" spans="2:3">
      <c r="B884" s="14" t="s">
        <v>227</v>
      </c>
      <c r="C884" s="14" t="s">
        <v>6995</v>
      </c>
    </row>
    <row r="885" spans="2:3">
      <c r="B885" s="14" t="s">
        <v>6637</v>
      </c>
      <c r="C885" s="14" t="s">
        <v>6995</v>
      </c>
    </row>
    <row r="886" spans="2:3">
      <c r="B886" s="14" t="s">
        <v>163</v>
      </c>
      <c r="C886" s="14" t="s">
        <v>6995</v>
      </c>
    </row>
    <row r="887" spans="2:3">
      <c r="B887" s="14" t="s">
        <v>6696</v>
      </c>
      <c r="C887" s="14" t="s">
        <v>6995</v>
      </c>
    </row>
    <row r="888" spans="2:3">
      <c r="B888" s="14" t="s">
        <v>6990</v>
      </c>
      <c r="C888" s="14" t="s">
        <v>6995</v>
      </c>
    </row>
    <row r="889" spans="2:3">
      <c r="B889" s="14" t="s">
        <v>5526</v>
      </c>
      <c r="C889" s="14" t="s">
        <v>6996</v>
      </c>
    </row>
    <row r="890" spans="2:3">
      <c r="B890" s="14" t="s">
        <v>5126</v>
      </c>
      <c r="C890" s="14" t="s">
        <v>6996</v>
      </c>
    </row>
    <row r="891" spans="2:3">
      <c r="B891" s="14" t="s">
        <v>5553</v>
      </c>
      <c r="C891" s="14" t="s">
        <v>6996</v>
      </c>
    </row>
    <row r="892" spans="2:3">
      <c r="B892" s="14" t="s">
        <v>5558</v>
      </c>
      <c r="C892" s="14" t="s">
        <v>6996</v>
      </c>
    </row>
    <row r="893" spans="2:3">
      <c r="B893" s="14" t="s">
        <v>5078</v>
      </c>
      <c r="C893" s="14" t="s">
        <v>6996</v>
      </c>
    </row>
    <row r="894" spans="2:3">
      <c r="B894" s="14" t="s">
        <v>360</v>
      </c>
      <c r="C894" s="14" t="s">
        <v>6996</v>
      </c>
    </row>
    <row r="895" spans="2:3">
      <c r="B895" s="14" t="s">
        <v>2324</v>
      </c>
      <c r="C895" s="14" t="s">
        <v>6996</v>
      </c>
    </row>
    <row r="896" spans="2:3">
      <c r="B896" s="14" t="s">
        <v>517</v>
      </c>
      <c r="C896" s="14" t="s">
        <v>6996</v>
      </c>
    </row>
    <row r="897" spans="2:3">
      <c r="B897" s="14" t="s">
        <v>714</v>
      </c>
      <c r="C897" s="14" t="s">
        <v>6996</v>
      </c>
    </row>
    <row r="898" spans="2:3">
      <c r="B898" s="14" t="s">
        <v>5561</v>
      </c>
      <c r="C898" s="14" t="s">
        <v>6996</v>
      </c>
    </row>
    <row r="899" spans="2:3">
      <c r="B899" s="14" t="s">
        <v>5559</v>
      </c>
      <c r="C899" s="14" t="s">
        <v>6996</v>
      </c>
    </row>
    <row r="900" spans="2:3">
      <c r="B900" s="14" t="s">
        <v>5557</v>
      </c>
      <c r="C900" s="14" t="s">
        <v>6996</v>
      </c>
    </row>
    <row r="901" spans="2:3">
      <c r="B901" s="14" t="s">
        <v>5278</v>
      </c>
      <c r="C901" s="14" t="s">
        <v>6996</v>
      </c>
    </row>
    <row r="902" spans="2:3">
      <c r="B902" s="14" t="s">
        <v>5552</v>
      </c>
      <c r="C902" s="14" t="s">
        <v>6996</v>
      </c>
    </row>
    <row r="903" spans="2:3">
      <c r="B903" s="14" t="s">
        <v>182</v>
      </c>
      <c r="C903" s="14" t="s">
        <v>6996</v>
      </c>
    </row>
    <row r="904" spans="2:3">
      <c r="B904" s="14" t="s">
        <v>5555</v>
      </c>
      <c r="C904" s="14" t="s">
        <v>6996</v>
      </c>
    </row>
    <row r="905" spans="2:3">
      <c r="B905" s="14" t="s">
        <v>300</v>
      </c>
      <c r="C905" s="14" t="s">
        <v>6996</v>
      </c>
    </row>
    <row r="906" spans="2:3">
      <c r="B906" s="14" t="s">
        <v>1414</v>
      </c>
      <c r="C906" s="14" t="s">
        <v>6996</v>
      </c>
    </row>
    <row r="907" spans="2:3">
      <c r="B907" s="14" t="s">
        <v>5554</v>
      </c>
      <c r="C907" s="14" t="s">
        <v>6996</v>
      </c>
    </row>
    <row r="908" spans="2:3">
      <c r="B908" s="14" t="s">
        <v>5569</v>
      </c>
      <c r="C908" s="14" t="s">
        <v>6996</v>
      </c>
    </row>
    <row r="909" spans="2:3">
      <c r="B909" s="14" t="s">
        <v>4196</v>
      </c>
      <c r="C909" s="14" t="s">
        <v>6996</v>
      </c>
    </row>
    <row r="910" spans="2:3">
      <c r="B910" s="14" t="s">
        <v>5560</v>
      </c>
      <c r="C910" s="14" t="s">
        <v>6996</v>
      </c>
    </row>
    <row r="911" spans="2:3">
      <c r="B911" s="14" t="s">
        <v>5556</v>
      </c>
      <c r="C911" s="14" t="s">
        <v>6996</v>
      </c>
    </row>
    <row r="912" spans="2:3">
      <c r="B912" s="14" t="s">
        <v>5565</v>
      </c>
      <c r="C912" s="14" t="s">
        <v>6996</v>
      </c>
    </row>
    <row r="913" spans="2:3">
      <c r="B913" s="14" t="s">
        <v>884</v>
      </c>
      <c r="C913" s="14" t="s">
        <v>6996</v>
      </c>
    </row>
    <row r="914" spans="2:3">
      <c r="B914" s="14" t="s">
        <v>5176</v>
      </c>
      <c r="C914" s="14" t="s">
        <v>6996</v>
      </c>
    </row>
    <row r="915" spans="2:3">
      <c r="B915" s="14" t="s">
        <v>2167</v>
      </c>
      <c r="C915" s="14" t="s">
        <v>6996</v>
      </c>
    </row>
    <row r="916" spans="2:3">
      <c r="B916" s="14" t="s">
        <v>189</v>
      </c>
      <c r="C916" s="14" t="s">
        <v>6996</v>
      </c>
    </row>
    <row r="917" spans="2:3">
      <c r="B917" s="14" t="s">
        <v>5562</v>
      </c>
      <c r="C917" s="14" t="s">
        <v>6996</v>
      </c>
    </row>
    <row r="918" spans="2:3">
      <c r="B918" s="14" t="s">
        <v>5563</v>
      </c>
      <c r="C918" s="14" t="s">
        <v>6996</v>
      </c>
    </row>
    <row r="919" spans="2:3">
      <c r="B919" s="14" t="s">
        <v>5564</v>
      </c>
      <c r="C919" s="14" t="s">
        <v>6996</v>
      </c>
    </row>
    <row r="920" spans="2:3">
      <c r="B920" s="14" t="s">
        <v>653</v>
      </c>
      <c r="C920" s="14" t="s">
        <v>6996</v>
      </c>
    </row>
    <row r="921" spans="2:3">
      <c r="B921" s="14" t="s">
        <v>5356</v>
      </c>
      <c r="C921" s="14" t="s">
        <v>6996</v>
      </c>
    </row>
    <row r="922" spans="2:3">
      <c r="B922" s="14" t="s">
        <v>322</v>
      </c>
      <c r="C922" s="14" t="s">
        <v>6996</v>
      </c>
    </row>
    <row r="923" spans="2:3">
      <c r="B923" s="14" t="s">
        <v>5568</v>
      </c>
      <c r="C923" s="14" t="s">
        <v>6996</v>
      </c>
    </row>
    <row r="924" spans="2:3">
      <c r="B924" s="14" t="s">
        <v>1740</v>
      </c>
      <c r="C924" s="14" t="s">
        <v>6996</v>
      </c>
    </row>
    <row r="925" spans="2:3">
      <c r="B925" s="14" t="s">
        <v>5255</v>
      </c>
      <c r="C925" s="14" t="s">
        <v>6996</v>
      </c>
    </row>
    <row r="926" spans="2:3">
      <c r="B926" s="14" t="s">
        <v>6502</v>
      </c>
      <c r="C926" s="14" t="s">
        <v>6996</v>
      </c>
    </row>
    <row r="927" spans="2:3">
      <c r="B927" s="14" t="s">
        <v>5587</v>
      </c>
      <c r="C927" s="14" t="s">
        <v>6996</v>
      </c>
    </row>
    <row r="928" spans="2:3">
      <c r="B928" s="14" t="s">
        <v>5576</v>
      </c>
      <c r="C928" s="14" t="s">
        <v>6996</v>
      </c>
    </row>
    <row r="929" spans="2:3">
      <c r="B929" s="14" t="s">
        <v>6425</v>
      </c>
      <c r="C929" s="14" t="s">
        <v>6996</v>
      </c>
    </row>
    <row r="930" spans="2:3">
      <c r="B930" s="14" t="s">
        <v>203</v>
      </c>
      <c r="C930" s="14" t="s">
        <v>6996</v>
      </c>
    </row>
    <row r="931" spans="2:3">
      <c r="B931" s="14" t="s">
        <v>6576</v>
      </c>
      <c r="C931" s="14" t="s">
        <v>6996</v>
      </c>
    </row>
    <row r="932" spans="2:3">
      <c r="B932" s="14" t="s">
        <v>2077</v>
      </c>
      <c r="C932" s="14" t="s">
        <v>6996</v>
      </c>
    </row>
    <row r="933" spans="2:3">
      <c r="B933" s="14" t="s">
        <v>2341</v>
      </c>
      <c r="C933" s="14" t="s">
        <v>6996</v>
      </c>
    </row>
    <row r="934" spans="2:3">
      <c r="B934" s="14" t="s">
        <v>1737</v>
      </c>
      <c r="C934" s="14" t="s">
        <v>6996</v>
      </c>
    </row>
    <row r="935" spans="2:3">
      <c r="B935" s="14" t="s">
        <v>227</v>
      </c>
      <c r="C935" s="14" t="s">
        <v>6996</v>
      </c>
    </row>
    <row r="936" spans="2:3">
      <c r="B936" s="14" t="s">
        <v>5516</v>
      </c>
      <c r="C936" s="14" t="s">
        <v>6996</v>
      </c>
    </row>
    <row r="937" spans="2:3">
      <c r="B937" s="14" t="s">
        <v>4638</v>
      </c>
      <c r="C937" s="14" t="s">
        <v>6996</v>
      </c>
    </row>
    <row r="938" spans="2:3">
      <c r="B938" s="14" t="s">
        <v>4643</v>
      </c>
      <c r="C938" s="14" t="s">
        <v>6996</v>
      </c>
    </row>
    <row r="939" spans="2:3">
      <c r="B939" s="14" t="s">
        <v>4630</v>
      </c>
      <c r="C939" s="14" t="s">
        <v>6997</v>
      </c>
    </row>
    <row r="940" spans="2:3">
      <c r="B940" s="14" t="s">
        <v>6560</v>
      </c>
      <c r="C940" s="14" t="s">
        <v>6997</v>
      </c>
    </row>
    <row r="941" spans="2:3">
      <c r="B941" s="14" t="s">
        <v>106</v>
      </c>
      <c r="C941" s="14" t="s">
        <v>6997</v>
      </c>
    </row>
    <row r="942" spans="2:3">
      <c r="B942" s="14" t="s">
        <v>3764</v>
      </c>
      <c r="C942" s="14" t="s">
        <v>6997</v>
      </c>
    </row>
    <row r="943" spans="2:3">
      <c r="B943" s="14" t="s">
        <v>5626</v>
      </c>
      <c r="C943" s="14" t="s">
        <v>6997</v>
      </c>
    </row>
    <row r="944" spans="2:3">
      <c r="B944" s="14" t="s">
        <v>5640</v>
      </c>
      <c r="C944" s="14" t="s">
        <v>6997</v>
      </c>
    </row>
    <row r="945" spans="2:3">
      <c r="B945" s="14" t="s">
        <v>834</v>
      </c>
      <c r="C945" s="14" t="s">
        <v>6997</v>
      </c>
    </row>
    <row r="946" spans="2:3">
      <c r="B946" s="14" t="s">
        <v>5700</v>
      </c>
      <c r="C946" s="14" t="s">
        <v>6997</v>
      </c>
    </row>
    <row r="947" spans="2:3">
      <c r="B947" s="14" t="s">
        <v>308</v>
      </c>
      <c r="C947" s="14" t="s">
        <v>6997</v>
      </c>
    </row>
    <row r="948" spans="2:3">
      <c r="B948" s="14" t="s">
        <v>1754</v>
      </c>
      <c r="C948" s="14" t="s">
        <v>6997</v>
      </c>
    </row>
    <row r="949" spans="2:3">
      <c r="B949" s="14" t="s">
        <v>121</v>
      </c>
      <c r="C949" s="14" t="s">
        <v>6997</v>
      </c>
    </row>
    <row r="950" spans="2:3">
      <c r="B950" s="14" t="s">
        <v>976</v>
      </c>
      <c r="C950" s="14" t="s">
        <v>6997</v>
      </c>
    </row>
    <row r="951" spans="2:3">
      <c r="B951" s="14" t="s">
        <v>6998</v>
      </c>
      <c r="C951" s="14" t="s">
        <v>6997</v>
      </c>
    </row>
    <row r="952" spans="2:3">
      <c r="B952" s="14" t="s">
        <v>2019</v>
      </c>
      <c r="C952" s="14" t="s">
        <v>6997</v>
      </c>
    </row>
    <row r="953" spans="2:3">
      <c r="B953" s="14" t="s">
        <v>5537</v>
      </c>
      <c r="C953" s="14" t="s">
        <v>6997</v>
      </c>
    </row>
    <row r="954" spans="2:3">
      <c r="B954" s="14" t="s">
        <v>5534</v>
      </c>
      <c r="C954" s="14" t="s">
        <v>6997</v>
      </c>
    </row>
    <row r="955" spans="2:3">
      <c r="B955" s="14" t="s">
        <v>5637</v>
      </c>
      <c r="C955" s="14" t="s">
        <v>6997</v>
      </c>
    </row>
    <row r="956" spans="2:3">
      <c r="B956" s="14" t="s">
        <v>3680</v>
      </c>
      <c r="C956" s="14" t="s">
        <v>6997</v>
      </c>
    </row>
    <row r="957" spans="2:3">
      <c r="B957" s="14" t="s">
        <v>144</v>
      </c>
      <c r="C957" s="14" t="s">
        <v>6997</v>
      </c>
    </row>
    <row r="958" spans="2:3">
      <c r="B958" s="14" t="s">
        <v>5543</v>
      </c>
      <c r="C958" s="14" t="s">
        <v>6997</v>
      </c>
    </row>
    <row r="959" spans="2:3">
      <c r="B959" s="14" t="s">
        <v>6607</v>
      </c>
      <c r="C959" s="14" t="s">
        <v>6997</v>
      </c>
    </row>
    <row r="960" spans="2:3">
      <c r="B960" s="14" t="s">
        <v>5536</v>
      </c>
      <c r="C960" s="14" t="s">
        <v>6997</v>
      </c>
    </row>
    <row r="961" spans="2:3">
      <c r="B961" s="14" t="s">
        <v>5748</v>
      </c>
      <c r="C961" s="14" t="s">
        <v>6997</v>
      </c>
    </row>
    <row r="962" spans="2:3">
      <c r="B962" s="14" t="s">
        <v>6618</v>
      </c>
      <c r="C962" s="14" t="s">
        <v>6997</v>
      </c>
    </row>
    <row r="963" spans="2:3">
      <c r="B963" s="14" t="s">
        <v>5623</v>
      </c>
      <c r="C963" s="14" t="s">
        <v>6997</v>
      </c>
    </row>
    <row r="964" spans="2:3">
      <c r="B964" s="14" t="s">
        <v>5505</v>
      </c>
      <c r="C964" s="14" t="s">
        <v>6997</v>
      </c>
    </row>
    <row r="965" spans="2:3">
      <c r="B965" s="14" t="s">
        <v>4037</v>
      </c>
      <c r="C965" s="14" t="s">
        <v>6997</v>
      </c>
    </row>
    <row r="966" spans="2:3">
      <c r="B966" s="14" t="s">
        <v>3610</v>
      </c>
      <c r="C966" s="14" t="s">
        <v>6997</v>
      </c>
    </row>
    <row r="967" spans="2:3">
      <c r="B967" s="14" t="s">
        <v>5533</v>
      </c>
      <c r="C967" s="14" t="s">
        <v>6997</v>
      </c>
    </row>
    <row r="968" spans="2:3">
      <c r="B968" s="14" t="s">
        <v>2565</v>
      </c>
      <c r="C968" s="14" t="s">
        <v>6997</v>
      </c>
    </row>
    <row r="969" spans="2:3">
      <c r="B969" s="14" t="s">
        <v>4037</v>
      </c>
      <c r="C969" s="14" t="s">
        <v>6997</v>
      </c>
    </row>
    <row r="970" spans="2:3">
      <c r="B970" s="14" t="s">
        <v>5515</v>
      </c>
      <c r="C970" s="14" t="s">
        <v>6997</v>
      </c>
    </row>
    <row r="971" spans="2:3">
      <c r="B971" s="14" t="s">
        <v>5506</v>
      </c>
      <c r="C971" s="14" t="s">
        <v>6997</v>
      </c>
    </row>
    <row r="972" spans="2:3">
      <c r="B972" s="14" t="s">
        <v>5638</v>
      </c>
      <c r="C972" s="14" t="s">
        <v>6997</v>
      </c>
    </row>
    <row r="973" spans="2:3">
      <c r="B973" s="14" t="s">
        <v>5624</v>
      </c>
      <c r="C973" s="14" t="s">
        <v>6997</v>
      </c>
    </row>
    <row r="974" spans="2:3">
      <c r="B974" s="14" t="s">
        <v>6718</v>
      </c>
      <c r="C974" s="14" t="s">
        <v>6997</v>
      </c>
    </row>
    <row r="975" spans="2:3">
      <c r="B975" s="14" t="s">
        <v>5865</v>
      </c>
      <c r="C975" s="14" t="s">
        <v>6997</v>
      </c>
    </row>
    <row r="976" spans="2:3">
      <c r="B976" s="14" t="s">
        <v>2727</v>
      </c>
      <c r="C976" s="14" t="s">
        <v>6997</v>
      </c>
    </row>
    <row r="977" spans="2:3">
      <c r="B977" s="14" t="s">
        <v>126</v>
      </c>
      <c r="C977" s="14" t="s">
        <v>6997</v>
      </c>
    </row>
    <row r="978" spans="2:3">
      <c r="B978" s="14" t="s">
        <v>5636</v>
      </c>
      <c r="C978" s="14" t="s">
        <v>6997</v>
      </c>
    </row>
    <row r="979" spans="2:3">
      <c r="B979" s="14" t="s">
        <v>6970</v>
      </c>
      <c r="C979" s="14" t="s">
        <v>6997</v>
      </c>
    </row>
    <row r="980" spans="2:3">
      <c r="B980" s="14" t="s">
        <v>116</v>
      </c>
      <c r="C980" s="14" t="s">
        <v>6997</v>
      </c>
    </row>
    <row r="981" spans="2:3">
      <c r="B981" s="14" t="s">
        <v>5643</v>
      </c>
      <c r="C981" s="14" t="s">
        <v>6997</v>
      </c>
    </row>
    <row r="982" spans="2:3">
      <c r="B982" s="14" t="s">
        <v>6543</v>
      </c>
      <c r="C982" s="14" t="s">
        <v>6997</v>
      </c>
    </row>
    <row r="983" spans="2:3">
      <c r="B983" s="14" t="s">
        <v>5511</v>
      </c>
      <c r="C983" s="14" t="s">
        <v>6410</v>
      </c>
    </row>
    <row r="984" spans="2:3">
      <c r="B984" s="14" t="s">
        <v>5589</v>
      </c>
      <c r="C984" s="14" t="s">
        <v>6410</v>
      </c>
    </row>
    <row r="985" spans="2:3">
      <c r="B985" s="14" t="s">
        <v>5588</v>
      </c>
      <c r="C985" s="14" t="s">
        <v>6410</v>
      </c>
    </row>
    <row r="986" spans="2:3">
      <c r="B986" s="14" t="s">
        <v>5591</v>
      </c>
      <c r="C986" s="14" t="s">
        <v>6410</v>
      </c>
    </row>
    <row r="987" spans="2:3">
      <c r="B987" s="14" t="s">
        <v>744</v>
      </c>
      <c r="C987" s="14" t="s">
        <v>6410</v>
      </c>
    </row>
    <row r="988" spans="2:3">
      <c r="B988" s="14" t="s">
        <v>859</v>
      </c>
      <c r="C988" s="14" t="s">
        <v>6410</v>
      </c>
    </row>
    <row r="989" spans="2:3">
      <c r="B989" s="14" t="s">
        <v>4169</v>
      </c>
      <c r="C989" s="14" t="s">
        <v>6410</v>
      </c>
    </row>
    <row r="990" spans="2:3">
      <c r="B990" s="14" t="s">
        <v>6986</v>
      </c>
      <c r="C990" s="14" t="s">
        <v>6410</v>
      </c>
    </row>
    <row r="991" spans="2:3">
      <c r="B991" s="14" t="s">
        <v>6987</v>
      </c>
      <c r="C991" s="14" t="s">
        <v>6410</v>
      </c>
    </row>
    <row r="992" spans="2:3">
      <c r="B992" s="14" t="s">
        <v>5645</v>
      </c>
      <c r="C992" s="14" t="s">
        <v>6997</v>
      </c>
    </row>
    <row r="993" spans="2:3">
      <c r="B993" s="14" t="s">
        <v>5625</v>
      </c>
      <c r="C993" s="14" t="s">
        <v>6997</v>
      </c>
    </row>
    <row r="994" spans="2:3">
      <c r="B994" s="14" t="s">
        <v>458</v>
      </c>
      <c r="C994" s="14" t="s">
        <v>6997</v>
      </c>
    </row>
    <row r="995" spans="2:3">
      <c r="B995" s="14" t="s">
        <v>5121</v>
      </c>
      <c r="C995" s="14" t="s">
        <v>6997</v>
      </c>
    </row>
    <row r="996" spans="2:3">
      <c r="B996" s="14" t="s">
        <v>5648</v>
      </c>
      <c r="C996" s="14" t="s">
        <v>6997</v>
      </c>
    </row>
    <row r="997" spans="2:3">
      <c r="B997" s="14" t="s">
        <v>3193</v>
      </c>
      <c r="C997" s="14" t="s">
        <v>6997</v>
      </c>
    </row>
    <row r="998" spans="2:3">
      <c r="B998" s="14" t="s">
        <v>1893</v>
      </c>
      <c r="C998" s="14" t="s">
        <v>6997</v>
      </c>
    </row>
    <row r="999" spans="2:3">
      <c r="B999" s="14" t="s">
        <v>851</v>
      </c>
      <c r="C999" s="14" t="s">
        <v>6997</v>
      </c>
    </row>
    <row r="1000" spans="2:3">
      <c r="B1000" s="14" t="s">
        <v>3861</v>
      </c>
      <c r="C1000" s="14" t="s">
        <v>6997</v>
      </c>
    </row>
    <row r="1001" spans="2:3">
      <c r="B1001" s="14" t="s">
        <v>3381</v>
      </c>
      <c r="C1001" s="14" t="s">
        <v>6997</v>
      </c>
    </row>
    <row r="1002" spans="2:3">
      <c r="B1002" s="14" t="s">
        <v>375</v>
      </c>
      <c r="C1002" s="14" t="s">
        <v>6997</v>
      </c>
    </row>
    <row r="1003" spans="2:3">
      <c r="B1003" s="14" t="s">
        <v>2760</v>
      </c>
      <c r="C1003" s="14" t="s">
        <v>6997</v>
      </c>
    </row>
    <row r="1004" spans="2:3">
      <c r="B1004" s="14" t="s">
        <v>6925</v>
      </c>
      <c r="C1004" s="14" t="s">
        <v>6997</v>
      </c>
    </row>
    <row r="1005" spans="2:3">
      <c r="B1005" s="14" t="s">
        <v>5513</v>
      </c>
      <c r="C1005" s="14" t="s">
        <v>6997</v>
      </c>
    </row>
    <row r="1006" spans="2:3">
      <c r="B1006" s="14" t="s">
        <v>5192</v>
      </c>
      <c r="C1006" s="14" t="s">
        <v>6997</v>
      </c>
    </row>
    <row r="1007" spans="2:3">
      <c r="B1007" s="14" t="s">
        <v>1096</v>
      </c>
      <c r="C1007" s="14" t="s">
        <v>6997</v>
      </c>
    </row>
    <row r="1008" spans="2:3">
      <c r="B1008" s="14" t="s">
        <v>5517</v>
      </c>
      <c r="C1008" s="14" t="s">
        <v>6997</v>
      </c>
    </row>
    <row r="1009" spans="2:3">
      <c r="B1009" s="14" t="s">
        <v>5532</v>
      </c>
      <c r="C1009" s="14" t="s">
        <v>6997</v>
      </c>
    </row>
    <row r="1010" spans="2:3">
      <c r="B1010" s="14" t="s">
        <v>5635</v>
      </c>
      <c r="C1010" s="14" t="s">
        <v>6997</v>
      </c>
    </row>
    <row r="1011" spans="2:3">
      <c r="B1011" s="14" t="s">
        <v>5679</v>
      </c>
      <c r="C1011" s="14" t="s">
        <v>6997</v>
      </c>
    </row>
    <row r="1012" spans="2:3">
      <c r="B1012" s="14" t="s">
        <v>5833</v>
      </c>
      <c r="C1012" s="14" t="s">
        <v>6997</v>
      </c>
    </row>
    <row r="1013" spans="2:3">
      <c r="B1013" s="14" t="s">
        <v>1890</v>
      </c>
      <c r="C1013" s="14" t="s">
        <v>6997</v>
      </c>
    </row>
    <row r="1014" spans="2:3">
      <c r="B1014" s="14" t="s">
        <v>5206</v>
      </c>
      <c r="C1014" s="14" t="s">
        <v>6997</v>
      </c>
    </row>
    <row r="1015" spans="2:3">
      <c r="B1015" s="14" t="s">
        <v>6407</v>
      </c>
      <c r="C1015" s="14" t="s">
        <v>6997</v>
      </c>
    </row>
    <row r="1016" spans="2:3">
      <c r="B1016" s="14" t="s">
        <v>3818</v>
      </c>
      <c r="C1016" s="14" t="s">
        <v>6997</v>
      </c>
    </row>
    <row r="1017" spans="2:3">
      <c r="B1017" s="14" t="s">
        <v>5520</v>
      </c>
      <c r="C1017" s="14" t="s">
        <v>6997</v>
      </c>
    </row>
    <row r="1018" spans="2:3">
      <c r="B1018" s="14" t="s">
        <v>4320</v>
      </c>
      <c r="C1018" s="14" t="s">
        <v>6997</v>
      </c>
    </row>
    <row r="1019" spans="2:3">
      <c r="B1019" s="14" t="s">
        <v>4721</v>
      </c>
      <c r="C1019" s="14" t="s">
        <v>6997</v>
      </c>
    </row>
    <row r="1020" spans="2:3">
      <c r="B1020" s="14" t="s">
        <v>4081</v>
      </c>
      <c r="C1020" s="14" t="s">
        <v>6410</v>
      </c>
    </row>
    <row r="1021" spans="2:3">
      <c r="B1021" s="14" t="s">
        <v>4884</v>
      </c>
      <c r="C1021" s="14" t="s">
        <v>6410</v>
      </c>
    </row>
    <row r="1022" spans="2:3">
      <c r="B1022" s="14" t="s">
        <v>193</v>
      </c>
      <c r="C1022" s="14" t="s">
        <v>6999</v>
      </c>
    </row>
    <row r="1023" spans="2:3">
      <c r="B1023" s="14" t="s">
        <v>227</v>
      </c>
      <c r="C1023" s="14" t="s">
        <v>6999</v>
      </c>
    </row>
    <row r="1024" spans="2:3">
      <c r="B1024" s="14" t="s">
        <v>163</v>
      </c>
      <c r="C1024" s="14" t="s">
        <v>6999</v>
      </c>
    </row>
    <row r="1025" spans="2:3">
      <c r="B1025" s="14" t="s">
        <v>6696</v>
      </c>
      <c r="C1025" s="14" t="s">
        <v>6999</v>
      </c>
    </row>
    <row r="1026" spans="2:3">
      <c r="B1026" s="14" t="s">
        <v>6985</v>
      </c>
      <c r="C1026" s="14" t="s">
        <v>6999</v>
      </c>
    </row>
    <row r="1027" spans="2:3">
      <c r="B1027" s="14" t="s">
        <v>6990</v>
      </c>
      <c r="C1027" s="14" t="s">
        <v>6999</v>
      </c>
    </row>
    <row r="1028" spans="2:3">
      <c r="B1028" s="14" t="s">
        <v>75</v>
      </c>
      <c r="C1028" s="14" t="s">
        <v>6410</v>
      </c>
    </row>
    <row r="1029" spans="2:3">
      <c r="B1029" s="14" t="s">
        <v>441</v>
      </c>
      <c r="C1029" s="14" t="s">
        <v>6410</v>
      </c>
    </row>
    <row r="1030" spans="2:3">
      <c r="B1030" s="14" t="s">
        <v>6633</v>
      </c>
      <c r="C1030" s="14" t="s">
        <v>6410</v>
      </c>
    </row>
    <row r="1031" spans="2:3">
      <c r="B1031" s="14" t="s">
        <v>5639</v>
      </c>
      <c r="C1031" s="14" t="s">
        <v>6410</v>
      </c>
    </row>
    <row r="1032" spans="2:3">
      <c r="B1032" s="14" t="s">
        <v>250</v>
      </c>
      <c r="C1032" s="14" t="s">
        <v>6410</v>
      </c>
    </row>
    <row r="1033" spans="2:3">
      <c r="B1033" s="14" t="s">
        <v>6733</v>
      </c>
      <c r="C1033" s="14" t="s">
        <v>6410</v>
      </c>
    </row>
    <row r="1034" spans="2:3">
      <c r="B1034" s="14" t="s">
        <v>6989</v>
      </c>
      <c r="C1034" s="14" t="s">
        <v>6410</v>
      </c>
    </row>
    <row r="1035" spans="2:3">
      <c r="B1035" s="14" t="s">
        <v>7000</v>
      </c>
      <c r="C1035" s="14" t="s">
        <v>6410</v>
      </c>
    </row>
    <row r="1036" spans="2:3">
      <c r="B1036" s="14" t="s">
        <v>2255</v>
      </c>
      <c r="C1036" s="14" t="s">
        <v>6410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7011-5ACA-451F-935F-51A03FDFB5F0}">
  <sheetPr codeName="Sheet16"/>
  <dimension ref="A2:B20"/>
  <sheetViews>
    <sheetView workbookViewId="0">
      <selection activeCell="B9" sqref="B9"/>
    </sheetView>
  </sheetViews>
  <sheetFormatPr defaultRowHeight="15"/>
  <cols>
    <col min="1" max="1" width="24.28515625" bestFit="1" customWidth="1"/>
    <col min="2" max="3" width="14.5703125" bestFit="1" customWidth="1"/>
  </cols>
  <sheetData>
    <row r="2" spans="1:2">
      <c r="A2" s="60" t="s">
        <v>5767</v>
      </c>
      <c r="B2" t="s">
        <v>7001</v>
      </c>
    </row>
    <row r="3" spans="1:2">
      <c r="A3">
        <v>0</v>
      </c>
      <c r="B3">
        <v>1</v>
      </c>
    </row>
    <row r="4" spans="1:2">
      <c r="A4" t="s">
        <v>5779</v>
      </c>
      <c r="B4">
        <v>3</v>
      </c>
    </row>
    <row r="5" spans="1:2">
      <c r="A5" t="s">
        <v>5782</v>
      </c>
      <c r="B5">
        <v>2</v>
      </c>
    </row>
    <row r="6" spans="1:2">
      <c r="A6" t="s">
        <v>5783</v>
      </c>
      <c r="B6">
        <v>6</v>
      </c>
    </row>
    <row r="7" spans="1:2">
      <c r="A7" t="s">
        <v>5687</v>
      </c>
      <c r="B7">
        <v>7</v>
      </c>
    </row>
    <row r="8" spans="1:2">
      <c r="A8" t="s">
        <v>5785</v>
      </c>
      <c r="B8">
        <v>18</v>
      </c>
    </row>
    <row r="9" spans="1:2">
      <c r="A9" t="s">
        <v>7002</v>
      </c>
      <c r="B9">
        <v>14</v>
      </c>
    </row>
    <row r="10" spans="1:2">
      <c r="A10" t="s">
        <v>5787</v>
      </c>
      <c r="B10">
        <v>4</v>
      </c>
    </row>
    <row r="11" spans="1:2">
      <c r="A11" t="s">
        <v>5818</v>
      </c>
      <c r="B11">
        <v>2</v>
      </c>
    </row>
    <row r="12" spans="1:2">
      <c r="A12" t="s">
        <v>5790</v>
      </c>
      <c r="B12">
        <v>2</v>
      </c>
    </row>
    <row r="13" spans="1:2">
      <c r="A13" t="s">
        <v>7003</v>
      </c>
      <c r="B13">
        <v>49</v>
      </c>
    </row>
    <row r="14" spans="1:2">
      <c r="A14" t="s">
        <v>7004</v>
      </c>
      <c r="B14">
        <v>33</v>
      </c>
    </row>
    <row r="15" spans="1:2">
      <c r="A15" t="s">
        <v>5795</v>
      </c>
      <c r="B15">
        <v>51</v>
      </c>
    </row>
    <row r="16" spans="1:2">
      <c r="A16" t="s">
        <v>5796</v>
      </c>
      <c r="B16">
        <v>45</v>
      </c>
    </row>
    <row r="17" spans="1:2">
      <c r="A17" t="s">
        <v>5797</v>
      </c>
      <c r="B17">
        <v>4</v>
      </c>
    </row>
    <row r="18" spans="1:2">
      <c r="A18" t="s">
        <v>7005</v>
      </c>
      <c r="B18">
        <v>5</v>
      </c>
    </row>
    <row r="19" spans="1:2">
      <c r="A19" t="s">
        <v>5415</v>
      </c>
      <c r="B19">
        <v>18</v>
      </c>
    </row>
    <row r="20" spans="1:2">
      <c r="A20" t="s">
        <v>53</v>
      </c>
      <c r="B20">
        <v>264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EEAE9-4E01-4EB2-B9BF-E8A05A07F175}">
  <sheetPr codeName="Sheet17"/>
  <dimension ref="A1:D46"/>
  <sheetViews>
    <sheetView workbookViewId="0">
      <selection sqref="A1:D46"/>
    </sheetView>
  </sheetViews>
  <sheetFormatPr defaultRowHeight="15"/>
  <sheetData>
    <row r="1" spans="1:4">
      <c r="A1" s="6" t="s">
        <v>5501</v>
      </c>
      <c r="B1" s="6" t="s">
        <v>5765</v>
      </c>
      <c r="C1" s="6" t="s">
        <v>5438</v>
      </c>
      <c r="D1" s="6" t="s">
        <v>5442</v>
      </c>
    </row>
    <row r="2" spans="1:4">
      <c r="A2" s="2" t="s">
        <v>5862</v>
      </c>
      <c r="B2" s="2" t="s">
        <v>7006</v>
      </c>
      <c r="C2" s="2" t="s">
        <v>5418</v>
      </c>
      <c r="D2" s="70" t="s">
        <v>5422</v>
      </c>
    </row>
    <row r="3" spans="1:4">
      <c r="A3" s="2" t="s">
        <v>5745</v>
      </c>
      <c r="B3" s="2" t="s">
        <v>5418</v>
      </c>
      <c r="C3" s="2" t="s">
        <v>5418</v>
      </c>
      <c r="D3" s="70" t="s">
        <v>5422</v>
      </c>
    </row>
    <row r="4" spans="1:4">
      <c r="A4" s="2" t="s">
        <v>5830</v>
      </c>
      <c r="B4" s="2" t="s">
        <v>5418</v>
      </c>
      <c r="C4" s="2" t="s">
        <v>232</v>
      </c>
      <c r="D4" s="2" t="s">
        <v>5492</v>
      </c>
    </row>
    <row r="5" spans="1:4">
      <c r="A5" s="2" t="s">
        <v>5871</v>
      </c>
      <c r="B5" s="2" t="s">
        <v>5418</v>
      </c>
      <c r="C5" s="23" t="s">
        <v>118</v>
      </c>
      <c r="D5" s="23" t="s">
        <v>118</v>
      </c>
    </row>
    <row r="6" spans="1:4">
      <c r="A6" s="23" t="s">
        <v>227</v>
      </c>
      <c r="B6" s="2" t="s">
        <v>5418</v>
      </c>
      <c r="C6" s="113" t="s">
        <v>232</v>
      </c>
      <c r="D6" s="70" t="s">
        <v>5832</v>
      </c>
    </row>
    <row r="7" spans="1:4">
      <c r="A7" s="2" t="s">
        <v>5549</v>
      </c>
      <c r="B7" s="2" t="s">
        <v>5418</v>
      </c>
      <c r="C7" s="113" t="s">
        <v>232</v>
      </c>
      <c r="D7" s="70" t="s">
        <v>5832</v>
      </c>
    </row>
    <row r="8" spans="1:4">
      <c r="A8" s="2" t="s">
        <v>5759</v>
      </c>
      <c r="B8" s="2" t="s">
        <v>5418</v>
      </c>
      <c r="C8" s="2" t="s">
        <v>1030</v>
      </c>
      <c r="D8" s="2" t="s">
        <v>1030</v>
      </c>
    </row>
    <row r="9" spans="1:4">
      <c r="A9" s="2" t="s">
        <v>5851</v>
      </c>
      <c r="B9" s="2" t="s">
        <v>5418</v>
      </c>
      <c r="C9" s="2" t="s">
        <v>4881</v>
      </c>
      <c r="D9" s="2"/>
    </row>
    <row r="10" spans="1:4">
      <c r="A10" s="23" t="s">
        <v>3844</v>
      </c>
      <c r="B10" s="2" t="s">
        <v>5418</v>
      </c>
      <c r="C10" s="2" t="s">
        <v>5418</v>
      </c>
      <c r="D10" s="23"/>
    </row>
    <row r="11" spans="1:4">
      <c r="A11" s="2" t="s">
        <v>5542</v>
      </c>
      <c r="B11" s="2" t="s">
        <v>5418</v>
      </c>
      <c r="C11" s="2" t="s">
        <v>4881</v>
      </c>
      <c r="D11" s="32" t="s">
        <v>2380</v>
      </c>
    </row>
    <row r="12" spans="1:4">
      <c r="A12" s="2" t="s">
        <v>5752</v>
      </c>
      <c r="B12" s="2" t="s">
        <v>5418</v>
      </c>
      <c r="C12" s="2" t="s">
        <v>4881</v>
      </c>
      <c r="D12" s="23" t="s">
        <v>2380</v>
      </c>
    </row>
    <row r="13" spans="1:4">
      <c r="A13" s="21" t="s">
        <v>5623</v>
      </c>
      <c r="B13" s="2" t="s">
        <v>5418</v>
      </c>
      <c r="C13" s="2" t="s">
        <v>5418</v>
      </c>
      <c r="D13" s="23" t="s">
        <v>1030</v>
      </c>
    </row>
    <row r="14" spans="1:4">
      <c r="A14" s="2" t="s">
        <v>5855</v>
      </c>
      <c r="B14" s="2" t="s">
        <v>5418</v>
      </c>
      <c r="C14" s="2" t="s">
        <v>4881</v>
      </c>
      <c r="D14" s="32" t="s">
        <v>5856</v>
      </c>
    </row>
    <row r="15" spans="1:4">
      <c r="A15" s="21" t="s">
        <v>3381</v>
      </c>
      <c r="B15" s="2" t="s">
        <v>5418</v>
      </c>
      <c r="C15" s="2" t="s">
        <v>5418</v>
      </c>
      <c r="D15" s="70" t="s">
        <v>5832</v>
      </c>
    </row>
    <row r="16" spans="1:4">
      <c r="A16" s="2" t="s">
        <v>5683</v>
      </c>
      <c r="B16" s="2" t="s">
        <v>5418</v>
      </c>
      <c r="C16" s="70" t="s">
        <v>5419</v>
      </c>
      <c r="D16" s="70" t="s">
        <v>5488</v>
      </c>
    </row>
    <row r="17" spans="1:4">
      <c r="A17" s="2" t="s">
        <v>5730</v>
      </c>
      <c r="B17" s="2" t="s">
        <v>5418</v>
      </c>
      <c r="C17" s="70" t="s">
        <v>1030</v>
      </c>
      <c r="D17" s="70" t="s">
        <v>5490</v>
      </c>
    </row>
    <row r="18" spans="1:4">
      <c r="A18" s="2" t="s">
        <v>5742</v>
      </c>
      <c r="B18" s="2" t="s">
        <v>5418</v>
      </c>
      <c r="C18" s="2" t="s">
        <v>1030</v>
      </c>
      <c r="D18" s="23" t="s">
        <v>5488</v>
      </c>
    </row>
    <row r="19" spans="1:4">
      <c r="A19" s="2" t="s">
        <v>5731</v>
      </c>
      <c r="B19" s="2" t="s">
        <v>5418</v>
      </c>
      <c r="C19" s="70" t="s">
        <v>4881</v>
      </c>
      <c r="D19" s="70" t="s">
        <v>2380</v>
      </c>
    </row>
    <row r="20" spans="1:4">
      <c r="A20" s="2" t="s">
        <v>5736</v>
      </c>
      <c r="B20" s="2" t="s">
        <v>5418</v>
      </c>
      <c r="C20" s="2" t="s">
        <v>1030</v>
      </c>
      <c r="D20" s="2" t="s">
        <v>5490</v>
      </c>
    </row>
    <row r="21" spans="1:4">
      <c r="A21" s="2" t="s">
        <v>5729</v>
      </c>
      <c r="B21" s="2" t="s">
        <v>5418</v>
      </c>
      <c r="C21" s="70" t="s">
        <v>1030</v>
      </c>
      <c r="D21" s="70" t="s">
        <v>5490</v>
      </c>
    </row>
    <row r="22" spans="1:4">
      <c r="A22" s="2" t="s">
        <v>5547</v>
      </c>
      <c r="B22" s="2" t="s">
        <v>5418</v>
      </c>
      <c r="C22" s="2" t="s">
        <v>1030</v>
      </c>
      <c r="D22" s="23" t="s">
        <v>1030</v>
      </c>
    </row>
    <row r="23" spans="1:4">
      <c r="A23" s="2" t="s">
        <v>5740</v>
      </c>
      <c r="B23" s="2" t="s">
        <v>5418</v>
      </c>
      <c r="C23" s="2" t="s">
        <v>4881</v>
      </c>
      <c r="D23" s="2" t="s">
        <v>5806</v>
      </c>
    </row>
    <row r="24" spans="1:4">
      <c r="A24" s="2" t="s">
        <v>5747</v>
      </c>
      <c r="B24" s="2" t="s">
        <v>5418</v>
      </c>
      <c r="C24" s="2" t="s">
        <v>1030</v>
      </c>
      <c r="D24" s="2" t="s">
        <v>5490</v>
      </c>
    </row>
    <row r="25" spans="1:4">
      <c r="A25" s="2" t="s">
        <v>5545</v>
      </c>
      <c r="B25" s="2" t="s">
        <v>5418</v>
      </c>
      <c r="C25" s="2" t="s">
        <v>1030</v>
      </c>
      <c r="D25" s="23" t="s">
        <v>5490</v>
      </c>
    </row>
    <row r="26" spans="1:4">
      <c r="A26" s="2" t="s">
        <v>5572</v>
      </c>
      <c r="B26" s="2" t="s">
        <v>5418</v>
      </c>
      <c r="C26" s="2" t="s">
        <v>4881</v>
      </c>
      <c r="D26" s="70" t="s">
        <v>5488</v>
      </c>
    </row>
    <row r="27" spans="1:4">
      <c r="A27" s="2" t="s">
        <v>5738</v>
      </c>
      <c r="B27" s="2" t="s">
        <v>5418</v>
      </c>
      <c r="C27" s="2" t="s">
        <v>5818</v>
      </c>
      <c r="D27" s="23"/>
    </row>
    <row r="28" spans="1:4">
      <c r="A28" s="2" t="s">
        <v>5886</v>
      </c>
      <c r="B28" s="2" t="s">
        <v>5418</v>
      </c>
      <c r="C28" s="2" t="s">
        <v>1030</v>
      </c>
      <c r="D28" s="70" t="s">
        <v>5832</v>
      </c>
    </row>
    <row r="29" spans="1:4">
      <c r="A29" s="2" t="s">
        <v>5894</v>
      </c>
      <c r="B29" s="2" t="s">
        <v>5418</v>
      </c>
      <c r="C29" s="2" t="s">
        <v>1030</v>
      </c>
      <c r="D29" s="2" t="s">
        <v>5488</v>
      </c>
    </row>
    <row r="30" spans="1:4">
      <c r="A30" s="21" t="s">
        <v>5735</v>
      </c>
      <c r="B30" s="2" t="s">
        <v>5418</v>
      </c>
      <c r="C30" s="2" t="s">
        <v>5418</v>
      </c>
      <c r="D30" s="70"/>
    </row>
    <row r="31" spans="1:4">
      <c r="A31" s="2" t="s">
        <v>5896</v>
      </c>
      <c r="B31" s="2" t="s">
        <v>5418</v>
      </c>
      <c r="C31" s="2" t="s">
        <v>5806</v>
      </c>
      <c r="D31" s="2" t="s">
        <v>5488</v>
      </c>
    </row>
    <row r="32" spans="1:4">
      <c r="A32" s="2" t="s">
        <v>5897</v>
      </c>
      <c r="B32" s="2" t="s">
        <v>5418</v>
      </c>
      <c r="C32" s="2" t="s">
        <v>5806</v>
      </c>
      <c r="D32" s="2" t="s">
        <v>5488</v>
      </c>
    </row>
    <row r="33" spans="1:4">
      <c r="A33" s="2" t="s">
        <v>4568</v>
      </c>
      <c r="B33" s="2" t="s">
        <v>5418</v>
      </c>
      <c r="C33" s="2" t="s">
        <v>4881</v>
      </c>
      <c r="D33" s="23" t="s">
        <v>5488</v>
      </c>
    </row>
    <row r="34" spans="1:4">
      <c r="A34" s="139" t="s">
        <v>851</v>
      </c>
      <c r="B34" s="2" t="s">
        <v>5418</v>
      </c>
      <c r="C34" s="2" t="s">
        <v>232</v>
      </c>
      <c r="D34" s="136" t="s">
        <v>5488</v>
      </c>
    </row>
    <row r="35" spans="1:4">
      <c r="A35" s="139" t="s">
        <v>5679</v>
      </c>
      <c r="B35" s="2" t="s">
        <v>5418</v>
      </c>
      <c r="C35" s="136" t="s">
        <v>5431</v>
      </c>
      <c r="D35" s="140" t="s">
        <v>5488</v>
      </c>
    </row>
    <row r="36" spans="1:4">
      <c r="A36" s="139" t="s">
        <v>4638</v>
      </c>
      <c r="B36" s="2" t="s">
        <v>5418</v>
      </c>
      <c r="C36" s="136" t="s">
        <v>1030</v>
      </c>
      <c r="D36" s="136" t="s">
        <v>5490</v>
      </c>
    </row>
    <row r="37" spans="1:4">
      <c r="A37" s="21" t="s">
        <v>4037</v>
      </c>
      <c r="B37" s="2" t="s">
        <v>5418</v>
      </c>
      <c r="C37" s="2" t="s">
        <v>4881</v>
      </c>
      <c r="D37" s="32"/>
    </row>
    <row r="38" spans="1:4" ht="28.5">
      <c r="A38" s="2" t="s">
        <v>5864</v>
      </c>
      <c r="B38" s="2" t="s">
        <v>5418</v>
      </c>
      <c r="C38" s="162" t="s">
        <v>5784</v>
      </c>
      <c r="D38" s="70" t="s">
        <v>1983</v>
      </c>
    </row>
    <row r="39" spans="1:4">
      <c r="A39" s="2" t="s">
        <v>5865</v>
      </c>
      <c r="B39" s="2" t="s">
        <v>5418</v>
      </c>
      <c r="C39" s="2" t="s">
        <v>5818</v>
      </c>
      <c r="D39" s="2"/>
    </row>
    <row r="40" spans="1:4">
      <c r="A40" s="2" t="s">
        <v>5534</v>
      </c>
      <c r="B40" s="2" t="s">
        <v>5418</v>
      </c>
      <c r="C40" s="2" t="s">
        <v>5818</v>
      </c>
      <c r="D40" s="23" t="s">
        <v>5491</v>
      </c>
    </row>
    <row r="41" spans="1:4">
      <c r="A41" s="19" t="s">
        <v>5192</v>
      </c>
      <c r="B41" s="161" t="s">
        <v>5418</v>
      </c>
      <c r="C41" s="2" t="s">
        <v>4881</v>
      </c>
      <c r="D41" s="23"/>
    </row>
    <row r="42" spans="1:4">
      <c r="A42" s="23" t="s">
        <v>5694</v>
      </c>
      <c r="B42" s="71" t="s">
        <v>5418</v>
      </c>
      <c r="C42" t="s">
        <v>4881</v>
      </c>
      <c r="D42" s="23" t="s">
        <v>2380</v>
      </c>
    </row>
    <row r="43" spans="1:4">
      <c r="A43" s="23" t="s">
        <v>313</v>
      </c>
      <c r="B43" s="2" t="s">
        <v>7007</v>
      </c>
      <c r="C43" s="70" t="s">
        <v>5418</v>
      </c>
      <c r="D43" s="23" t="s">
        <v>5488</v>
      </c>
    </row>
    <row r="44" spans="1:4" ht="28.5">
      <c r="A44" s="2" t="s">
        <v>5206</v>
      </c>
      <c r="B44" s="113" t="s">
        <v>5418</v>
      </c>
      <c r="C44" s="162" t="s">
        <v>5784</v>
      </c>
      <c r="D44" s="70" t="s">
        <v>5488</v>
      </c>
    </row>
    <row r="45" spans="1:4">
      <c r="A45" s="2" t="s">
        <v>7008</v>
      </c>
      <c r="B45" s="153" t="s">
        <v>5418</v>
      </c>
      <c r="C45" s="2" t="s">
        <v>28</v>
      </c>
      <c r="D45" s="2" t="s">
        <v>28</v>
      </c>
    </row>
    <row r="46" spans="1:4">
      <c r="A46" s="155" t="s">
        <v>5868</v>
      </c>
      <c r="B46" s="154" t="s">
        <v>5418</v>
      </c>
      <c r="C46" s="71" t="s">
        <v>4881</v>
      </c>
      <c r="D46" s="2" t="s">
        <v>2380</v>
      </c>
    </row>
  </sheetData>
  <conditionalFormatting sqref="A1:A43">
    <cfRule type="duplicateValues" dxfId="5" priority="5"/>
    <cfRule type="duplicateValues" dxfId="4" priority="6"/>
  </conditionalFormatting>
  <conditionalFormatting sqref="A44">
    <cfRule type="duplicateValues" dxfId="3" priority="3"/>
    <cfRule type="duplicateValues" dxfId="2" priority="4"/>
  </conditionalFormatting>
  <conditionalFormatting sqref="A45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MIS Reports</dc:creator>
  <cp:keywords/>
  <dc:description/>
  <cp:lastModifiedBy/>
  <cp:revision/>
  <dcterms:created xsi:type="dcterms:W3CDTF">2024-05-03T05:11:24Z</dcterms:created>
  <dcterms:modified xsi:type="dcterms:W3CDTF">2026-05-19T11:54:48Z</dcterms:modified>
  <cp:category/>
  <cp:contentStatus/>
</cp:coreProperties>
</file>