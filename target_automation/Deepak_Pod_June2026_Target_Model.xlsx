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0D4A4323-47F9-413F-B77E-84F36738DFE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. Assumptions" sheetId="1" r:id="rId1"/>
    <sheet name="2. June Daily Rhythm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6" i="2" l="1"/>
  <c r="C116" i="2"/>
  <c r="I116" i="2" s="1"/>
  <c r="H115" i="2"/>
  <c r="C115" i="2"/>
  <c r="I115" i="2" s="1"/>
  <c r="H114" i="2"/>
  <c r="C114" i="2"/>
  <c r="I114" i="2" s="1"/>
  <c r="H113" i="2"/>
  <c r="C113" i="2"/>
  <c r="I113" i="2" s="1"/>
  <c r="H112" i="2"/>
  <c r="C112" i="2"/>
  <c r="G107" i="2"/>
  <c r="F107" i="2"/>
  <c r="E107" i="2"/>
  <c r="D107" i="2"/>
  <c r="C107" i="2"/>
  <c r="H106" i="2"/>
  <c r="I106" i="2" s="1"/>
  <c r="H105" i="2"/>
  <c r="I105" i="2" s="1"/>
  <c r="H104" i="2"/>
  <c r="I104" i="2" s="1"/>
  <c r="H103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Z73" i="2" s="1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Z59" i="2" s="1"/>
  <c r="C43" i="2"/>
  <c r="C36" i="2"/>
  <c r="C29" i="2"/>
  <c r="C22" i="2"/>
  <c r="C15" i="2"/>
  <c r="G80" i="1"/>
  <c r="D80" i="1"/>
  <c r="G79" i="1"/>
  <c r="D79" i="1"/>
  <c r="G78" i="1"/>
  <c r="D78" i="1"/>
  <c r="G77" i="1"/>
  <c r="D77" i="1"/>
  <c r="G76" i="1"/>
  <c r="D76" i="1"/>
  <c r="C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71" i="1" s="1"/>
  <c r="K40" i="1"/>
  <c r="C40" i="1"/>
  <c r="L39" i="1"/>
  <c r="H39" i="1"/>
  <c r="I39" i="1" s="1"/>
  <c r="L38" i="1"/>
  <c r="H38" i="1"/>
  <c r="I38" i="1" s="1"/>
  <c r="L37" i="1"/>
  <c r="H37" i="1"/>
  <c r="I37" i="1" s="1"/>
  <c r="L36" i="1"/>
  <c r="H36" i="1"/>
  <c r="I36" i="1" s="1"/>
  <c r="L35" i="1"/>
  <c r="H35" i="1"/>
  <c r="I35" i="1" s="1"/>
  <c r="K30" i="1"/>
  <c r="D30" i="1"/>
  <c r="C30" i="1"/>
  <c r="E29" i="1"/>
  <c r="G29" i="1" s="1"/>
  <c r="E28" i="1"/>
  <c r="G28" i="1" s="1"/>
  <c r="E27" i="1"/>
  <c r="G27" i="1" s="1"/>
  <c r="E26" i="1"/>
  <c r="G26" i="1" s="1"/>
  <c r="E25" i="1"/>
  <c r="C12" i="1"/>
  <c r="C8" i="1"/>
  <c r="C13" i="1" s="1"/>
  <c r="E30" i="1" l="1"/>
  <c r="G25" i="1"/>
  <c r="Y26" i="2"/>
  <c r="W26" i="2"/>
  <c r="R26" i="2"/>
  <c r="M26" i="2"/>
  <c r="H26" i="2"/>
  <c r="C26" i="2"/>
  <c r="Z26" i="2" s="1"/>
  <c r="E9" i="2"/>
  <c r="J26" i="1"/>
  <c r="H26" i="1"/>
  <c r="Y33" i="2"/>
  <c r="W33" i="2"/>
  <c r="R33" i="2"/>
  <c r="M33" i="2"/>
  <c r="H33" i="2"/>
  <c r="C33" i="2"/>
  <c r="Z33" i="2" s="1"/>
  <c r="F9" i="2"/>
  <c r="J27" i="1"/>
  <c r="H27" i="1"/>
  <c r="Y40" i="2"/>
  <c r="W40" i="2"/>
  <c r="R40" i="2"/>
  <c r="M40" i="2"/>
  <c r="H40" i="2"/>
  <c r="C40" i="2"/>
  <c r="Z40" i="2" s="1"/>
  <c r="G9" i="2"/>
  <c r="J28" i="1"/>
  <c r="H28" i="1"/>
  <c r="Y47" i="2"/>
  <c r="W47" i="2"/>
  <c r="R47" i="2"/>
  <c r="M47" i="2"/>
  <c r="H47" i="2"/>
  <c r="C47" i="2"/>
  <c r="Z47" i="2" s="1"/>
  <c r="H9" i="2"/>
  <c r="J29" i="1"/>
  <c r="H29" i="1"/>
  <c r="J45" i="1"/>
  <c r="I40" i="1"/>
  <c r="J35" i="1"/>
  <c r="K45" i="1"/>
  <c r="D45" i="1"/>
  <c r="L40" i="1"/>
  <c r="J46" i="1"/>
  <c r="J36" i="1"/>
  <c r="K46" i="1"/>
  <c r="D46" i="1"/>
  <c r="J47" i="1"/>
  <c r="J37" i="1"/>
  <c r="K47" i="1"/>
  <c r="D47" i="1"/>
  <c r="J48" i="1"/>
  <c r="J38" i="1"/>
  <c r="K48" i="1"/>
  <c r="D48" i="1"/>
  <c r="J49" i="1"/>
  <c r="J39" i="1"/>
  <c r="K49" i="1"/>
  <c r="D49" i="1"/>
  <c r="E98" i="2"/>
  <c r="G82" i="2"/>
  <c r="F82" i="2"/>
  <c r="G83" i="2"/>
  <c r="F83" i="2"/>
  <c r="G84" i="2"/>
  <c r="F84" i="2"/>
  <c r="G85" i="2"/>
  <c r="F85" i="2"/>
  <c r="G86" i="2"/>
  <c r="F86" i="2"/>
  <c r="G87" i="2"/>
  <c r="F87" i="2"/>
  <c r="G88" i="2"/>
  <c r="F88" i="2"/>
  <c r="G89" i="2"/>
  <c r="F89" i="2"/>
  <c r="G90" i="2"/>
  <c r="F90" i="2"/>
  <c r="G91" i="2"/>
  <c r="F91" i="2"/>
  <c r="G92" i="2"/>
  <c r="F92" i="2"/>
  <c r="G93" i="2"/>
  <c r="F93" i="2"/>
  <c r="G94" i="2"/>
  <c r="F94" i="2"/>
  <c r="G95" i="2"/>
  <c r="F95" i="2"/>
  <c r="G96" i="2"/>
  <c r="F96" i="2"/>
  <c r="G97" i="2"/>
  <c r="F97" i="2"/>
  <c r="H107" i="2"/>
  <c r="I103" i="2"/>
  <c r="I107" i="2" s="1"/>
  <c r="C117" i="2"/>
  <c r="I112" i="2"/>
  <c r="I117" i="2" s="1"/>
  <c r="H117" i="2"/>
  <c r="J117" i="2" s="1"/>
  <c r="J112" i="2"/>
  <c r="J113" i="2"/>
  <c r="J114" i="2"/>
  <c r="J115" i="2"/>
  <c r="J116" i="2"/>
  <c r="F98" i="2" l="1"/>
  <c r="G98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Z71" i="2" s="1"/>
  <c r="C71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Z45" i="2" s="1"/>
  <c r="H7" i="2"/>
  <c r="F80" i="1"/>
  <c r="H80" i="1" s="1"/>
  <c r="L49" i="1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Z44" i="2" s="1"/>
  <c r="H6" i="2"/>
  <c r="C80" i="1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Z70" i="2" s="1"/>
  <c r="C70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Z38" i="2" s="1"/>
  <c r="G7" i="2"/>
  <c r="F79" i="1"/>
  <c r="H79" i="1" s="1"/>
  <c r="L48" i="1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Z37" i="2" s="1"/>
  <c r="G6" i="2"/>
  <c r="C79" i="1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Z69" i="2" s="1"/>
  <c r="C69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Z31" i="2" s="1"/>
  <c r="F7" i="2"/>
  <c r="F78" i="1"/>
  <c r="H78" i="1" s="1"/>
  <c r="L47" i="1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Z30" i="2" s="1"/>
  <c r="F6" i="2"/>
  <c r="C78" i="1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Z68" i="2" s="1"/>
  <c r="C68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Z24" i="2" s="1"/>
  <c r="E7" i="2"/>
  <c r="F77" i="1"/>
  <c r="H77" i="1" s="1"/>
  <c r="L46" i="1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Z23" i="2" s="1"/>
  <c r="E6" i="2"/>
  <c r="C77" i="1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Z67" i="2" s="1"/>
  <c r="C67" i="2"/>
  <c r="Y17" i="2"/>
  <c r="Y51" i="2" s="1"/>
  <c r="X17" i="2"/>
  <c r="X51" i="2" s="1"/>
  <c r="W17" i="2"/>
  <c r="W51" i="2" s="1"/>
  <c r="V17" i="2"/>
  <c r="V51" i="2" s="1"/>
  <c r="U17" i="2"/>
  <c r="U51" i="2" s="1"/>
  <c r="T17" i="2"/>
  <c r="T51" i="2" s="1"/>
  <c r="S17" i="2"/>
  <c r="S51" i="2" s="1"/>
  <c r="R17" i="2"/>
  <c r="R51" i="2" s="1"/>
  <c r="Q17" i="2"/>
  <c r="Q51" i="2" s="1"/>
  <c r="P17" i="2"/>
  <c r="P51" i="2" s="1"/>
  <c r="O17" i="2"/>
  <c r="O51" i="2" s="1"/>
  <c r="N17" i="2"/>
  <c r="N51" i="2" s="1"/>
  <c r="M17" i="2"/>
  <c r="M51" i="2" s="1"/>
  <c r="L17" i="2"/>
  <c r="L51" i="2" s="1"/>
  <c r="K17" i="2"/>
  <c r="K51" i="2" s="1"/>
  <c r="J17" i="2"/>
  <c r="J51" i="2" s="1"/>
  <c r="I17" i="2"/>
  <c r="I51" i="2" s="1"/>
  <c r="H17" i="2"/>
  <c r="H51" i="2" s="1"/>
  <c r="G17" i="2"/>
  <c r="G51" i="2" s="1"/>
  <c r="F17" i="2"/>
  <c r="F51" i="2" s="1"/>
  <c r="E17" i="2"/>
  <c r="E51" i="2" s="1"/>
  <c r="D17" i="2"/>
  <c r="D51" i="2" s="1"/>
  <c r="C17" i="2"/>
  <c r="D7" i="2"/>
  <c r="C7" i="2" s="1"/>
  <c r="F76" i="1"/>
  <c r="H76" i="1" s="1"/>
  <c r="L45" i="1"/>
  <c r="J40" i="1"/>
  <c r="Y16" i="2"/>
  <c r="Y50" i="2" s="1"/>
  <c r="X16" i="2"/>
  <c r="X50" i="2" s="1"/>
  <c r="W16" i="2"/>
  <c r="W50" i="2" s="1"/>
  <c r="V16" i="2"/>
  <c r="V50" i="2" s="1"/>
  <c r="U16" i="2"/>
  <c r="U50" i="2" s="1"/>
  <c r="T16" i="2"/>
  <c r="T50" i="2" s="1"/>
  <c r="S16" i="2"/>
  <c r="S50" i="2" s="1"/>
  <c r="R16" i="2"/>
  <c r="R50" i="2" s="1"/>
  <c r="Q16" i="2"/>
  <c r="Q50" i="2" s="1"/>
  <c r="P16" i="2"/>
  <c r="P50" i="2" s="1"/>
  <c r="O16" i="2"/>
  <c r="O50" i="2" s="1"/>
  <c r="N16" i="2"/>
  <c r="N50" i="2" s="1"/>
  <c r="M16" i="2"/>
  <c r="M50" i="2" s="1"/>
  <c r="L16" i="2"/>
  <c r="L50" i="2" s="1"/>
  <c r="K16" i="2"/>
  <c r="K50" i="2" s="1"/>
  <c r="J16" i="2"/>
  <c r="J50" i="2" s="1"/>
  <c r="I16" i="2"/>
  <c r="I50" i="2" s="1"/>
  <c r="H16" i="2"/>
  <c r="H50" i="2" s="1"/>
  <c r="G16" i="2"/>
  <c r="G50" i="2" s="1"/>
  <c r="F16" i="2"/>
  <c r="F50" i="2" s="1"/>
  <c r="E16" i="2"/>
  <c r="E50" i="2" s="1"/>
  <c r="D16" i="2"/>
  <c r="D50" i="2" s="1"/>
  <c r="C16" i="2"/>
  <c r="D6" i="2"/>
  <c r="C6" i="2" s="1"/>
  <c r="C76" i="1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Z46" i="2" s="1"/>
  <c r="H8" i="2"/>
  <c r="I29" i="1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Z39" i="2" s="1"/>
  <c r="G8" i="2"/>
  <c r="I28" i="1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Z32" i="2" s="1"/>
  <c r="F8" i="2"/>
  <c r="I27" i="1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5" i="2" s="1"/>
  <c r="E8" i="2"/>
  <c r="I26" i="1"/>
  <c r="Y19" i="2"/>
  <c r="W19" i="2"/>
  <c r="R19" i="2"/>
  <c r="M19" i="2"/>
  <c r="H19" i="2"/>
  <c r="C19" i="2"/>
  <c r="D9" i="2"/>
  <c r="C9" i="2" s="1"/>
  <c r="G30" i="1"/>
  <c r="J25" i="1"/>
  <c r="J30" i="1" s="1"/>
  <c r="H25" i="1"/>
  <c r="C16" i="1"/>
  <c r="D15" i="1"/>
  <c r="C15" i="1"/>
  <c r="Y18" i="2" l="1"/>
  <c r="Y52" i="2" s="1"/>
  <c r="X18" i="2"/>
  <c r="X52" i="2" s="1"/>
  <c r="W18" i="2"/>
  <c r="W52" i="2" s="1"/>
  <c r="V18" i="2"/>
  <c r="V52" i="2" s="1"/>
  <c r="U18" i="2"/>
  <c r="U52" i="2" s="1"/>
  <c r="T18" i="2"/>
  <c r="T52" i="2" s="1"/>
  <c r="S18" i="2"/>
  <c r="S52" i="2" s="1"/>
  <c r="R18" i="2"/>
  <c r="R52" i="2" s="1"/>
  <c r="Q18" i="2"/>
  <c r="Q52" i="2" s="1"/>
  <c r="P18" i="2"/>
  <c r="P52" i="2" s="1"/>
  <c r="O18" i="2"/>
  <c r="O52" i="2" s="1"/>
  <c r="N18" i="2"/>
  <c r="N52" i="2" s="1"/>
  <c r="M18" i="2"/>
  <c r="M52" i="2" s="1"/>
  <c r="L18" i="2"/>
  <c r="L52" i="2" s="1"/>
  <c r="K18" i="2"/>
  <c r="K52" i="2" s="1"/>
  <c r="J18" i="2"/>
  <c r="J52" i="2" s="1"/>
  <c r="I18" i="2"/>
  <c r="I52" i="2" s="1"/>
  <c r="H18" i="2"/>
  <c r="H52" i="2" s="1"/>
  <c r="G18" i="2"/>
  <c r="G52" i="2" s="1"/>
  <c r="F18" i="2"/>
  <c r="F52" i="2" s="1"/>
  <c r="E18" i="2"/>
  <c r="E52" i="2" s="1"/>
  <c r="D18" i="2"/>
  <c r="D52" i="2" s="1"/>
  <c r="C18" i="2"/>
  <c r="D8" i="2"/>
  <c r="C8" i="2" s="1"/>
  <c r="H30" i="1"/>
  <c r="I25" i="1"/>
  <c r="I30" i="1" s="1"/>
  <c r="Y53" i="2"/>
  <c r="W53" i="2"/>
  <c r="R53" i="2"/>
  <c r="M53" i="2"/>
  <c r="H53" i="2"/>
  <c r="C53" i="2"/>
  <c r="Z53" i="2" s="1"/>
  <c r="Z19" i="2"/>
  <c r="I76" i="1"/>
  <c r="E76" i="1"/>
  <c r="C50" i="2"/>
  <c r="Z50" i="2" s="1"/>
  <c r="Z16" i="2"/>
  <c r="D60" i="2"/>
  <c r="D58" i="2"/>
  <c r="E60" i="2"/>
  <c r="E58" i="2"/>
  <c r="F60" i="2"/>
  <c r="F58" i="2"/>
  <c r="G60" i="2"/>
  <c r="G58" i="2"/>
  <c r="H60" i="2"/>
  <c r="H58" i="2"/>
  <c r="I60" i="2"/>
  <c r="I58" i="2"/>
  <c r="J60" i="2"/>
  <c r="J58" i="2"/>
  <c r="K60" i="2"/>
  <c r="K58" i="2"/>
  <c r="L60" i="2"/>
  <c r="L58" i="2"/>
  <c r="M60" i="2"/>
  <c r="M58" i="2"/>
  <c r="N60" i="2"/>
  <c r="N58" i="2"/>
  <c r="O60" i="2"/>
  <c r="O58" i="2"/>
  <c r="P60" i="2"/>
  <c r="P58" i="2"/>
  <c r="Q60" i="2"/>
  <c r="Q58" i="2"/>
  <c r="R60" i="2"/>
  <c r="R58" i="2"/>
  <c r="S60" i="2"/>
  <c r="S58" i="2"/>
  <c r="T60" i="2"/>
  <c r="T58" i="2"/>
  <c r="U60" i="2"/>
  <c r="U58" i="2"/>
  <c r="V60" i="2"/>
  <c r="V58" i="2"/>
  <c r="W60" i="2"/>
  <c r="W58" i="2"/>
  <c r="X60" i="2"/>
  <c r="X58" i="2"/>
  <c r="Y60" i="2"/>
  <c r="Y58" i="2"/>
  <c r="C51" i="2"/>
  <c r="Z51" i="2" s="1"/>
  <c r="Z17" i="2"/>
  <c r="D74" i="2"/>
  <c r="D72" i="2"/>
  <c r="E74" i="2"/>
  <c r="E72" i="2"/>
  <c r="F74" i="2"/>
  <c r="F72" i="2"/>
  <c r="G74" i="2"/>
  <c r="G72" i="2"/>
  <c r="H74" i="2"/>
  <c r="H72" i="2"/>
  <c r="I74" i="2"/>
  <c r="I72" i="2"/>
  <c r="J74" i="2"/>
  <c r="J72" i="2"/>
  <c r="K74" i="2"/>
  <c r="K72" i="2"/>
  <c r="L74" i="2"/>
  <c r="L72" i="2"/>
  <c r="M74" i="2"/>
  <c r="M72" i="2"/>
  <c r="N74" i="2"/>
  <c r="N72" i="2"/>
  <c r="O74" i="2"/>
  <c r="O72" i="2"/>
  <c r="P74" i="2"/>
  <c r="P72" i="2"/>
  <c r="Q74" i="2"/>
  <c r="Q72" i="2"/>
  <c r="R74" i="2"/>
  <c r="R72" i="2"/>
  <c r="S74" i="2"/>
  <c r="S72" i="2"/>
  <c r="T74" i="2"/>
  <c r="T72" i="2"/>
  <c r="U74" i="2"/>
  <c r="U72" i="2"/>
  <c r="V74" i="2"/>
  <c r="V72" i="2"/>
  <c r="W74" i="2"/>
  <c r="W72" i="2"/>
  <c r="X74" i="2"/>
  <c r="X72" i="2"/>
  <c r="Y74" i="2"/>
  <c r="Y72" i="2"/>
  <c r="I77" i="1"/>
  <c r="E77" i="1"/>
  <c r="I78" i="1"/>
  <c r="E78" i="1"/>
  <c r="I79" i="1"/>
  <c r="E79" i="1"/>
  <c r="I80" i="1"/>
  <c r="E80" i="1"/>
  <c r="Y75" i="2" l="1"/>
  <c r="Y76" i="2" s="1"/>
  <c r="X75" i="2"/>
  <c r="X76" i="2" s="1"/>
  <c r="W75" i="2"/>
  <c r="W76" i="2" s="1"/>
  <c r="V75" i="2"/>
  <c r="V76" i="2" s="1"/>
  <c r="U75" i="2"/>
  <c r="U76" i="2" s="1"/>
  <c r="T75" i="2"/>
  <c r="T76" i="2" s="1"/>
  <c r="S75" i="2"/>
  <c r="S76" i="2" s="1"/>
  <c r="R75" i="2"/>
  <c r="R76" i="2" s="1"/>
  <c r="Q75" i="2"/>
  <c r="Q76" i="2" s="1"/>
  <c r="P75" i="2"/>
  <c r="P76" i="2" s="1"/>
  <c r="O75" i="2"/>
  <c r="O76" i="2" s="1"/>
  <c r="N75" i="2"/>
  <c r="N76" i="2" s="1"/>
  <c r="M75" i="2"/>
  <c r="M76" i="2" s="1"/>
  <c r="L75" i="2"/>
  <c r="L76" i="2" s="1"/>
  <c r="K75" i="2"/>
  <c r="K76" i="2" s="1"/>
  <c r="J75" i="2"/>
  <c r="J76" i="2" s="1"/>
  <c r="I75" i="2"/>
  <c r="I76" i="2" s="1"/>
  <c r="H75" i="2"/>
  <c r="H76" i="2" s="1"/>
  <c r="G75" i="2"/>
  <c r="G76" i="2" s="1"/>
  <c r="F75" i="2"/>
  <c r="F76" i="2" s="1"/>
  <c r="E75" i="2"/>
  <c r="E76" i="2" s="1"/>
  <c r="Z72" i="2"/>
  <c r="D75" i="2"/>
  <c r="Z74" i="2"/>
  <c r="Y61" i="2"/>
  <c r="Y62" i="2" s="1"/>
  <c r="X61" i="2"/>
  <c r="X62" i="2" s="1"/>
  <c r="W61" i="2"/>
  <c r="W62" i="2" s="1"/>
  <c r="V61" i="2"/>
  <c r="V62" i="2" s="1"/>
  <c r="U61" i="2"/>
  <c r="U62" i="2" s="1"/>
  <c r="T61" i="2"/>
  <c r="T62" i="2" s="1"/>
  <c r="S61" i="2"/>
  <c r="S62" i="2" s="1"/>
  <c r="R61" i="2"/>
  <c r="R62" i="2" s="1"/>
  <c r="Q61" i="2"/>
  <c r="Q62" i="2" s="1"/>
  <c r="P61" i="2"/>
  <c r="P62" i="2" s="1"/>
  <c r="O61" i="2"/>
  <c r="O62" i="2" s="1"/>
  <c r="N61" i="2"/>
  <c r="N62" i="2" s="1"/>
  <c r="M61" i="2"/>
  <c r="M62" i="2" s="1"/>
  <c r="L61" i="2"/>
  <c r="L62" i="2" s="1"/>
  <c r="K61" i="2"/>
  <c r="K62" i="2" s="1"/>
  <c r="J61" i="2"/>
  <c r="J62" i="2" s="1"/>
  <c r="I61" i="2"/>
  <c r="I62" i="2" s="1"/>
  <c r="H61" i="2"/>
  <c r="H62" i="2" s="1"/>
  <c r="G61" i="2"/>
  <c r="G62" i="2" s="1"/>
  <c r="F61" i="2"/>
  <c r="F62" i="2" s="1"/>
  <c r="E61" i="2"/>
  <c r="E62" i="2" s="1"/>
  <c r="Z58" i="2"/>
  <c r="D61" i="2"/>
  <c r="Z60" i="2"/>
  <c r="C52" i="2"/>
  <c r="Z52" i="2" s="1"/>
  <c r="Z18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Z61" i="2" l="1"/>
  <c r="D62" i="2"/>
  <c r="Z75" i="2"/>
  <c r="D76" i="2"/>
</calcChain>
</file>

<file path=xl/sharedStrings.xml><?xml version="1.0" encoding="utf-8"?>
<sst xmlns="http://schemas.openxmlformats.org/spreadsheetml/2006/main" count="534" uniqueCount="240">
  <si>
    <t>🎯  DEEPAK POD  |  JUNE 2026 TARGET MODEL  —  Assumptions &amp; Parameters</t>
  </si>
  <si>
    <t>COLOUR KEY:   BLUE TEXT = Input — change freely   |   BLACK = Formula (auto)   |   AMBER BG = Estimate/Historical   |   GREEN BG = On Track   |   RED BG = Alert / Shortfall</t>
  </si>
  <si>
    <t>SECTION A — THE GOAL  (June 2026)</t>
  </si>
  <si>
    <t>Parameter</t>
  </si>
  <si>
    <t>Value</t>
  </si>
  <si>
    <t>Notes</t>
  </si>
  <si>
    <t>Net PO Target (₹L)</t>
  </si>
  <si>
    <t>Goal: 1 Crore Net PO for June</t>
  </si>
  <si>
    <t>Exit Budget — max (₹L)</t>
  </si>
  <si>
    <t>CC closures + Resignations + PO closures: keep under 5L</t>
  </si>
  <si>
    <t>Gross PO Needed (₹L)</t>
  </si>
  <si>
    <t>Gross PO = Net Target + Exit Budget (auto-calculated)</t>
  </si>
  <si>
    <t>Working Days — June</t>
  </si>
  <si>
    <t>Mon-Fri June 1-30 (adjust here if there are holidays)</t>
  </si>
  <si>
    <t>Target Selects / Month</t>
  </si>
  <si>
    <t>About 2.5 selects per working day across all customers</t>
  </si>
  <si>
    <t>Sel -&gt; Onboard Rate (%)</t>
  </si>
  <si>
    <t>Historical: 80% of selects actually onboard</t>
  </si>
  <si>
    <t>Target Onboards / Month</t>
  </si>
  <si>
    <t>Onboards = Selects multiplied by OB Rate (auto)</t>
  </si>
  <si>
    <t>Avg PO per OB — blended (Rs L)</t>
  </si>
  <si>
    <t>Gross PO Needed divided by total OBs (auto)</t>
  </si>
  <si>
    <t>Repeat Demand % (global)</t>
  </si>
  <si>
    <t>80% of demands are REPEAT roles (same profile, known JD) — submit 3-4 profiles directly. 20% are NEW demands — submit 2 first, wait for client validation, then send 2 more. Change this % if your customer mix shifts.</t>
  </si>
  <si>
    <t>Revenue Model OBs (from customer build)</t>
  </si>
  <si>
    <t>Revenue Model Selects Needed</t>
  </si>
  <si>
    <t>Compare this to C10 (Target Selects). If different, the revenue targets and the select target are inconsistent — update C10 to match.</t>
  </si>
  <si>
    <t>SECTION B — CUSTOMER TARGETS  (June 2026  |  All ₹ in Lakhs)</t>
  </si>
  <si>
    <t>Customer</t>
  </si>
  <si>
    <t>Net PO
Target ₹L</t>
  </si>
  <si>
    <t>Exit
Alloc ₹L</t>
  </si>
  <si>
    <t>Gross PO
Target ₹L</t>
  </si>
  <si>
    <t>Avg PO
per OB ₹L</t>
  </si>
  <si>
    <t>OBs
Needed</t>
  </si>
  <si>
    <t>Selects
Needed</t>
  </si>
  <si>
    <t>Daily
Selects</t>
  </si>
  <si>
    <t>Daily
OBs</t>
  </si>
  <si>
    <t>May Carry-
Fwd OBs</t>
  </si>
  <si>
    <t>Deloitte MB</t>
  </si>
  <si>
    <t>DTICI</t>
  </si>
  <si>
    <t>BSH</t>
  </si>
  <si>
    <t>Arcelor Mittal</t>
  </si>
  <si>
    <t>Pure Storage</t>
  </si>
  <si>
    <t>TOTAL</t>
  </si>
  <si>
    <t>↑ Check ≈ blended avg</t>
  </si>
  <si>
    <t>SECTION B2 — DEMAND CLASSIFICATION  (This drives Submissions. Change the blue cells. Repeat = familiar roles, submit 3-4 directly. New = first-time roles, submit 2, wait for validation, then 2 more.)</t>
  </si>
  <si>
    <t>Open Demand
Pool — June ✏️</t>
  </si>
  <si>
    <t>Repeat
Demand % ✏️</t>
  </si>
  <si>
    <t>Subs /
Repeat Demand ✏️</t>
  </si>
  <si>
    <t>Subs / New
Phase 1 ✏️</t>
  </si>
  <si>
    <t>Subs / New
Phase 2 (after
validation) ✏️</t>
  </si>
  <si>
    <t>Avg Subs /
Demand (auto)</t>
  </si>
  <si>
    <t>Monthly Subs
Target (auto)</t>
  </si>
  <si>
    <t>Daily Subs
Target (auto)</t>
  </si>
  <si>
    <t>Target Interviews
/ Day ✏️  ← SET THIS</t>
  </si>
  <si>
    <t>Monthly Interviews
(auto = J × WD)</t>
  </si>
  <si>
    <t>Total interviews/day should be 50-55. Sub total should be close to recruiter capacity (16x6=96/day).</t>
  </si>
  <si>
    <t>SECTION C — FUNNEL ASSUMPTIONS  (Interviews come from Section B2 direct target. Sub-&gt;Int% TARGET below is now a REQUIRED RATE — the rate the team must hit to generate those interviews from subs.)</t>
  </si>
  <si>
    <t>Sub-&gt;Interview
6M Historical</t>
  </si>
  <si>
    <t>Sub-&gt;Interview
Required Rate
(auto-calculated)</t>
  </si>
  <si>
    <t>Interview-&gt;Select
6M Historical</t>
  </si>
  <si>
    <t>Interview-&gt;Select
June TARGET ✏️</t>
  </si>
  <si>
    <t>Sel-&gt;OB TAT
Historical (days)</t>
  </si>
  <si>
    <t>Sel-&gt;OB TAT
June TARGET ✏️</t>
  </si>
  <si>
    <t>Screen Reject
Rate (est.) ✏️</t>
  </si>
  <si>
    <t>Monthly Subs
(from Demand Pool)</t>
  </si>
  <si>
    <t>Monthly Interviews
(from B2 direct target)</t>
  </si>
  <si>
    <t>Expected Selects
from Demand Subs</t>
  </si>
  <si>
    <t>SECTION D — RECRUITER SETUP  (16 Recruiters  |  Target 6 Submissions / Recruiter / Day)</t>
  </si>
  <si>
    <t>Recruiter Name</t>
  </si>
  <si>
    <t>Subs/Day
Target ✏️</t>
  </si>
  <si>
    <t>Primary
Customer ✏️</t>
  </si>
  <si>
    <t>Secondary
Customer ✏️</t>
  </si>
  <si>
    <t>Monthly Subs
Target (=Target×WD)</t>
  </si>
  <si>
    <t>A Arun Kumar</t>
  </si>
  <si>
    <t>DLs validate profiles — DLs NOT counted in submission targets</t>
  </si>
  <si>
    <t>Aishwarya</t>
  </si>
  <si>
    <t>Akula Swathi</t>
  </si>
  <si>
    <t>Aravindhan</t>
  </si>
  <si>
    <t>G Rekha</t>
  </si>
  <si>
    <t>Gopal</t>
  </si>
  <si>
    <t>Harish</t>
  </si>
  <si>
    <t>Harshitha</t>
  </si>
  <si>
    <t>Kiren</t>
  </si>
  <si>
    <t>Nagalakshmi</t>
  </si>
  <si>
    <t>Nikita</t>
  </si>
  <si>
    <t>Nithya</t>
  </si>
  <si>
    <t>Shivani</t>
  </si>
  <si>
    <t>Sravani RA</t>
  </si>
  <si>
    <t>Sridhar</t>
  </si>
  <si>
    <t>Vyasam Lalith</t>
  </si>
  <si>
    <t>TOTAL RECRUITER CAPACITY</t>
  </si>
  <si>
    <t>SECTION E — CAPACITY CHECK &amp; ALERTS  ⚠️  (Auto-calculated — Do Not Edit)</t>
  </si>
  <si>
    <t>Monthly Subs
Needed</t>
  </si>
  <si>
    <t>Monthly Subs
Capacity</t>
  </si>
  <si>
    <t>Subs
Surplus/Gap</t>
  </si>
  <si>
    <t>Daily Interviews
Needed</t>
  </si>
  <si>
    <t>KAMs Available</t>
  </si>
  <si>
    <t>Interviews / KAM
/ Day Needed</t>
  </si>
  <si>
    <t>Status</t>
  </si>
  <si>
    <t>SECTION F — 6-MONTH HISTORY  (Reference Only — Dec-25 to May-26  |  Source: BH Tracker May-26)</t>
  </si>
  <si>
    <t>Month</t>
  </si>
  <si>
    <t>Gross OB
HC</t>
  </si>
  <si>
    <t>Gross OB PO
(₹L)</t>
  </si>
  <si>
    <t>Exit HC</t>
  </si>
  <si>
    <t>Exit PO (₹L)</t>
  </si>
  <si>
    <t>Net PO (₹L)</t>
  </si>
  <si>
    <t>Subs</t>
  </si>
  <si>
    <t>Interviews</t>
  </si>
  <si>
    <t>Selections</t>
  </si>
  <si>
    <t>Sub→Int %</t>
  </si>
  <si>
    <t>Dec-25</t>
  </si>
  <si>
    <t>Jan-26</t>
  </si>
  <si>
    <t>Feb-26</t>
  </si>
  <si>
    <t>Mar-26</t>
  </si>
  <si>
    <t>Apr-26</t>
  </si>
  <si>
    <t>May-26</t>
  </si>
  <si>
    <t>Arcelor</t>
  </si>
  <si>
    <t>Pure Stor.</t>
  </si>
  <si>
    <t>📅  DEEPAK POD  |  JUNE 2026 DAILY TARGET RHYTHM  —  Updated daily by Deepak / Pod Leads</t>
  </si>
  <si>
    <t>BLUE = Targets (auto from assumptions) | For each working day: check demands, confirm subs are flowing, interview count, selects, OBs | Front-loaded OBs = May selections that join in June based on TAT</t>
  </si>
  <si>
    <t>JUNE SUMMARY — TARGET vs PLAN  (links to Assumptions Sheet 1)</t>
  </si>
  <si>
    <t>Metric</t>
  </si>
  <si>
    <t>Del MB</t>
  </si>
  <si>
    <t>Arcel</t>
  </si>
  <si>
    <t>PureStr</t>
  </si>
  <si>
    <t>Monthly Subs Needed</t>
  </si>
  <si>
    <t>Monthly Interviews Needed</t>
  </si>
  <si>
    <t>Monthly Selects Target</t>
  </si>
  <si>
    <t>Monthly Onboards Target</t>
  </si>
  <si>
    <t>DAILY TARGET TRACKER  —  Fill ACTUAL columns daily. Status auto-updates.</t>
  </si>
  <si>
    <t>Customer / Metric</t>
  </si>
  <si>
    <t>Monthly
Target</t>
  </si>
  <si>
    <t>Jun
Total</t>
  </si>
  <si>
    <t xml:space="preserve">  DELOITTE MB</t>
  </si>
  <si>
    <t>Demand Pool</t>
  </si>
  <si>
    <t>Repeat 80%: 200 demands x 4 subs = 800 subs    |    New 20%: 50 demands x (2+2) subs = 200 subs  (Phase 1 days 1-11 / Phase 2 days 12-22 after validation)</t>
  </si>
  <si>
    <t>Subs / Day</t>
  </si>
  <si>
    <t>Interviews / Day</t>
  </si>
  <si>
    <t>Selects / Day</t>
  </si>
  <si>
    <t>OBs — Weekly Target (Fridays)</t>
  </si>
  <si>
    <t>·</t>
  </si>
  <si>
    <t xml:space="preserve">  DTICI</t>
  </si>
  <si>
    <t>Repeat 80%: 160 demands x 4 subs = 640 subs    |    New 20%: 40 demands x (2+2) subs = 160 subs  (Phase 1 days 1-11 / Phase 2 days 12-22 after validation)</t>
  </si>
  <si>
    <t xml:space="preserve">  BSH</t>
  </si>
  <si>
    <t>Repeat 80%: 48 demands x 4 subs = 192 subs    |    New 20%: 12 demands x (2+2) subs = 48 subs  (Phase 1 days 1-11 / Phase 2 days 12-22 after validation)</t>
  </si>
  <si>
    <t xml:space="preserve">  ARCELOR MITTAL</t>
  </si>
  <si>
    <t>Repeat 80%: 40 demands x 4 subs = 160 subs    |    New 20%: 10 demands x (2+2) subs = 40 subs  (Phase 1 days 1-11 / Phase 2 days 12-22 after validation)</t>
  </si>
  <si>
    <t xml:space="preserve">  PURE STORAGE</t>
  </si>
  <si>
    <t>Repeat 80%: 20 demands x 4 subs = 80 subs    |    New 20%: 5 demands x (2+2) subs = 20 subs  (Phase 1 days 1-11 / Phase 2 days 12-22 after validation)</t>
  </si>
  <si>
    <t xml:space="preserve">  POD DAILY TOTALS  —  All Customers Combined</t>
  </si>
  <si>
    <t>Total Subs / Day</t>
  </si>
  <si>
    <t>Total Interviews / Day</t>
  </si>
  <si>
    <t>Total Selects / Day</t>
  </si>
  <si>
    <t>Total OBs — Weekly Target (Fridays)</t>
  </si>
  <si>
    <t>Select Pace (vs target)</t>
  </si>
  <si>
    <t>50 target</t>
  </si>
  <si>
    <t>check daily</t>
  </si>
  <si>
    <t xml:space="preserve">  RECRUITER CAPACITY CHECK  —  Change 'Subs/Rec/Day' or '# Recruiters' to model staffing scenarios</t>
  </si>
  <si>
    <t>Subs / Recruiter / Day  (change me)</t>
  </si>
  <si>
    <t>Number of Recruiters  (change me)</t>
  </si>
  <si>
    <t>Total Subs Needed / Day</t>
  </si>
  <si>
    <t>Recruiter Capacity / Day</t>
  </si>
  <si>
    <t>Gap  (+ = spare  /  - = shortfall)</t>
  </si>
  <si>
    <t>Additional Recruiters Needed</t>
  </si>
  <si>
    <t>see daily</t>
  </si>
  <si>
    <t xml:space="preserve">  KAM INTERVIEW CAPACITY CHECK  —  Change 'Interviews/KAM/Day' or '# KAMs' to model coverage scenarios</t>
  </si>
  <si>
    <t>Interviews / KAM / Day  (change me)</t>
  </si>
  <si>
    <t>Number of KAMs  (change me)</t>
  </si>
  <si>
    <t xml:space="preserve">  Per-Customer Interview Targets  (derived from Subs x Sub-&gt;Int% in Assumptions)</t>
  </si>
  <si>
    <t xml:space="preserve">  Deloitte MB</t>
  </si>
  <si>
    <t xml:space="preserve">  Arcelor Mittal</t>
  </si>
  <si>
    <t xml:space="preserve">  Pure Storage</t>
  </si>
  <si>
    <t>Total Interviews Needed / Day</t>
  </si>
  <si>
    <t>KAM Capacity / Day</t>
  </si>
  <si>
    <t>Additional KAMs Needed</t>
  </si>
  <si>
    <t>RECRUITER DAILY SUBMISSION PLAN  (Target: 6 subs/recruiter/day  |  16 Recruiters  |  Total: 96 subs/day)</t>
  </si>
  <si>
    <t>Recruiter</t>
  </si>
  <si>
    <t>Primary Customer</t>
  </si>
  <si>
    <t>Secondary Customer</t>
  </si>
  <si>
    <t>Daily Subs
Target</t>
  </si>
  <si>
    <t>Weekly
(x5)</t>
  </si>
  <si>
    <t>Monthly
(x22)</t>
  </si>
  <si>
    <t>Focus: Key Demands to Chase Today</t>
  </si>
  <si>
    <t>→ Pull profiles matching open demands for your primary customer. Update sourcing log daily.</t>
  </si>
  <si>
    <t>TOTAL POD CAPACITY</t>
  </si>
  <si>
    <t>KAM (KEY ACCOUNT MANAGER) TARGETS  —  Interviews × Customers  |  Target: Drive 50 Interviews / Day across Pod</t>
  </si>
  <si>
    <t>KAM Name</t>
  </si>
  <si>
    <t>Deloitte MB
Intv/Day</t>
  </si>
  <si>
    <t>DTICI
Intv/Day</t>
  </si>
  <si>
    <t>BSH
Intv/Day</t>
  </si>
  <si>
    <t>Arcelor
Intv/Day</t>
  </si>
  <si>
    <t>Pure Stor
Intv/Day</t>
  </si>
  <si>
    <t>Total
Intv/Day</t>
  </si>
  <si>
    <t>Monthly
Intv Total</t>
  </si>
  <si>
    <t>TAT Focus</t>
  </si>
  <si>
    <t>Key Action</t>
  </si>
  <si>
    <t>Saravanan P</t>
  </si>
  <si>
    <t>Reduce TAT → target 7-8 days</t>
  </si>
  <si>
    <t>BSH &amp; Deloitte — confirm slots 24h ahead. Reduce TAT for L1 to ≤ 8 days</t>
  </si>
  <si>
    <t>Tamil C</t>
  </si>
  <si>
    <t>DTICI &amp; BSH — ensure L2 slots available. Feedback within 24h</t>
  </si>
  <si>
    <t>Smithesh Sukumar</t>
  </si>
  <si>
    <t>Arcelor &amp; Deloitte — lock slots with procurement team. Proactive follow-up</t>
  </si>
  <si>
    <t>Rajat Tyagi</t>
  </si>
  <si>
    <t>DTICI &amp; Arcelor — build relationship with hiring managers. Weekly call</t>
  </si>
  <si>
    <t>TOTAL / DAY</t>
  </si>
  <si>
    <t>HRBP EXIT TRACKER  —  Exit Budget ₹5L max for June  |  CC + PO Closures + Resignations</t>
  </si>
  <si>
    <t>Exit
Budget ₹L</t>
  </si>
  <si>
    <t>Exits
Week 1</t>
  </si>
  <si>
    <t>Exits
Week 2</t>
  </si>
  <si>
    <t>Exits
Week 3</t>
  </si>
  <si>
    <t>Exits
Week 4</t>
  </si>
  <si>
    <t>Total
Actual ₹L</t>
  </si>
  <si>
    <t>Remaining
Budget ₹L</t>
  </si>
  <si>
    <t>HRBP Actions to Keep Exits Under Budget</t>
  </si>
  <si>
    <t>Engage all Deloitte MB consultants — check contract end dates. Flag any at risk.</t>
  </si>
  <si>
    <t>Review all DTICI consultants on rolling POs. Extend before expiry.</t>
  </si>
  <si>
    <t>BSH PO renewals — only 1 OB in May, no room for exits. Zero tolerance this month.</t>
  </si>
  <si>
    <t>Arcelor ramp is new — ensure joining formalities locked. No exits expected.</t>
  </si>
  <si>
    <t>Pure Storage — no active headcount. Track PO status weekly.</t>
  </si>
  <si>
    <t>⚠️  CAPACITY ALERT PANEL  —  Will our team size deliver ₹1 Crore?</t>
  </si>
  <si>
    <t>📣 Demand Target</t>
  </si>
  <si>
    <t>Need 250 demands/month in system by Day 10. Deloitte MB:100 | DTICI:80 | BSH:25 | Arcelor:25 | PureStr:20</t>
  </si>
  <si>
    <t>📝 Submissions</t>
  </si>
  <si>
    <t>16 recruiters × 6/day × 22 days = 2,112 subs/month capacity. Model needs ~2,100 subs. TIGHT — no buffer!</t>
  </si>
  <si>
    <t>🎤 Interviews</t>
  </si>
  <si>
    <t>4 KAMs target ~50 interviews/day combined = 1,100/month. Sufficient IF TAT reduces to ≤8 days.</t>
  </si>
  <si>
    <t>✅ Selects</t>
  </si>
  <si>
    <t>Target 50 selects/month = 2.3/day. Achievable IF interview volume hits 30+/day consistently.</t>
  </si>
  <si>
    <t>🎯 Onboards</t>
  </si>
  <si>
    <t>50 selects × 80% OB rate = 40 OBs. At avg ₹2.5L/OB = ₹100L gross. Minus ₹5L exits = ₹95-100L NET.</t>
  </si>
  <si>
    <t>⚠️ Recruiter Gap</t>
  </si>
  <si>
    <t>Current pod has 16 recruiters. If Sub→Int stays at 20% (historical), gap appears. Need to improve to 25%+ OR add 3-4 recruiters.</t>
  </si>
  <si>
    <t>⚠️ KAM Coverage</t>
  </si>
  <si>
    <t>4 KAMs for 5 customers. BSH + Arcelor under-covered. Meeting says: add 1 dedicated CAM for BSH (Bangalore) &amp; 1 for DTICI (Hyderabad).</t>
  </si>
  <si>
    <t>📅 TAT is Critical</t>
  </si>
  <si>
    <t>Sub→Interview TAT avg 15 days (historical). Reduce to 8 days target = doubles effective monthly throughput. Priority #1 action.</t>
  </si>
  <si>
    <t>🔴 11+11 Rule</t>
  </si>
  <si>
    <t>BSH: 11 demands must close | Merck/Deloitte: 11 demands must close. Non-negotiable per BH instruction. 3 recruiters focused exclusively.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</si>
</sst>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#0.0"/>
    <numFmt numFmtId="165" formatCode="0.0"/>
    <numFmt numFmtId="166" formatCode="0.0%"/>
    <numFmt numFmtId="167" formatCode="\₹##0.00"/>
  </numFmts>
  <fonts count="36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404040"/>
      <name val="Arial"/>
      <charset val="1"/>
    </font>
    <font>
      <b/>
      <sz val="10"/>
      <color rgb="FF0000FF"/>
      <name val="Arial"/>
      <charset val="1"/>
    </font>
    <font>
      <sz val="10"/>
      <color rgb="FF505050"/>
      <name val="Arial"/>
      <charset val="1"/>
    </font>
    <font>
      <b/>
      <sz val="10"/>
      <color rgb="FF000000"/>
      <name val="Arial"/>
      <charset val="1"/>
    </font>
    <font>
      <b/>
      <sz val="9"/>
      <color rgb="FFC00000"/>
      <name val="Arial"/>
      <charset val="1"/>
    </font>
    <font>
      <i/>
      <sz val="9"/>
      <color rgb="FFC00000"/>
      <name val="Arial"/>
      <charset val="1"/>
    </font>
    <font>
      <sz val="10"/>
      <color rgb="FF000000"/>
      <name val="Arial"/>
      <charset val="1"/>
    </font>
    <font>
      <sz val="10"/>
      <color rgb="FF404040"/>
      <name val="Arial"/>
      <charset val="1"/>
    </font>
    <font>
      <b/>
      <sz val="9"/>
      <color rgb="FFFFFFFF"/>
      <name val="Arial"/>
      <charset val="1"/>
    </font>
    <font>
      <i/>
      <sz val="10"/>
      <color rgb="FF606060"/>
      <name val="Arial"/>
      <charset val="1"/>
    </font>
    <font>
      <b/>
      <sz val="8"/>
      <color rgb="FFFFFFFF"/>
      <name val="Arial"/>
      <charset val="1"/>
    </font>
    <font>
      <i/>
      <sz val="8"/>
      <color rgb="FF2C5F2E"/>
      <name val="Arial"/>
      <charset val="1"/>
    </font>
    <font>
      <b/>
      <sz val="8"/>
      <color rgb="FF2C5F2E"/>
      <name val="Arial"/>
      <charset val="1"/>
    </font>
    <font>
      <sz val="9"/>
      <color rgb="FF303030"/>
      <name val="Arial"/>
      <charset val="1"/>
    </font>
    <font>
      <b/>
      <sz val="9"/>
      <color rgb="FF0000FF"/>
      <name val="Arial"/>
      <charset val="1"/>
    </font>
    <font>
      <sz val="8"/>
      <color rgb="FF0000FF"/>
      <name val="Arial"/>
      <charset val="1"/>
    </font>
    <font>
      <b/>
      <sz val="9"/>
      <color rgb="FF006400"/>
      <name val="Arial"/>
      <charset val="1"/>
    </font>
    <font>
      <sz val="8"/>
      <color rgb="FF006400"/>
      <name val="Arial"/>
      <charset val="1"/>
    </font>
    <font>
      <b/>
      <sz val="9"/>
      <color rgb="FF4A235A"/>
      <name val="Arial"/>
      <charset val="1"/>
    </font>
    <font>
      <sz val="8"/>
      <color rgb="FFBBBBBB"/>
      <name val="Arial"/>
      <charset val="1"/>
    </font>
    <font>
      <b/>
      <sz val="8"/>
      <color rgb="FF4A235A"/>
      <name val="Arial"/>
      <charset val="1"/>
    </font>
    <font>
      <b/>
      <sz val="8"/>
      <color rgb="FF006400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i/>
      <sz val="8"/>
      <color rgb="FF60606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C00000"/>
      <name val="Arial"/>
      <charset val="1"/>
    </font>
    <font>
      <sz val="10"/>
      <color rgb="FF0000FF"/>
      <name val="Arial"/>
      <charset val="1"/>
    </font>
    <font>
      <i/>
      <sz val="9"/>
      <color rgb="FF505050"/>
      <name val="Arial"/>
      <charset val="1"/>
    </font>
    <font>
      <b/>
      <sz val="10"/>
      <color rgb="FFC00000"/>
      <name val="Arial"/>
      <charset val="1"/>
    </font>
  </fonts>
  <fills count="41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F2F2F2"/>
        <bgColor rgb="FFEBF5FB"/>
      </patternFill>
    </fill>
    <fill>
      <patternFill patternType="solid">
        <fgColor rgb="FF2E75B6"/>
        <bgColor rgb="FF366B9E"/>
      </patternFill>
    </fill>
    <fill>
      <patternFill patternType="solid">
        <fgColor rgb="FFDCE6F1"/>
        <bgColor rgb="FFD6EAF8"/>
      </patternFill>
    </fill>
    <fill>
      <patternFill patternType="solid">
        <fgColor rgb="FFFFFFFF"/>
        <bgColor rgb="FFF7FAFF"/>
      </patternFill>
    </fill>
    <fill>
      <patternFill patternType="solid">
        <fgColor rgb="FFE2EFDA"/>
        <bgColor rgb="FFE8F8E8"/>
      </patternFill>
    </fill>
    <fill>
      <patternFill patternType="solid">
        <fgColor rgb="FFFFF3CD"/>
        <bgColor rgb="FFFFF2CC"/>
      </patternFill>
    </fill>
    <fill>
      <patternFill patternType="solid">
        <fgColor rgb="FFF7FAFF"/>
        <bgColor rgb="FFF9F9F9"/>
      </patternFill>
    </fill>
    <fill>
      <patternFill patternType="solid">
        <fgColor rgb="FFFFF2CC"/>
        <bgColor rgb="FFFFF3CD"/>
      </patternFill>
    </fill>
    <fill>
      <patternFill patternType="solid">
        <fgColor rgb="FF2C5F2E"/>
        <bgColor rgb="FF1A6B3C"/>
      </patternFill>
    </fill>
    <fill>
      <patternFill patternType="solid">
        <fgColor rgb="FF1A5276"/>
        <bgColor rgb="FF1F4E79"/>
      </patternFill>
    </fill>
    <fill>
      <patternFill patternType="solid">
        <fgColor rgb="FFDCF1FF"/>
        <bgColor rgb="FFD6EAF8"/>
      </patternFill>
    </fill>
    <fill>
      <patternFill patternType="solid">
        <fgColor rgb="FFC00000"/>
        <bgColor rgb="FF7B0000"/>
      </patternFill>
    </fill>
    <fill>
      <patternFill patternType="solid">
        <fgColor rgb="FF595959"/>
        <bgColor rgb="FF606060"/>
      </patternFill>
    </fill>
    <fill>
      <patternFill patternType="solid">
        <fgColor rgb="FFF9F9F9"/>
        <bgColor rgb="FFF7FAFF"/>
      </patternFill>
    </fill>
    <fill>
      <patternFill patternType="solid">
        <fgColor rgb="FF2E4057"/>
        <bgColor rgb="FF1A3A5C"/>
      </patternFill>
    </fill>
    <fill>
      <patternFill patternType="solid">
        <fgColor rgb="FF1F6AA5"/>
        <bgColor rgb="FF1D5E8E"/>
      </patternFill>
    </fill>
    <fill>
      <patternFill patternType="solid">
        <fgColor rgb="FF3A86C4"/>
        <bgColor rgb="FF2E75B6"/>
      </patternFill>
    </fill>
    <fill>
      <patternFill patternType="solid">
        <fgColor rgb="FF1D5E8E"/>
        <bgColor rgb="FF2D5A8E"/>
      </patternFill>
    </fill>
    <fill>
      <patternFill patternType="solid">
        <fgColor rgb="FF366B9E"/>
        <bgColor rgb="FF2E75B6"/>
      </patternFill>
    </fill>
    <fill>
      <patternFill patternType="solid">
        <fgColor rgb="FF1A6B3C"/>
        <bgColor rgb="FF2C5F2E"/>
      </patternFill>
    </fill>
    <fill>
      <patternFill patternType="solid">
        <fgColor rgb="FFE8F8E8"/>
        <bgColor rgb="FFEBF5FB"/>
      </patternFill>
    </fill>
    <fill>
      <patternFill patternType="solid">
        <fgColor rgb="FFD6EAF8"/>
        <bgColor rgb="FFDCE6F1"/>
      </patternFill>
    </fill>
    <fill>
      <patternFill patternType="solid">
        <fgColor rgb="FFC8E6C9"/>
        <bgColor rgb="FFE0E0E0"/>
      </patternFill>
    </fill>
    <fill>
      <patternFill patternType="solid">
        <fgColor rgb="FFD5F5E3"/>
        <bgColor rgb="FFE2EFDA"/>
      </patternFill>
    </fill>
    <fill>
      <patternFill patternType="solid">
        <fgColor rgb="FFEDE7F6"/>
        <bgColor rgb="FFF2F2F2"/>
      </patternFill>
    </fill>
    <fill>
      <patternFill patternType="solid">
        <fgColor rgb="FFD1C4E9"/>
        <bgColor rgb="FFBFBFBF"/>
      </patternFill>
    </fill>
    <fill>
      <patternFill patternType="solid">
        <fgColor rgb="FFE0E0E0"/>
        <bgColor rgb="FFDCE6F1"/>
      </patternFill>
    </fill>
    <fill>
      <patternFill patternType="solid">
        <fgColor rgb="FF2E7D32"/>
        <bgColor rgb="FF1A6B3C"/>
      </patternFill>
    </fill>
    <fill>
      <patternFill patternType="solid">
        <fgColor rgb="FF6A1F1F"/>
        <bgColor rgb="FF4A235A"/>
      </patternFill>
    </fill>
    <fill>
      <patternFill patternType="solid">
        <fgColor rgb="FF4A235A"/>
        <bgColor rgb="FF303030"/>
      </patternFill>
    </fill>
    <fill>
      <patternFill patternType="solid">
        <fgColor rgb="FF1A3A5C"/>
        <bgColor rgb="FF2E4057"/>
      </patternFill>
    </fill>
    <fill>
      <patternFill patternType="solid">
        <fgColor rgb="FF2D5A8E"/>
        <bgColor rgb="FF1D5E8E"/>
      </patternFill>
    </fill>
    <fill>
      <patternFill patternType="solid">
        <fgColor rgb="FF7B3F00"/>
        <bgColor rgb="FF6A1F1F"/>
      </patternFill>
    </fill>
    <fill>
      <patternFill patternType="solid">
        <fgColor rgb="FFFFE4E4"/>
        <bgColor rgb="FFEDE7F6"/>
      </patternFill>
    </fill>
    <fill>
      <patternFill patternType="solid">
        <fgColor rgb="FFEBF5FB"/>
        <bgColor rgb="FFF2F2F2"/>
      </patternFill>
    </fill>
    <fill>
      <patternFill patternType="solid">
        <fgColor rgb="FFFAD7A0"/>
        <bgColor rgb="FFFFE4E4"/>
      </patternFill>
    </fill>
    <fill>
      <patternFill patternType="solid">
        <fgColor rgb="FFE8DAEF"/>
        <bgColor rgb="FFE0E0E0"/>
      </patternFill>
    </fill>
    <fill>
      <patternFill patternType="solid">
        <fgColor rgb="FF7B0000"/>
        <bgColor rgb="FF6A1F1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17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1" fontId="8" fillId="8" borderId="2" xfId="0" applyNumberFormat="1" applyFont="1" applyFill="1" applyBorder="1" applyAlignment="1">
      <alignment horizontal="center" vertical="center"/>
    </xf>
    <xf numFmtId="0" fontId="0" fillId="6" borderId="0" xfId="0" applyFill="1"/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center" vertical="center"/>
    </xf>
    <xf numFmtId="1" fontId="11" fillId="7" borderId="2" xfId="0" applyNumberFormat="1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164" fontId="8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1" fontId="8" fillId="10" borderId="2" xfId="0" applyNumberFormat="1" applyFont="1" applyFill="1" applyBorder="1" applyAlignment="1">
      <alignment horizontal="center" vertical="center"/>
    </xf>
    <xf numFmtId="165" fontId="8" fillId="10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165" fontId="8" fillId="7" borderId="2" xfId="0" applyNumberFormat="1" applyFont="1" applyFill="1" applyBorder="1" applyAlignment="1">
      <alignment horizontal="center" vertical="center"/>
    </xf>
    <xf numFmtId="1" fontId="8" fillId="13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166" fontId="11" fillId="10" borderId="2" xfId="0" applyNumberFormat="1" applyFont="1" applyFill="1" applyBorder="1" applyAlignment="1">
      <alignment horizontal="center" vertical="center"/>
    </xf>
    <xf numFmtId="166" fontId="8" fillId="13" borderId="2" xfId="0" applyNumberFormat="1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1" fontId="11" fillId="10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167" fontId="11" fillId="6" borderId="2" xfId="0" applyNumberFormat="1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/>
    </xf>
    <xf numFmtId="1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16" fontId="15" fillId="22" borderId="2" xfId="0" applyNumberFormat="1" applyFont="1" applyFill="1" applyBorder="1" applyAlignment="1">
      <alignment horizontal="center" vertical="center"/>
    </xf>
    <xf numFmtId="16" fontId="15" fillId="2" borderId="2" xfId="0" applyNumberFormat="1" applyFont="1" applyFill="1" applyBorder="1" applyAlignment="1">
      <alignment horizontal="center" vertical="center"/>
    </xf>
    <xf numFmtId="16" fontId="15" fillId="17" borderId="2" xfId="0" applyNumberFormat="1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left" vertical="center"/>
    </xf>
    <xf numFmtId="1" fontId="17" fillId="23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/>
    </xf>
    <xf numFmtId="1" fontId="19" fillId="5" borderId="2" xfId="0" applyNumberFormat="1" applyFont="1" applyFill="1" applyBorder="1" applyAlignment="1">
      <alignment horizontal="center" vertical="center"/>
    </xf>
    <xf numFmtId="1" fontId="20" fillId="24" borderId="2" xfId="0" applyNumberFormat="1" applyFont="1" applyFill="1" applyBorder="1" applyAlignment="1">
      <alignment horizontal="center" vertical="center"/>
    </xf>
    <xf numFmtId="1" fontId="20" fillId="5" borderId="2" xfId="0" applyNumberFormat="1" applyFont="1" applyFill="1" applyBorder="1" applyAlignment="1">
      <alignment horizontal="center" vertical="center"/>
    </xf>
    <xf numFmtId="1" fontId="20" fillId="25" borderId="2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2" fillId="26" borderId="2" xfId="0" applyNumberFormat="1" applyFont="1" applyFill="1" applyBorder="1" applyAlignment="1">
      <alignment horizontal="center" vertical="center"/>
    </xf>
    <xf numFmtId="1" fontId="22" fillId="7" borderId="2" xfId="0" applyNumberFormat="1" applyFont="1" applyFill="1" applyBorder="1" applyAlignment="1">
      <alignment horizontal="center" vertical="center"/>
    </xf>
    <xf numFmtId="0" fontId="23" fillId="27" borderId="2" xfId="0" applyFont="1" applyFill="1" applyBorder="1" applyAlignment="1">
      <alignment horizontal="left" vertical="center"/>
    </xf>
    <xf numFmtId="1" fontId="23" fillId="27" borderId="2" xfId="0" applyNumberFormat="1" applyFont="1" applyFill="1" applyBorder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1" fontId="25" fillId="28" borderId="2" xfId="0" applyNumberFormat="1" applyFont="1" applyFill="1" applyBorder="1" applyAlignment="1">
      <alignment horizontal="center" vertical="center"/>
    </xf>
    <xf numFmtId="1" fontId="23" fillId="28" borderId="2" xfId="0" applyNumberFormat="1" applyFont="1" applyFill="1" applyBorder="1" applyAlignment="1">
      <alignment horizontal="center" vertical="center"/>
    </xf>
    <xf numFmtId="0" fontId="0" fillId="29" borderId="0" xfId="0" applyFill="1"/>
    <xf numFmtId="0" fontId="13" fillId="34" borderId="2" xfId="0" applyFont="1" applyFill="1" applyBorder="1" applyAlignment="1">
      <alignment horizontal="left" vertical="center"/>
    </xf>
    <xf numFmtId="1" fontId="13" fillId="34" borderId="2" xfId="0" applyNumberFormat="1" applyFont="1" applyFill="1" applyBorder="1" applyAlignment="1">
      <alignment horizontal="center" vertical="center"/>
    </xf>
    <xf numFmtId="1" fontId="15" fillId="34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/>
    </xf>
    <xf numFmtId="1" fontId="26" fillId="7" borderId="2" xfId="0" applyNumberFormat="1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7" fillId="10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1" fontId="30" fillId="34" borderId="2" xfId="0" applyNumberFormat="1" applyFont="1" applyFill="1" applyBorder="1" applyAlignment="1">
      <alignment horizontal="center" vertical="center"/>
    </xf>
    <xf numFmtId="1" fontId="31" fillId="10" borderId="2" xfId="0" applyNumberFormat="1" applyFont="1" applyFill="1" applyBorder="1" applyAlignment="1">
      <alignment horizontal="center" vertical="center"/>
    </xf>
    <xf numFmtId="1" fontId="28" fillId="10" borderId="2" xfId="0" applyNumberFormat="1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left" vertical="center"/>
    </xf>
    <xf numFmtId="1" fontId="32" fillId="36" borderId="2" xfId="0" applyNumberFormat="1" applyFont="1" applyFill="1" applyBorder="1" applyAlignment="1">
      <alignment horizontal="center" vertical="center"/>
    </xf>
    <xf numFmtId="49" fontId="28" fillId="10" borderId="2" xfId="0" applyNumberFormat="1" applyFont="1" applyFill="1" applyBorder="1" applyAlignment="1">
      <alignment horizontal="center" vertical="center"/>
    </xf>
    <xf numFmtId="0" fontId="18" fillId="24" borderId="2" xfId="0" applyFont="1" applyFill="1" applyBorder="1" applyAlignment="1">
      <alignment horizontal="left" vertical="center"/>
    </xf>
    <xf numFmtId="1" fontId="19" fillId="24" borderId="2" xfId="0" applyNumberFormat="1" applyFont="1" applyFill="1" applyBorder="1" applyAlignment="1">
      <alignment horizontal="center" vertical="center"/>
    </xf>
    <xf numFmtId="0" fontId="18" fillId="26" borderId="2" xfId="0" applyFont="1" applyFill="1" applyBorder="1" applyAlignment="1">
      <alignment horizontal="left" vertical="center"/>
    </xf>
    <xf numFmtId="1" fontId="19" fillId="26" borderId="2" xfId="0" applyNumberFormat="1" applyFont="1" applyFill="1" applyBorder="1" applyAlignment="1">
      <alignment horizontal="center" vertical="center"/>
    </xf>
    <xf numFmtId="1" fontId="20" fillId="26" borderId="2" xfId="0" applyNumberFormat="1" applyFont="1" applyFill="1" applyBorder="1" applyAlignment="1">
      <alignment horizontal="center" vertical="center"/>
    </xf>
    <xf numFmtId="0" fontId="18" fillId="38" borderId="2" xfId="0" applyFont="1" applyFill="1" applyBorder="1" applyAlignment="1">
      <alignment horizontal="left" vertical="center"/>
    </xf>
    <xf numFmtId="1" fontId="19" fillId="38" borderId="2" xfId="0" applyNumberFormat="1" applyFont="1" applyFill="1" applyBorder="1" applyAlignment="1">
      <alignment horizontal="center" vertical="center"/>
    </xf>
    <xf numFmtId="1" fontId="20" fillId="38" borderId="2" xfId="0" applyNumberFormat="1" applyFont="1" applyFill="1" applyBorder="1" applyAlignment="1">
      <alignment horizontal="center" vertical="center"/>
    </xf>
    <xf numFmtId="0" fontId="18" fillId="39" borderId="2" xfId="0" applyFont="1" applyFill="1" applyBorder="1" applyAlignment="1">
      <alignment horizontal="left" vertical="center"/>
    </xf>
    <xf numFmtId="1" fontId="19" fillId="39" borderId="2" xfId="0" applyNumberFormat="1" applyFont="1" applyFill="1" applyBorder="1" applyAlignment="1">
      <alignment horizontal="center" vertical="center"/>
    </xf>
    <xf numFmtId="1" fontId="20" fillId="39" borderId="2" xfId="0" applyNumberFormat="1" applyFont="1" applyFill="1" applyBorder="1" applyAlignment="1">
      <alignment horizontal="center" vertical="center"/>
    </xf>
    <xf numFmtId="1" fontId="33" fillId="5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164" fontId="33" fillId="5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5" fillId="36" borderId="2" xfId="0" applyFont="1" applyFill="1" applyBorder="1" applyAlignment="1">
      <alignment horizontal="left" vertical="center" wrapText="1"/>
    </xf>
    <xf numFmtId="164" fontId="8" fillId="36" borderId="2" xfId="0" applyNumberFormat="1" applyFont="1" applyFill="1" applyBorder="1" applyAlignment="1">
      <alignment horizontal="center" vertical="center"/>
    </xf>
    <xf numFmtId="0" fontId="35" fillId="36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8" fillId="3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left" vertical="center"/>
    </xf>
    <xf numFmtId="0" fontId="4" fillId="31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/>
    </xf>
    <xf numFmtId="0" fontId="3" fillId="3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/>
    </xf>
    <xf numFmtId="0" fontId="34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40" borderId="2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8" fillId="36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EBF5FB"/>
      <rgbColor rgb="FF7B0000"/>
      <rgbColor rgb="FF006400"/>
      <rgbColor rgb="FF1F4E79"/>
      <rgbColor rgb="FF808000"/>
      <rgbColor rgb="FF800080"/>
      <rgbColor rgb="FF1D5E8E"/>
      <rgbColor rgb="FFBFBFBF"/>
      <rgbColor rgb="FF595959"/>
      <rgbColor rgb="FFC8E6C9"/>
      <rgbColor rgb="FF505050"/>
      <rgbColor rgb="FFFFF3CD"/>
      <rgbColor rgb="FFDCF1FF"/>
      <rgbColor rgb="FF4A235A"/>
      <rgbColor rgb="FFEDE7F6"/>
      <rgbColor rgb="FF1F6AA5"/>
      <rgbColor rgb="FFD1C4E9"/>
      <rgbColor rgb="FF1A5276"/>
      <rgbColor rgb="FFFF00FF"/>
      <rgbColor rgb="FFE8F8E8"/>
      <rgbColor rgb="FFF7FAFF"/>
      <rgbColor rgb="FF800080"/>
      <rgbColor rgb="FF6A1F1F"/>
      <rgbColor rgb="FF1A6B3C"/>
      <rgbColor rgb="FF0000FF"/>
      <rgbColor rgb="FF00CCFF"/>
      <rgbColor rgb="FFD6EAF8"/>
      <rgbColor rgb="FFD5F5E3"/>
      <rgbColor rgb="FFFFF2CC"/>
      <rgbColor rgb="FFBBBBBB"/>
      <rgbColor rgb="FFE0E0E0"/>
      <rgbColor rgb="FFE8DAEF"/>
      <rgbColor rgb="FFFAD7A0"/>
      <rgbColor rgb="FF2E75B6"/>
      <rgbColor rgb="FF3A86C4"/>
      <rgbColor rgb="FFDCE6F1"/>
      <rgbColor rgb="FFFFE4E4"/>
      <rgbColor rgb="FFF2F2F2"/>
      <rgbColor rgb="FFF9F9F9"/>
      <rgbColor rgb="FF606060"/>
      <rgbColor rgb="FF366B9E"/>
      <rgbColor rgb="FF1A3A5C"/>
      <rgbColor rgb="FF2E7D32"/>
      <rgbColor rgb="FF2C5F2E"/>
      <rgbColor rgb="FF404040"/>
      <rgbColor rgb="FF7B3F00"/>
      <rgbColor rgb="FF2D5A8E"/>
      <rgbColor rgb="FF2E4057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showGridLines="0" tabSelected="1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" customWidth="1"/>
    <col min="2" max="2" width="26" customWidth="1"/>
    <col min="3" max="10" width="14" customWidth="1"/>
    <col min="11" max="11" width="18" customWidth="1"/>
    <col min="12" max="12" width="3" customWidth="1"/>
  </cols>
  <sheetData>
    <row r="1" spans="2:11" ht="30" customHeight="1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21.75" customHeight="1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4" spans="2:11">
      <c r="B4" s="12" t="s">
        <v>2</v>
      </c>
      <c r="C4" s="12"/>
      <c r="D4" s="12"/>
      <c r="E4" s="12"/>
      <c r="F4" s="12"/>
      <c r="G4" s="12"/>
    </row>
    <row r="5" spans="2:11">
      <c r="B5" s="15" t="s">
        <v>3</v>
      </c>
      <c r="C5" s="15" t="s">
        <v>4</v>
      </c>
      <c r="D5" s="11" t="s">
        <v>5</v>
      </c>
      <c r="E5" s="11"/>
      <c r="F5" s="11"/>
      <c r="G5" s="11"/>
    </row>
    <row r="6" spans="2:11" ht="18" customHeight="1">
      <c r="B6" s="16" t="s">
        <v>6</v>
      </c>
      <c r="C6" s="17">
        <v>100</v>
      </c>
      <c r="D6" s="10" t="s">
        <v>7</v>
      </c>
      <c r="E6" s="10"/>
      <c r="F6" s="10"/>
      <c r="G6" s="10"/>
    </row>
    <row r="7" spans="2:11" ht="18" customHeight="1">
      <c r="B7" s="16" t="s">
        <v>8</v>
      </c>
      <c r="C7" s="17">
        <v>5</v>
      </c>
      <c r="D7" s="10" t="s">
        <v>9</v>
      </c>
      <c r="E7" s="10"/>
      <c r="F7" s="10"/>
      <c r="G7" s="10"/>
    </row>
    <row r="8" spans="2:11" ht="18" customHeight="1">
      <c r="B8" s="16" t="s">
        <v>10</v>
      </c>
      <c r="C8" s="18">
        <f>C6+C7</f>
        <v>105</v>
      </c>
      <c r="D8" s="10" t="s">
        <v>11</v>
      </c>
      <c r="E8" s="10"/>
      <c r="F8" s="10"/>
      <c r="G8" s="10"/>
    </row>
    <row r="9" spans="2:11" ht="18" customHeight="1">
      <c r="B9" s="16" t="s">
        <v>12</v>
      </c>
      <c r="C9" s="19">
        <v>22</v>
      </c>
      <c r="D9" s="10" t="s">
        <v>13</v>
      </c>
      <c r="E9" s="10"/>
      <c r="F9" s="10"/>
      <c r="G9" s="10"/>
    </row>
    <row r="10" spans="2:11" ht="18" customHeight="1">
      <c r="B10" s="16" t="s">
        <v>14</v>
      </c>
      <c r="C10" s="19">
        <v>50</v>
      </c>
      <c r="D10" s="10" t="s">
        <v>15</v>
      </c>
      <c r="E10" s="10"/>
      <c r="F10" s="10"/>
      <c r="G10" s="10"/>
    </row>
    <row r="11" spans="2:11" ht="18" customHeight="1">
      <c r="B11" s="16" t="s">
        <v>16</v>
      </c>
      <c r="C11" s="20">
        <v>0.8</v>
      </c>
      <c r="D11" s="10" t="s">
        <v>17</v>
      </c>
      <c r="E11" s="10"/>
      <c r="F11" s="10"/>
      <c r="G11" s="10"/>
    </row>
    <row r="12" spans="2:11" ht="18" customHeight="1">
      <c r="B12" s="16" t="s">
        <v>18</v>
      </c>
      <c r="C12" s="21">
        <f>C11*C10</f>
        <v>40</v>
      </c>
      <c r="D12" s="10" t="s">
        <v>19</v>
      </c>
      <c r="E12" s="10"/>
      <c r="F12" s="10"/>
      <c r="G12" s="10"/>
    </row>
    <row r="13" spans="2:11" ht="18" customHeight="1">
      <c r="B13" s="16" t="s">
        <v>20</v>
      </c>
      <c r="C13" s="18">
        <f>C8/C12</f>
        <v>2.625</v>
      </c>
      <c r="D13" s="10" t="s">
        <v>21</v>
      </c>
      <c r="E13" s="10"/>
      <c r="F13" s="10"/>
      <c r="G13" s="10"/>
    </row>
    <row r="14" spans="2:11" ht="18" customHeight="1">
      <c r="B14" s="16" t="s">
        <v>22</v>
      </c>
      <c r="C14" s="20">
        <v>0.8</v>
      </c>
      <c r="D14" s="10" t="s">
        <v>23</v>
      </c>
      <c r="E14" s="10"/>
      <c r="F14" s="10"/>
      <c r="G14" s="10"/>
    </row>
    <row r="15" spans="2:11" ht="19.5" customHeight="1">
      <c r="B15" s="22" t="s">
        <v>24</v>
      </c>
      <c r="C15" s="23">
        <f>SUM(G25:G29)</f>
        <v>60</v>
      </c>
      <c r="D15" s="9" t="str">
        <f>IF(SUM(G25:G29)=C12,"Consistent with top-down target","WARNING: Revenue build needs "&amp;SUM(G25:G29)&amp;" OBs but top-down target (C12) = "&amp;C12&amp;" OBs. Update C10 to "&amp;CEILING(SUM(G25:G29)/C11,1)&amp;" selects to align.")</f>
        <v>WARNING: Revenue build needs 60 OBs but top-down target (C12) = 40 OBs. Update C10 to 75 selects to align.</v>
      </c>
      <c r="E15" s="9"/>
      <c r="F15" s="9"/>
      <c r="G15" s="9"/>
    </row>
    <row r="16" spans="2:11" ht="19.5" customHeight="1">
      <c r="B16" s="22" t="s">
        <v>25</v>
      </c>
      <c r="C16" s="23">
        <f>CEILING(SUM(G25:G29)/C11,1)</f>
        <v>75</v>
      </c>
      <c r="D16" s="8" t="s">
        <v>26</v>
      </c>
      <c r="E16" s="8"/>
      <c r="F16" s="8"/>
      <c r="G16" s="8"/>
    </row>
    <row r="22" spans="1:20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>
      <c r="B23" s="12" t="s">
        <v>27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20" ht="30" customHeight="1">
      <c r="B24" s="25" t="s">
        <v>28</v>
      </c>
      <c r="C24" s="25" t="s">
        <v>29</v>
      </c>
      <c r="D24" s="25" t="s">
        <v>30</v>
      </c>
      <c r="E24" s="25" t="s">
        <v>31</v>
      </c>
      <c r="F24" s="25" t="s">
        <v>32</v>
      </c>
      <c r="G24" s="25" t="s">
        <v>33</v>
      </c>
      <c r="H24" s="25" t="s">
        <v>34</v>
      </c>
      <c r="I24" s="25" t="s">
        <v>35</v>
      </c>
      <c r="J24" s="25" t="s">
        <v>36</v>
      </c>
      <c r="K24" s="25" t="s">
        <v>37</v>
      </c>
    </row>
    <row r="25" spans="1:20" ht="19.5" customHeight="1">
      <c r="B25" s="26" t="s">
        <v>38</v>
      </c>
      <c r="C25" s="27">
        <v>40</v>
      </c>
      <c r="D25" s="27">
        <v>1.5</v>
      </c>
      <c r="E25" s="28">
        <f>C25+D25</f>
        <v>41.5</v>
      </c>
      <c r="F25" s="27">
        <v>1.52</v>
      </c>
      <c r="G25" s="29">
        <f>IFERROR(CEILING(E25/F25,1),0)</f>
        <v>28</v>
      </c>
      <c r="H25" s="29">
        <f>IFERROR(CEILING(G25/C$11,1),0)</f>
        <v>35</v>
      </c>
      <c r="I25" s="30">
        <f>IFERROR(ROUND(H25/C$9,2),0)</f>
        <v>1.59</v>
      </c>
      <c r="J25" s="30">
        <f>IFERROR(ROUND(G25/C$9,2),0)</f>
        <v>1.27</v>
      </c>
      <c r="K25" s="19">
        <v>2</v>
      </c>
    </row>
    <row r="26" spans="1:20" ht="19.5" customHeight="1">
      <c r="B26" s="31" t="s">
        <v>39</v>
      </c>
      <c r="C26" s="27">
        <v>25</v>
      </c>
      <c r="D26" s="27">
        <v>1.5</v>
      </c>
      <c r="E26" s="28">
        <f>C26+D26</f>
        <v>26.5</v>
      </c>
      <c r="F26" s="27">
        <v>1.8</v>
      </c>
      <c r="G26" s="29">
        <f>IFERROR(CEILING(E26/F26,1),0)</f>
        <v>15</v>
      </c>
      <c r="H26" s="29">
        <f>IFERROR(CEILING(G26/C$11,1),0)</f>
        <v>19</v>
      </c>
      <c r="I26" s="30">
        <f>IFERROR(ROUND(H26/C$9,2),0)</f>
        <v>0.86</v>
      </c>
      <c r="J26" s="30">
        <f>IFERROR(ROUND(G26/C$9,2),0)</f>
        <v>0.68</v>
      </c>
      <c r="K26" s="19">
        <v>2</v>
      </c>
    </row>
    <row r="27" spans="1:20" ht="19.5" customHeight="1">
      <c r="B27" s="26" t="s">
        <v>40</v>
      </c>
      <c r="C27" s="27">
        <v>20</v>
      </c>
      <c r="D27" s="27">
        <v>1</v>
      </c>
      <c r="E27" s="28">
        <f>C27+D27</f>
        <v>21</v>
      </c>
      <c r="F27" s="27">
        <v>2.61</v>
      </c>
      <c r="G27" s="29">
        <f>IFERROR(CEILING(E27/F27,1),0)</f>
        <v>9</v>
      </c>
      <c r="H27" s="29">
        <f>IFERROR(CEILING(G27/C$11,1),0)</f>
        <v>12</v>
      </c>
      <c r="I27" s="30">
        <f>IFERROR(ROUND(H27/C$9,2),0)</f>
        <v>0.55000000000000004</v>
      </c>
      <c r="J27" s="30">
        <f>IFERROR(ROUND(G27/C$9,2),0)</f>
        <v>0.41</v>
      </c>
      <c r="K27" s="19">
        <v>1</v>
      </c>
    </row>
    <row r="28" spans="1:20" ht="19.5" customHeight="1">
      <c r="B28" s="31" t="s">
        <v>41</v>
      </c>
      <c r="C28" s="27">
        <v>10</v>
      </c>
      <c r="D28" s="27">
        <v>0.5</v>
      </c>
      <c r="E28" s="28">
        <f>C28+D28</f>
        <v>10.5</v>
      </c>
      <c r="F28" s="27">
        <v>3.23</v>
      </c>
      <c r="G28" s="29">
        <f>IFERROR(CEILING(E28/F28,1),0)</f>
        <v>4</v>
      </c>
      <c r="H28" s="29">
        <f>IFERROR(CEILING(G28/C$11,1),0)</f>
        <v>5</v>
      </c>
      <c r="I28" s="30">
        <f>IFERROR(ROUND(H28/C$9,2),0)</f>
        <v>0.23</v>
      </c>
      <c r="J28" s="30">
        <f>IFERROR(ROUND(G28/C$9,2),0)</f>
        <v>0.18</v>
      </c>
      <c r="K28" s="19">
        <v>1</v>
      </c>
    </row>
    <row r="29" spans="1:20" ht="19.5" customHeight="1">
      <c r="B29" s="26" t="s">
        <v>42</v>
      </c>
      <c r="C29" s="27">
        <v>5</v>
      </c>
      <c r="D29" s="27">
        <v>0.5</v>
      </c>
      <c r="E29" s="28">
        <f>C29+D29</f>
        <v>5.5</v>
      </c>
      <c r="F29" s="27">
        <v>1.5</v>
      </c>
      <c r="G29" s="29">
        <f>IFERROR(CEILING(E29/F29,1),0)</f>
        <v>4</v>
      </c>
      <c r="H29" s="29">
        <f>IFERROR(CEILING(G29/C$11,1),0)</f>
        <v>5</v>
      </c>
      <c r="I29" s="30">
        <f>IFERROR(ROUND(H29/C$9,2),0)</f>
        <v>0.23</v>
      </c>
      <c r="J29" s="30">
        <f>IFERROR(ROUND(G29/C$9,2),0)</f>
        <v>0.18</v>
      </c>
      <c r="K29" s="19">
        <v>0</v>
      </c>
    </row>
    <row r="30" spans="1:20" ht="19.5" customHeight="1">
      <c r="B30" s="32" t="s">
        <v>43</v>
      </c>
      <c r="C30" s="33">
        <f>SUM(C25:C29)</f>
        <v>100</v>
      </c>
      <c r="D30" s="33">
        <f>SUM(D25:D29)</f>
        <v>5</v>
      </c>
      <c r="E30" s="33">
        <f>SUM(E25:E29)</f>
        <v>105</v>
      </c>
      <c r="F30" s="34" t="s">
        <v>44</v>
      </c>
      <c r="G30" s="35">
        <f>SUM(G25:G29)</f>
        <v>60</v>
      </c>
      <c r="H30" s="35">
        <f>SUM(H25:H29)</f>
        <v>76</v>
      </c>
      <c r="I30" s="36">
        <f>SUM(I25:I29)</f>
        <v>3.46</v>
      </c>
      <c r="J30" s="36">
        <f>SUM(J25:J29)</f>
        <v>2.7200000000000006</v>
      </c>
      <c r="K30" s="35">
        <f>SUM(K25:K29)</f>
        <v>6</v>
      </c>
    </row>
    <row r="32" spans="1:20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>
      <c r="B33" s="7" t="s">
        <v>45</v>
      </c>
      <c r="C33" s="7"/>
      <c r="D33" s="7"/>
      <c r="E33" s="7"/>
      <c r="F33" s="7"/>
      <c r="G33" s="7"/>
      <c r="H33" s="7"/>
      <c r="I33" s="7"/>
      <c r="J33" s="7"/>
      <c r="K33" s="7"/>
    </row>
    <row r="34" spans="1:20" ht="39.75" customHeight="1">
      <c r="B34" s="37" t="s">
        <v>28</v>
      </c>
      <c r="C34" s="37" t="s">
        <v>46</v>
      </c>
      <c r="D34" s="37" t="s">
        <v>47</v>
      </c>
      <c r="E34" s="37" t="s">
        <v>48</v>
      </c>
      <c r="F34" s="37" t="s">
        <v>49</v>
      </c>
      <c r="G34" s="37" t="s">
        <v>50</v>
      </c>
      <c r="H34" s="37" t="s">
        <v>51</v>
      </c>
      <c r="I34" s="37" t="s">
        <v>52</v>
      </c>
      <c r="J34" s="37" t="s">
        <v>53</v>
      </c>
      <c r="K34" s="38" t="s">
        <v>54</v>
      </c>
      <c r="L34" s="37" t="s">
        <v>55</v>
      </c>
    </row>
    <row r="35" spans="1:20" ht="19.5" customHeight="1">
      <c r="B35" s="26" t="s">
        <v>38</v>
      </c>
      <c r="C35" s="19">
        <v>250</v>
      </c>
      <c r="D35" s="20">
        <v>0.8</v>
      </c>
      <c r="E35" s="19">
        <v>4</v>
      </c>
      <c r="F35" s="19">
        <v>2</v>
      </c>
      <c r="G35" s="19">
        <v>2</v>
      </c>
      <c r="H35" s="39">
        <f>ROUND(D35*E35+(1-D35)*(F35+G35),1)</f>
        <v>4</v>
      </c>
      <c r="I35" s="21">
        <f>CEILING(C35*H35,1)</f>
        <v>1000</v>
      </c>
      <c r="J35" s="21">
        <f>CEILING(I35/C$9,1)</f>
        <v>46</v>
      </c>
      <c r="K35" s="19">
        <v>20</v>
      </c>
      <c r="L35" s="40">
        <f>K35*C$9</f>
        <v>440</v>
      </c>
    </row>
    <row r="36" spans="1:20" ht="19.5" customHeight="1">
      <c r="B36" s="31" t="s">
        <v>39</v>
      </c>
      <c r="C36" s="19">
        <v>200</v>
      </c>
      <c r="D36" s="20">
        <v>0.8</v>
      </c>
      <c r="E36" s="19">
        <v>4</v>
      </c>
      <c r="F36" s="19">
        <v>2</v>
      </c>
      <c r="G36" s="19">
        <v>2</v>
      </c>
      <c r="H36" s="39">
        <f>ROUND(D36*E36+(1-D36)*(F36+G36),1)</f>
        <v>4</v>
      </c>
      <c r="I36" s="21">
        <f>CEILING(C36*H36,1)</f>
        <v>800</v>
      </c>
      <c r="J36" s="21">
        <f>CEILING(I36/C$9,1)</f>
        <v>37</v>
      </c>
      <c r="K36" s="19">
        <v>14</v>
      </c>
      <c r="L36" s="40">
        <f>K36*C$9</f>
        <v>308</v>
      </c>
    </row>
    <row r="37" spans="1:20" ht="19.5" customHeight="1">
      <c r="B37" s="26" t="s">
        <v>40</v>
      </c>
      <c r="C37" s="19">
        <v>60</v>
      </c>
      <c r="D37" s="20">
        <v>0.8</v>
      </c>
      <c r="E37" s="19">
        <v>4</v>
      </c>
      <c r="F37" s="19">
        <v>2</v>
      </c>
      <c r="G37" s="19">
        <v>2</v>
      </c>
      <c r="H37" s="39">
        <f>ROUND(D37*E37+(1-D37)*(F37+G37),1)</f>
        <v>4</v>
      </c>
      <c r="I37" s="21">
        <f>CEILING(C37*H37,1)</f>
        <v>240</v>
      </c>
      <c r="J37" s="21">
        <f>CEILING(I37/C$9,1)</f>
        <v>11</v>
      </c>
      <c r="K37" s="19">
        <v>7</v>
      </c>
      <c r="L37" s="40">
        <f>K37*C$9</f>
        <v>154</v>
      </c>
    </row>
    <row r="38" spans="1:20" ht="19.5" customHeight="1">
      <c r="B38" s="31" t="s">
        <v>41</v>
      </c>
      <c r="C38" s="19">
        <v>50</v>
      </c>
      <c r="D38" s="20">
        <v>0.8</v>
      </c>
      <c r="E38" s="19">
        <v>4</v>
      </c>
      <c r="F38" s="19">
        <v>2</v>
      </c>
      <c r="G38" s="19">
        <v>2</v>
      </c>
      <c r="H38" s="39">
        <f>ROUND(D38*E38+(1-D38)*(F38+G38),1)</f>
        <v>4</v>
      </c>
      <c r="I38" s="21">
        <f>CEILING(C38*H38,1)</f>
        <v>200</v>
      </c>
      <c r="J38" s="21">
        <f>CEILING(I38/C$9,1)</f>
        <v>10</v>
      </c>
      <c r="K38" s="19">
        <v>5</v>
      </c>
      <c r="L38" s="40">
        <f>K38*C$9</f>
        <v>110</v>
      </c>
    </row>
    <row r="39" spans="1:20" ht="19.5" customHeight="1">
      <c r="B39" s="26" t="s">
        <v>42</v>
      </c>
      <c r="C39" s="19">
        <v>25</v>
      </c>
      <c r="D39" s="20">
        <v>0.8</v>
      </c>
      <c r="E39" s="19">
        <v>4</v>
      </c>
      <c r="F39" s="19">
        <v>2</v>
      </c>
      <c r="G39" s="19">
        <v>2</v>
      </c>
      <c r="H39" s="39">
        <f>ROUND(D39*E39+(1-D39)*(F39+G39),1)</f>
        <v>4</v>
      </c>
      <c r="I39" s="21">
        <f>CEILING(C39*H39,1)</f>
        <v>100</v>
      </c>
      <c r="J39" s="21">
        <f>CEILING(I39/C$9,1)</f>
        <v>5</v>
      </c>
      <c r="K39" s="19">
        <v>4</v>
      </c>
      <c r="L39" s="40">
        <f>K39*C$9</f>
        <v>88</v>
      </c>
    </row>
    <row r="40" spans="1:20" ht="19.5" customHeight="1">
      <c r="B40" s="32" t="s">
        <v>43</v>
      </c>
      <c r="C40" s="35">
        <f>SUM(C35:C39)</f>
        <v>585</v>
      </c>
      <c r="I40" s="35">
        <f>SUM(I35:I39)</f>
        <v>2340</v>
      </c>
      <c r="J40" s="35">
        <f>SUM(J35:J39)</f>
        <v>109</v>
      </c>
      <c r="K40" s="35">
        <f>SUM(K35:K39)</f>
        <v>50</v>
      </c>
      <c r="L40" s="35">
        <f>SUM(L35:L39)</f>
        <v>1100</v>
      </c>
      <c r="M40" s="41" t="s">
        <v>56</v>
      </c>
    </row>
    <row r="42" spans="1:20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spans="1:20">
      <c r="B43" s="12" t="s">
        <v>57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20" ht="39.75" customHeight="1">
      <c r="B44" s="42" t="s">
        <v>28</v>
      </c>
      <c r="C44" s="42" t="s">
        <v>58</v>
      </c>
      <c r="D44" s="42" t="s">
        <v>59</v>
      </c>
      <c r="E44" s="42" t="s">
        <v>60</v>
      </c>
      <c r="F44" s="42" t="s">
        <v>61</v>
      </c>
      <c r="G44" s="42" t="s">
        <v>62</v>
      </c>
      <c r="H44" s="42" t="s">
        <v>63</v>
      </c>
      <c r="I44" s="42" t="s">
        <v>64</v>
      </c>
      <c r="J44" s="42" t="s">
        <v>65</v>
      </c>
      <c r="K44" s="42" t="s">
        <v>66</v>
      </c>
      <c r="L44" s="42" t="s">
        <v>67</v>
      </c>
    </row>
    <row r="45" spans="1:20" ht="19.5" customHeight="1">
      <c r="B45" s="43" t="s">
        <v>38</v>
      </c>
      <c r="C45" s="44">
        <v>0.26</v>
      </c>
      <c r="D45" s="45">
        <f>IFERROR(ROUND('1. Assumptions'!L35/'1. Assumptions'!I35,3),0)</f>
        <v>0.44</v>
      </c>
      <c r="E45" s="44">
        <v>4.8000000000000001E-2</v>
      </c>
      <c r="F45" s="46">
        <v>0.08</v>
      </c>
      <c r="G45" s="47">
        <v>11</v>
      </c>
      <c r="H45" s="19">
        <v>8</v>
      </c>
      <c r="I45" s="20">
        <v>0.4</v>
      </c>
      <c r="J45" s="19">
        <f>'1. Assumptions'!I35</f>
        <v>1000</v>
      </c>
      <c r="K45" s="40">
        <f>'1. Assumptions'!L35</f>
        <v>440</v>
      </c>
      <c r="L45" s="47">
        <f>IFERROR(FLOOR(K45*F45,1),0)</f>
        <v>35</v>
      </c>
    </row>
    <row r="46" spans="1:20" ht="19.5" customHeight="1">
      <c r="B46" s="48" t="s">
        <v>39</v>
      </c>
      <c r="C46" s="44">
        <v>0.17699999999999999</v>
      </c>
      <c r="D46" s="45">
        <f>IFERROR(ROUND('1. Assumptions'!L36/'1. Assumptions'!I36,3),0)</f>
        <v>0.38500000000000001</v>
      </c>
      <c r="E46" s="44">
        <v>0.154</v>
      </c>
      <c r="F46" s="46">
        <v>0.18</v>
      </c>
      <c r="G46" s="47">
        <v>9</v>
      </c>
      <c r="H46" s="19">
        <v>7</v>
      </c>
      <c r="I46" s="20">
        <v>0.35</v>
      </c>
      <c r="J46" s="19">
        <f>'1. Assumptions'!I36</f>
        <v>800</v>
      </c>
      <c r="K46" s="40">
        <f>'1. Assumptions'!L36</f>
        <v>308</v>
      </c>
      <c r="L46" s="47">
        <f>IFERROR(FLOOR(K46*F46,1),0)</f>
        <v>55</v>
      </c>
    </row>
    <row r="47" spans="1:20" ht="19.5" customHeight="1">
      <c r="B47" s="43" t="s">
        <v>40</v>
      </c>
      <c r="C47" s="44">
        <v>0.34699999999999998</v>
      </c>
      <c r="D47" s="45">
        <f>IFERROR(ROUND('1. Assumptions'!L37/'1. Assumptions'!I37,3),0)</f>
        <v>0.64200000000000002</v>
      </c>
      <c r="E47" s="44">
        <v>5.8999999999999997E-2</v>
      </c>
      <c r="F47" s="46">
        <v>0.1</v>
      </c>
      <c r="G47" s="47">
        <v>8</v>
      </c>
      <c r="H47" s="19">
        <v>6</v>
      </c>
      <c r="I47" s="20">
        <v>0.3</v>
      </c>
      <c r="J47" s="19">
        <f>'1. Assumptions'!I37</f>
        <v>240</v>
      </c>
      <c r="K47" s="40">
        <f>'1. Assumptions'!L37</f>
        <v>154</v>
      </c>
      <c r="L47" s="47">
        <f>IFERROR(FLOOR(K47*F47,1),0)</f>
        <v>15</v>
      </c>
    </row>
    <row r="48" spans="1:20" ht="19.5" customHeight="1">
      <c r="B48" s="48" t="s">
        <v>41</v>
      </c>
      <c r="C48" s="44">
        <v>0.106</v>
      </c>
      <c r="D48" s="45">
        <f>IFERROR(ROUND('1. Assumptions'!L38/'1. Assumptions'!I38,3),0)</f>
        <v>0.55000000000000004</v>
      </c>
      <c r="E48" s="44">
        <v>4.2999999999999997E-2</v>
      </c>
      <c r="F48" s="46">
        <v>7.0000000000000007E-2</v>
      </c>
      <c r="G48" s="47">
        <v>16</v>
      </c>
      <c r="H48" s="19">
        <v>12</v>
      </c>
      <c r="I48" s="20">
        <v>0.45</v>
      </c>
      <c r="J48" s="19">
        <f>'1. Assumptions'!I38</f>
        <v>200</v>
      </c>
      <c r="K48" s="40">
        <f>'1. Assumptions'!L38</f>
        <v>110</v>
      </c>
      <c r="L48" s="47">
        <f>IFERROR(FLOOR(K48*F48,1),0)</f>
        <v>7</v>
      </c>
    </row>
    <row r="49" spans="1:20" ht="19.5" customHeight="1">
      <c r="B49" s="43" t="s">
        <v>42</v>
      </c>
      <c r="C49" s="44">
        <v>0.2</v>
      </c>
      <c r="D49" s="45">
        <f>IFERROR(ROUND('1. Assumptions'!L39/'1. Assumptions'!I39,3),0)</f>
        <v>0.88</v>
      </c>
      <c r="E49" s="44">
        <v>0.05</v>
      </c>
      <c r="F49" s="46">
        <v>0.08</v>
      </c>
      <c r="G49" s="47">
        <v>12</v>
      </c>
      <c r="H49" s="19">
        <v>10</v>
      </c>
      <c r="I49" s="20">
        <v>0.4</v>
      </c>
      <c r="J49" s="19">
        <f>'1. Assumptions'!I39</f>
        <v>100</v>
      </c>
      <c r="K49" s="40">
        <f>'1. Assumptions'!L39</f>
        <v>88</v>
      </c>
      <c r="L49" s="47">
        <f>IFERROR(FLOOR(K49*F49,1),0)</f>
        <v>7</v>
      </c>
    </row>
    <row r="52" spans="1:20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1:20">
      <c r="B53" s="12" t="s">
        <v>68</v>
      </c>
      <c r="C53" s="12"/>
      <c r="D53" s="12"/>
      <c r="E53" s="12"/>
      <c r="F53" s="12"/>
      <c r="G53" s="12"/>
      <c r="H53" s="12"/>
      <c r="I53" s="12"/>
      <c r="J53" s="12"/>
      <c r="K53" s="12"/>
    </row>
    <row r="54" spans="1:20" ht="30" customHeight="1">
      <c r="B54" s="25" t="s">
        <v>69</v>
      </c>
      <c r="C54" s="25" t="s">
        <v>70</v>
      </c>
      <c r="D54" s="25" t="s">
        <v>71</v>
      </c>
      <c r="E54" s="25" t="s">
        <v>72</v>
      </c>
      <c r="F54" s="25" t="s">
        <v>73</v>
      </c>
      <c r="G54" s="11" t="s">
        <v>5</v>
      </c>
      <c r="H54" s="11"/>
      <c r="I54" s="11"/>
      <c r="J54" s="11"/>
      <c r="K54" s="11"/>
    </row>
    <row r="55" spans="1:20" ht="18" customHeight="1">
      <c r="B55" s="43" t="s">
        <v>74</v>
      </c>
      <c r="C55" s="19">
        <v>6</v>
      </c>
      <c r="D55" s="17" t="s">
        <v>38</v>
      </c>
      <c r="E55" s="17" t="s">
        <v>39</v>
      </c>
      <c r="F55" s="29">
        <f>C55*C$9</f>
        <v>132</v>
      </c>
      <c r="G55" s="6" t="s">
        <v>75</v>
      </c>
      <c r="H55" s="6"/>
      <c r="I55" s="6"/>
      <c r="J55" s="6"/>
      <c r="K55" s="6"/>
    </row>
    <row r="56" spans="1:20" ht="18" customHeight="1">
      <c r="B56" s="48" t="s">
        <v>76</v>
      </c>
      <c r="C56" s="19">
        <v>6</v>
      </c>
      <c r="D56" s="17" t="s">
        <v>38</v>
      </c>
      <c r="E56" s="17" t="s">
        <v>40</v>
      </c>
      <c r="F56" s="29">
        <f>C56*C$9</f>
        <v>132</v>
      </c>
      <c r="G56" s="5" t="s">
        <v>75</v>
      </c>
      <c r="H56" s="5"/>
      <c r="I56" s="5"/>
      <c r="J56" s="5"/>
      <c r="K56" s="5"/>
    </row>
    <row r="57" spans="1:20" ht="18" customHeight="1">
      <c r="B57" s="43" t="s">
        <v>77</v>
      </c>
      <c r="C57" s="19">
        <v>6</v>
      </c>
      <c r="D57" s="17" t="s">
        <v>38</v>
      </c>
      <c r="E57" s="17" t="s">
        <v>40</v>
      </c>
      <c r="F57" s="29">
        <f>C57*C$9</f>
        <v>132</v>
      </c>
      <c r="G57" s="6" t="s">
        <v>75</v>
      </c>
      <c r="H57" s="6"/>
      <c r="I57" s="6"/>
      <c r="J57" s="6"/>
      <c r="K57" s="6"/>
    </row>
    <row r="58" spans="1:20" ht="18" customHeight="1">
      <c r="B58" s="48" t="s">
        <v>78</v>
      </c>
      <c r="C58" s="19">
        <v>6</v>
      </c>
      <c r="D58" s="17" t="s">
        <v>39</v>
      </c>
      <c r="E58" s="17" t="s">
        <v>38</v>
      </c>
      <c r="F58" s="29">
        <f>C58*C$9</f>
        <v>132</v>
      </c>
      <c r="G58" s="5" t="s">
        <v>75</v>
      </c>
      <c r="H58" s="5"/>
      <c r="I58" s="5"/>
      <c r="J58" s="5"/>
      <c r="K58" s="5"/>
    </row>
    <row r="59" spans="1:20" ht="18" customHeight="1">
      <c r="B59" s="43" t="s">
        <v>79</v>
      </c>
      <c r="C59" s="19">
        <v>6</v>
      </c>
      <c r="D59" s="17" t="s">
        <v>39</v>
      </c>
      <c r="E59" s="17" t="s">
        <v>41</v>
      </c>
      <c r="F59" s="29">
        <f>C59*C$9</f>
        <v>132</v>
      </c>
      <c r="G59" s="6" t="s">
        <v>75</v>
      </c>
      <c r="H59" s="6"/>
      <c r="I59" s="6"/>
      <c r="J59" s="6"/>
      <c r="K59" s="6"/>
    </row>
    <row r="60" spans="1:20" ht="18" customHeight="1">
      <c r="B60" s="48" t="s">
        <v>80</v>
      </c>
      <c r="C60" s="19">
        <v>6</v>
      </c>
      <c r="D60" s="17" t="s">
        <v>40</v>
      </c>
      <c r="E60" s="17" t="s">
        <v>39</v>
      </c>
      <c r="F60" s="29">
        <f>C60*C$9</f>
        <v>132</v>
      </c>
      <c r="G60" s="5" t="s">
        <v>75</v>
      </c>
      <c r="H60" s="5"/>
      <c r="I60" s="5"/>
      <c r="J60" s="5"/>
      <c r="K60" s="5"/>
    </row>
    <row r="61" spans="1:20" ht="18" customHeight="1">
      <c r="B61" s="43" t="s">
        <v>81</v>
      </c>
      <c r="C61" s="19">
        <v>6</v>
      </c>
      <c r="D61" s="17" t="s">
        <v>40</v>
      </c>
      <c r="E61" s="17" t="s">
        <v>41</v>
      </c>
      <c r="F61" s="29">
        <f>C61*C$9</f>
        <v>132</v>
      </c>
      <c r="G61" s="6" t="s">
        <v>75</v>
      </c>
      <c r="H61" s="6"/>
      <c r="I61" s="6"/>
      <c r="J61" s="6"/>
      <c r="K61" s="6"/>
    </row>
    <row r="62" spans="1:20" ht="18" customHeight="1">
      <c r="B62" s="48" t="s">
        <v>82</v>
      </c>
      <c r="C62" s="19">
        <v>6</v>
      </c>
      <c r="D62" s="17" t="s">
        <v>41</v>
      </c>
      <c r="E62" s="17" t="s">
        <v>40</v>
      </c>
      <c r="F62" s="29">
        <f>C62*C$9</f>
        <v>132</v>
      </c>
      <c r="G62" s="5" t="s">
        <v>75</v>
      </c>
      <c r="H62" s="5"/>
      <c r="I62" s="5"/>
      <c r="J62" s="5"/>
      <c r="K62" s="5"/>
    </row>
    <row r="63" spans="1:20" ht="18" customHeight="1">
      <c r="B63" s="43" t="s">
        <v>83</v>
      </c>
      <c r="C63" s="19">
        <v>6</v>
      </c>
      <c r="D63" s="17" t="s">
        <v>38</v>
      </c>
      <c r="E63" s="17" t="s">
        <v>39</v>
      </c>
      <c r="F63" s="29">
        <f>C63*C$9</f>
        <v>132</v>
      </c>
      <c r="G63" s="6" t="s">
        <v>75</v>
      </c>
      <c r="H63" s="6"/>
      <c r="I63" s="6"/>
      <c r="J63" s="6"/>
      <c r="K63" s="6"/>
    </row>
    <row r="64" spans="1:20" ht="18" customHeight="1">
      <c r="B64" s="48" t="s">
        <v>84</v>
      </c>
      <c r="C64" s="19">
        <v>6</v>
      </c>
      <c r="D64" s="17" t="s">
        <v>38</v>
      </c>
      <c r="E64" s="17" t="s">
        <v>41</v>
      </c>
      <c r="F64" s="29">
        <f>C64*C$9</f>
        <v>132</v>
      </c>
      <c r="G64" s="5" t="s">
        <v>75</v>
      </c>
      <c r="H64" s="5"/>
      <c r="I64" s="5"/>
      <c r="J64" s="5"/>
      <c r="K64" s="5"/>
    </row>
    <row r="65" spans="1:20" ht="18" customHeight="1">
      <c r="B65" s="43" t="s">
        <v>85</v>
      </c>
      <c r="C65" s="19">
        <v>6</v>
      </c>
      <c r="D65" s="17" t="s">
        <v>39</v>
      </c>
      <c r="E65" s="17" t="s">
        <v>38</v>
      </c>
      <c r="F65" s="29">
        <f>C65*C$9</f>
        <v>132</v>
      </c>
      <c r="G65" s="6" t="s">
        <v>75</v>
      </c>
      <c r="H65" s="6"/>
      <c r="I65" s="6"/>
      <c r="J65" s="6"/>
      <c r="K65" s="6"/>
    </row>
    <row r="66" spans="1:20" ht="18" customHeight="1">
      <c r="B66" s="48" t="s">
        <v>86</v>
      </c>
      <c r="C66" s="19">
        <v>6</v>
      </c>
      <c r="D66" s="17" t="s">
        <v>38</v>
      </c>
      <c r="E66" s="17" t="s">
        <v>39</v>
      </c>
      <c r="F66" s="29">
        <f>C66*C$9</f>
        <v>132</v>
      </c>
      <c r="G66" s="5" t="s">
        <v>75</v>
      </c>
      <c r="H66" s="5"/>
      <c r="I66" s="5"/>
      <c r="J66" s="5"/>
      <c r="K66" s="5"/>
    </row>
    <row r="67" spans="1:20" ht="18" customHeight="1">
      <c r="B67" s="43" t="s">
        <v>87</v>
      </c>
      <c r="C67" s="19">
        <v>6</v>
      </c>
      <c r="D67" s="17" t="s">
        <v>40</v>
      </c>
      <c r="E67" s="17" t="s">
        <v>42</v>
      </c>
      <c r="F67" s="29">
        <f>C67*C$9</f>
        <v>132</v>
      </c>
      <c r="G67" s="6" t="s">
        <v>75</v>
      </c>
      <c r="H67" s="6"/>
      <c r="I67" s="6"/>
      <c r="J67" s="6"/>
      <c r="K67" s="6"/>
    </row>
    <row r="68" spans="1:20" ht="18" customHeight="1">
      <c r="B68" s="48" t="s">
        <v>88</v>
      </c>
      <c r="C68" s="19">
        <v>6</v>
      </c>
      <c r="D68" s="17" t="s">
        <v>39</v>
      </c>
      <c r="E68" s="17" t="s">
        <v>40</v>
      </c>
      <c r="F68" s="29">
        <f>C68*C$9</f>
        <v>132</v>
      </c>
      <c r="G68" s="5" t="s">
        <v>75</v>
      </c>
      <c r="H68" s="5"/>
      <c r="I68" s="5"/>
      <c r="J68" s="5"/>
      <c r="K68" s="5"/>
    </row>
    <row r="69" spans="1:20" ht="18" customHeight="1">
      <c r="B69" s="43" t="s">
        <v>89</v>
      </c>
      <c r="C69" s="19">
        <v>6</v>
      </c>
      <c r="D69" s="17" t="s">
        <v>42</v>
      </c>
      <c r="E69" s="17" t="s">
        <v>39</v>
      </c>
      <c r="F69" s="29">
        <f>C69*C$9</f>
        <v>132</v>
      </c>
      <c r="G69" s="6" t="s">
        <v>75</v>
      </c>
      <c r="H69" s="6"/>
      <c r="I69" s="6"/>
      <c r="J69" s="6"/>
      <c r="K69" s="6"/>
    </row>
    <row r="70" spans="1:20" ht="18" customHeight="1">
      <c r="B70" s="48" t="s">
        <v>90</v>
      </c>
      <c r="C70" s="19">
        <v>6</v>
      </c>
      <c r="D70" s="17" t="s">
        <v>41</v>
      </c>
      <c r="E70" s="17" t="s">
        <v>42</v>
      </c>
      <c r="F70" s="29">
        <f>C70*C$9</f>
        <v>132</v>
      </c>
      <c r="G70" s="5" t="s">
        <v>75</v>
      </c>
      <c r="H70" s="5"/>
      <c r="I70" s="5"/>
      <c r="J70" s="5"/>
      <c r="K70" s="5"/>
    </row>
    <row r="71" spans="1:20" ht="19.5" customHeight="1">
      <c r="B71" s="32" t="s">
        <v>91</v>
      </c>
      <c r="C71" s="35">
        <f>SUM(C55:C70)</f>
        <v>96</v>
      </c>
      <c r="D71" s="49"/>
      <c r="E71" s="49"/>
      <c r="F71" s="35">
        <f>SUM(F55:F70)</f>
        <v>2112</v>
      </c>
    </row>
    <row r="73" spans="1:20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spans="1:20">
      <c r="B74" s="4" t="s">
        <v>92</v>
      </c>
      <c r="C74" s="4"/>
      <c r="D74" s="4"/>
      <c r="E74" s="4"/>
      <c r="F74" s="4"/>
      <c r="G74" s="4"/>
      <c r="H74" s="4"/>
      <c r="I74" s="4"/>
      <c r="J74" s="4"/>
      <c r="K74" s="4"/>
    </row>
    <row r="75" spans="1:20" ht="30" customHeight="1">
      <c r="B75" s="25" t="s">
        <v>28</v>
      </c>
      <c r="C75" s="25" t="s">
        <v>93</v>
      </c>
      <c r="D75" s="25" t="s">
        <v>94</v>
      </c>
      <c r="E75" s="25" t="s">
        <v>95</v>
      </c>
      <c r="F75" s="25" t="s">
        <v>96</v>
      </c>
      <c r="G75" s="25" t="s">
        <v>97</v>
      </c>
      <c r="H75" s="25" t="s">
        <v>98</v>
      </c>
      <c r="I75" s="25" t="s">
        <v>99</v>
      </c>
    </row>
    <row r="76" spans="1:20" ht="19.5" customHeight="1">
      <c r="B76" s="26" t="s">
        <v>38</v>
      </c>
      <c r="C76" s="50">
        <f>J45</f>
        <v>1000</v>
      </c>
      <c r="D76" s="51">
        <f>7*6*C$9</f>
        <v>924</v>
      </c>
      <c r="E76" s="50">
        <f>D76-C76</f>
        <v>-76</v>
      </c>
      <c r="F76" s="52">
        <f>IFERROR(ROUND(K45/C$9,1),0)</f>
        <v>20</v>
      </c>
      <c r="G76" s="51">
        <f>4</f>
        <v>4</v>
      </c>
      <c r="H76" s="52">
        <f>IFERROR(ROUND(F76/G76,1),0)</f>
        <v>5</v>
      </c>
      <c r="I76" s="3" t="str">
        <f>IF(D76&lt;C76,"⚠️ RECRUITER SHORTFALL — need more subs","✅ OK")</f>
        <v>⚠️ RECRUITER SHORTFALL — need more subs</v>
      </c>
      <c r="J76" s="3"/>
      <c r="K76" s="3"/>
    </row>
    <row r="77" spans="1:20" ht="19.5" customHeight="1">
      <c r="B77" s="31" t="s">
        <v>39</v>
      </c>
      <c r="C77" s="50">
        <f>J46</f>
        <v>800</v>
      </c>
      <c r="D77" s="51">
        <f>4*6*C$9</f>
        <v>528</v>
      </c>
      <c r="E77" s="50">
        <f>D77-C77</f>
        <v>-272</v>
      </c>
      <c r="F77" s="52">
        <f>IFERROR(ROUND(K46/C$9,1),0)</f>
        <v>14</v>
      </c>
      <c r="G77" s="51">
        <f>4</f>
        <v>4</v>
      </c>
      <c r="H77" s="52">
        <f>IFERROR(ROUND(F77/G77,1),0)</f>
        <v>3.5</v>
      </c>
      <c r="I77" s="53" t="str">
        <f>IF(D77&lt;C77,"⚠️ RECRUITER SHORTFALL — need more subs","✅ OK")</f>
        <v>⚠️ RECRUITER SHORTFALL — need more subs</v>
      </c>
    </row>
    <row r="78" spans="1:20" ht="19.5" customHeight="1">
      <c r="B78" s="26" t="s">
        <v>40</v>
      </c>
      <c r="C78" s="50">
        <f>J47</f>
        <v>240</v>
      </c>
      <c r="D78" s="51">
        <f>3*6*C$9</f>
        <v>396</v>
      </c>
      <c r="E78" s="50">
        <f>D78-C78</f>
        <v>156</v>
      </c>
      <c r="F78" s="52">
        <f>IFERROR(ROUND(K47/C$9,1),0)</f>
        <v>7</v>
      </c>
      <c r="G78" s="51">
        <f>4</f>
        <v>4</v>
      </c>
      <c r="H78" s="52">
        <f>IFERROR(ROUND(F78/G78,1),0)</f>
        <v>1.8</v>
      </c>
      <c r="I78" s="53" t="str">
        <f>IF(D78&lt;C78,"⚠️ RECRUITER SHORTFALL — need more subs","✅ OK")</f>
        <v>✅ OK</v>
      </c>
    </row>
    <row r="79" spans="1:20" ht="19.5" customHeight="1">
      <c r="B79" s="31" t="s">
        <v>41</v>
      </c>
      <c r="C79" s="50">
        <f>J48</f>
        <v>200</v>
      </c>
      <c r="D79" s="51">
        <f>2*6*C$9</f>
        <v>264</v>
      </c>
      <c r="E79" s="50">
        <f>D79-C79</f>
        <v>64</v>
      </c>
      <c r="F79" s="52">
        <f>IFERROR(ROUND(K48/C$9,1),0)</f>
        <v>5</v>
      </c>
      <c r="G79" s="51">
        <f>4</f>
        <v>4</v>
      </c>
      <c r="H79" s="52">
        <f>IFERROR(ROUND(F79/G79,1),0)</f>
        <v>1.3</v>
      </c>
      <c r="I79" s="53" t="str">
        <f>IF(D79&lt;C79,"⚠️ RECRUITER SHORTFALL — need more subs","✅ OK")</f>
        <v>✅ OK</v>
      </c>
    </row>
    <row r="80" spans="1:20" ht="19.5" customHeight="1">
      <c r="B80" s="26" t="s">
        <v>42</v>
      </c>
      <c r="C80" s="50">
        <f>J49</f>
        <v>100</v>
      </c>
      <c r="D80" s="51">
        <f>2*6*C$9</f>
        <v>264</v>
      </c>
      <c r="E80" s="50">
        <f>D80-C80</f>
        <v>164</v>
      </c>
      <c r="F80" s="52">
        <f>IFERROR(ROUND(K49/C$9,1),0)</f>
        <v>4</v>
      </c>
      <c r="G80" s="51">
        <f>4</f>
        <v>4</v>
      </c>
      <c r="H80" s="52">
        <f>IFERROR(ROUND(F80/G80,1),0)</f>
        <v>1</v>
      </c>
      <c r="I80" s="53" t="str">
        <f>IF(D80&lt;C80,"⚠️ RECRUITER SHORTFALL — need more subs","✅ OK")</f>
        <v>✅ OK</v>
      </c>
    </row>
    <row r="83" spans="1:20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spans="1:20">
      <c r="B84" s="2" t="s">
        <v>100</v>
      </c>
      <c r="C84" s="2"/>
      <c r="D84" s="2"/>
      <c r="E84" s="2"/>
      <c r="F84" s="2"/>
      <c r="G84" s="2"/>
      <c r="H84" s="2"/>
      <c r="I84" s="2"/>
      <c r="J84" s="2"/>
      <c r="K84" s="2"/>
    </row>
    <row r="85" spans="1:20" ht="30" customHeight="1">
      <c r="B85" s="54" t="s">
        <v>28</v>
      </c>
      <c r="C85" s="54" t="s">
        <v>101</v>
      </c>
      <c r="D85" s="54" t="s">
        <v>102</v>
      </c>
      <c r="E85" s="54" t="s">
        <v>103</v>
      </c>
      <c r="F85" s="54" t="s">
        <v>104</v>
      </c>
      <c r="G85" s="54" t="s">
        <v>105</v>
      </c>
      <c r="H85" s="54" t="s">
        <v>106</v>
      </c>
      <c r="I85" s="54" t="s">
        <v>107</v>
      </c>
      <c r="J85" s="54" t="s">
        <v>108</v>
      </c>
      <c r="K85" s="54" t="s">
        <v>109</v>
      </c>
      <c r="L85" s="54" t="s">
        <v>110</v>
      </c>
    </row>
    <row r="86" spans="1:20" ht="16.5" customHeight="1">
      <c r="B86" s="43" t="s">
        <v>38</v>
      </c>
      <c r="C86" s="55" t="s">
        <v>111</v>
      </c>
      <c r="D86" s="50">
        <v>0</v>
      </c>
      <c r="E86" s="56">
        <v>0</v>
      </c>
      <c r="F86" s="50">
        <v>0</v>
      </c>
      <c r="G86" s="56">
        <v>0</v>
      </c>
      <c r="H86" s="56">
        <v>0</v>
      </c>
      <c r="I86" s="50">
        <v>0</v>
      </c>
      <c r="J86" s="50">
        <v>0</v>
      </c>
      <c r="K86" s="50">
        <v>0</v>
      </c>
    </row>
    <row r="87" spans="1:20" ht="16.5" customHeight="1">
      <c r="B87" s="57" t="s">
        <v>38</v>
      </c>
      <c r="C87" s="58" t="s">
        <v>112</v>
      </c>
      <c r="D87" s="59">
        <v>0</v>
      </c>
      <c r="E87" s="60">
        <v>0</v>
      </c>
      <c r="F87" s="59">
        <v>0</v>
      </c>
      <c r="G87" s="60">
        <v>0</v>
      </c>
      <c r="H87" s="60">
        <v>0</v>
      </c>
      <c r="I87" s="59">
        <v>0</v>
      </c>
      <c r="J87" s="59">
        <v>0</v>
      </c>
      <c r="K87" s="59">
        <v>0</v>
      </c>
    </row>
    <row r="88" spans="1:20" ht="16.5" customHeight="1">
      <c r="B88" s="43" t="s">
        <v>38</v>
      </c>
      <c r="C88" s="55" t="s">
        <v>113</v>
      </c>
      <c r="D88" s="50">
        <v>1</v>
      </c>
      <c r="E88" s="56">
        <v>1.1499999999999999</v>
      </c>
      <c r="F88" s="50">
        <v>0</v>
      </c>
      <c r="G88" s="56">
        <v>0</v>
      </c>
      <c r="H88" s="56">
        <v>1.1499999999999999</v>
      </c>
      <c r="I88" s="50">
        <v>0</v>
      </c>
      <c r="J88" s="50">
        <v>0</v>
      </c>
      <c r="K88" s="50">
        <v>0</v>
      </c>
    </row>
    <row r="89" spans="1:20" ht="16.5" customHeight="1">
      <c r="B89" s="57" t="s">
        <v>38</v>
      </c>
      <c r="C89" s="58" t="s">
        <v>114</v>
      </c>
      <c r="D89" s="59">
        <v>4</v>
      </c>
      <c r="E89" s="60">
        <v>5.35</v>
      </c>
      <c r="F89" s="59">
        <v>0</v>
      </c>
      <c r="G89" s="60">
        <v>0</v>
      </c>
      <c r="H89" s="60">
        <v>5.35</v>
      </c>
      <c r="I89" s="59">
        <v>0</v>
      </c>
      <c r="J89" s="59">
        <v>0</v>
      </c>
      <c r="K89" s="59">
        <v>0</v>
      </c>
    </row>
    <row r="90" spans="1:20" ht="16.5" customHeight="1">
      <c r="B90" s="43" t="s">
        <v>38</v>
      </c>
      <c r="C90" s="55" t="s">
        <v>115</v>
      </c>
      <c r="D90" s="50">
        <v>3</v>
      </c>
      <c r="E90" s="56">
        <v>4.5999999999999996</v>
      </c>
      <c r="F90" s="50">
        <v>0</v>
      </c>
      <c r="G90" s="56">
        <v>0</v>
      </c>
      <c r="H90" s="56">
        <v>4.5999999999999996</v>
      </c>
      <c r="I90" s="50">
        <v>0</v>
      </c>
      <c r="J90" s="50">
        <v>0</v>
      </c>
      <c r="K90" s="50">
        <v>0</v>
      </c>
    </row>
    <row r="91" spans="1:20" ht="16.5" customHeight="1">
      <c r="B91" s="61" t="s">
        <v>38</v>
      </c>
      <c r="C91" s="62" t="s">
        <v>116</v>
      </c>
      <c r="D91" s="47">
        <v>3</v>
      </c>
      <c r="E91" s="63">
        <v>4.4000000000000004</v>
      </c>
      <c r="F91" s="47">
        <v>1</v>
      </c>
      <c r="G91" s="63">
        <v>1.4</v>
      </c>
      <c r="H91" s="63">
        <v>3</v>
      </c>
      <c r="I91" s="47">
        <v>243</v>
      </c>
      <c r="J91" s="47">
        <v>63</v>
      </c>
      <c r="K91" s="47">
        <v>3</v>
      </c>
    </row>
    <row r="92" spans="1:20" ht="16.5" customHeight="1">
      <c r="B92" s="43" t="s">
        <v>39</v>
      </c>
      <c r="C92" s="55" t="s">
        <v>111</v>
      </c>
      <c r="D92" s="50">
        <v>0</v>
      </c>
      <c r="E92" s="56">
        <v>0</v>
      </c>
      <c r="F92" s="50">
        <v>0</v>
      </c>
      <c r="G92" s="56">
        <v>0</v>
      </c>
      <c r="H92" s="56">
        <v>0</v>
      </c>
      <c r="I92" s="50">
        <v>0</v>
      </c>
      <c r="J92" s="50">
        <v>0</v>
      </c>
      <c r="K92" s="50">
        <v>0</v>
      </c>
    </row>
    <row r="93" spans="1:20" ht="16.5" customHeight="1">
      <c r="B93" s="57" t="s">
        <v>39</v>
      </c>
      <c r="C93" s="58" t="s">
        <v>112</v>
      </c>
      <c r="D93" s="59">
        <v>1</v>
      </c>
      <c r="E93" s="60">
        <v>0.87</v>
      </c>
      <c r="F93" s="59">
        <v>3</v>
      </c>
      <c r="G93" s="60">
        <v>6.15</v>
      </c>
      <c r="H93" s="60">
        <v>-5.28</v>
      </c>
      <c r="I93" s="59">
        <v>0</v>
      </c>
      <c r="J93" s="59">
        <v>0</v>
      </c>
      <c r="K93" s="59">
        <v>0</v>
      </c>
    </row>
    <row r="94" spans="1:20" ht="16.5" customHeight="1">
      <c r="B94" s="43" t="s">
        <v>39</v>
      </c>
      <c r="C94" s="55" t="s">
        <v>113</v>
      </c>
      <c r="D94" s="50">
        <v>4</v>
      </c>
      <c r="E94" s="56">
        <v>8.59</v>
      </c>
      <c r="F94" s="50">
        <v>1</v>
      </c>
      <c r="G94" s="56">
        <v>2.31</v>
      </c>
      <c r="H94" s="56">
        <v>6.28</v>
      </c>
      <c r="I94" s="50">
        <v>0</v>
      </c>
      <c r="J94" s="50">
        <v>0</v>
      </c>
      <c r="K94" s="50">
        <v>0</v>
      </c>
    </row>
    <row r="95" spans="1:20" ht="16.5" customHeight="1">
      <c r="B95" s="57" t="s">
        <v>39</v>
      </c>
      <c r="C95" s="58" t="s">
        <v>114</v>
      </c>
      <c r="D95" s="59">
        <v>1</v>
      </c>
      <c r="E95" s="60">
        <v>2.4</v>
      </c>
      <c r="F95" s="59">
        <v>1</v>
      </c>
      <c r="G95" s="60">
        <v>1.74</v>
      </c>
      <c r="H95" s="60">
        <v>0.67</v>
      </c>
      <c r="I95" s="59">
        <v>0</v>
      </c>
      <c r="J95" s="59">
        <v>0</v>
      </c>
      <c r="K95" s="59">
        <v>0</v>
      </c>
    </row>
    <row r="96" spans="1:20" ht="16.5" customHeight="1">
      <c r="B96" s="43" t="s">
        <v>39</v>
      </c>
      <c r="C96" s="55" t="s">
        <v>115</v>
      </c>
      <c r="D96" s="50">
        <v>2</v>
      </c>
      <c r="E96" s="56">
        <v>3.52</v>
      </c>
      <c r="F96" s="50">
        <v>1</v>
      </c>
      <c r="G96" s="56">
        <v>1.96</v>
      </c>
      <c r="H96" s="56">
        <v>1.56</v>
      </c>
      <c r="I96" s="50">
        <v>0</v>
      </c>
      <c r="J96" s="50">
        <v>0</v>
      </c>
      <c r="K96" s="50">
        <v>0</v>
      </c>
    </row>
    <row r="97" spans="2:11" ht="16.5" customHeight="1">
      <c r="B97" s="61" t="s">
        <v>39</v>
      </c>
      <c r="C97" s="62" t="s">
        <v>116</v>
      </c>
      <c r="D97" s="47">
        <v>4</v>
      </c>
      <c r="E97" s="63">
        <v>7.03</v>
      </c>
      <c r="F97" s="47">
        <v>1</v>
      </c>
      <c r="G97" s="63">
        <v>1.96</v>
      </c>
      <c r="H97" s="63">
        <v>5.08</v>
      </c>
      <c r="I97" s="47">
        <v>147</v>
      </c>
      <c r="J97" s="47">
        <v>26</v>
      </c>
      <c r="K97" s="47">
        <v>4</v>
      </c>
    </row>
    <row r="98" spans="2:11" ht="16.5" customHeight="1">
      <c r="B98" s="43" t="s">
        <v>40</v>
      </c>
      <c r="C98" s="55" t="s">
        <v>111</v>
      </c>
      <c r="D98" s="50">
        <v>1</v>
      </c>
      <c r="E98" s="56">
        <v>3.44</v>
      </c>
      <c r="F98" s="50">
        <v>0</v>
      </c>
      <c r="G98" s="56">
        <v>0</v>
      </c>
      <c r="H98" s="56">
        <v>3.44</v>
      </c>
      <c r="I98" s="50">
        <v>0</v>
      </c>
      <c r="J98" s="50">
        <v>0</v>
      </c>
      <c r="K98" s="50">
        <v>0</v>
      </c>
    </row>
    <row r="99" spans="2:11" ht="16.5" customHeight="1">
      <c r="B99" s="57" t="s">
        <v>40</v>
      </c>
      <c r="C99" s="58" t="s">
        <v>112</v>
      </c>
      <c r="D99" s="59">
        <v>1</v>
      </c>
      <c r="E99" s="60">
        <v>1.95</v>
      </c>
      <c r="F99" s="59">
        <v>0</v>
      </c>
      <c r="G99" s="60">
        <v>0</v>
      </c>
      <c r="H99" s="60">
        <v>1.95</v>
      </c>
      <c r="I99" s="59">
        <v>0</v>
      </c>
      <c r="J99" s="59">
        <v>0</v>
      </c>
      <c r="K99" s="59">
        <v>0</v>
      </c>
    </row>
    <row r="100" spans="2:11" ht="16.5" customHeight="1">
      <c r="B100" s="43" t="s">
        <v>40</v>
      </c>
      <c r="C100" s="55" t="s">
        <v>113</v>
      </c>
      <c r="D100" s="50">
        <v>1</v>
      </c>
      <c r="E100" s="56">
        <v>1.95</v>
      </c>
      <c r="F100" s="50">
        <v>1</v>
      </c>
      <c r="G100" s="56">
        <v>2.44</v>
      </c>
      <c r="H100" s="56">
        <v>-0.49</v>
      </c>
      <c r="I100" s="50">
        <v>0</v>
      </c>
      <c r="J100" s="50">
        <v>0</v>
      </c>
      <c r="K100" s="50">
        <v>0</v>
      </c>
    </row>
    <row r="101" spans="2:11" ht="16.5" customHeight="1">
      <c r="B101" s="57" t="s">
        <v>40</v>
      </c>
      <c r="C101" s="58" t="s">
        <v>114</v>
      </c>
      <c r="D101" s="59">
        <v>1</v>
      </c>
      <c r="E101" s="60">
        <v>2.44</v>
      </c>
      <c r="F101" s="59">
        <v>0</v>
      </c>
      <c r="G101" s="60">
        <v>0</v>
      </c>
      <c r="H101" s="60">
        <v>2.44</v>
      </c>
      <c r="I101" s="59">
        <v>0</v>
      </c>
      <c r="J101" s="59">
        <v>0</v>
      </c>
      <c r="K101" s="59">
        <v>0</v>
      </c>
    </row>
    <row r="102" spans="2:11" ht="16.5" customHeight="1">
      <c r="B102" s="43" t="s">
        <v>40</v>
      </c>
      <c r="C102" s="55" t="s">
        <v>115</v>
      </c>
      <c r="D102" s="50">
        <v>0</v>
      </c>
      <c r="E102" s="56">
        <v>0</v>
      </c>
      <c r="F102" s="50">
        <v>0</v>
      </c>
      <c r="G102" s="56">
        <v>0</v>
      </c>
      <c r="H102" s="56">
        <v>0</v>
      </c>
      <c r="I102" s="50">
        <v>0</v>
      </c>
      <c r="J102" s="50">
        <v>0</v>
      </c>
      <c r="K102" s="50">
        <v>0</v>
      </c>
    </row>
    <row r="103" spans="2:11" ht="16.5" customHeight="1">
      <c r="B103" s="61" t="s">
        <v>40</v>
      </c>
      <c r="C103" s="62" t="s">
        <v>116</v>
      </c>
      <c r="D103" s="47">
        <v>1</v>
      </c>
      <c r="E103" s="63">
        <v>3.07</v>
      </c>
      <c r="F103" s="47">
        <v>1</v>
      </c>
      <c r="G103" s="63">
        <v>2.44</v>
      </c>
      <c r="H103" s="63">
        <v>0.64</v>
      </c>
      <c r="I103" s="47">
        <v>49</v>
      </c>
      <c r="J103" s="47">
        <v>17</v>
      </c>
      <c r="K103" s="47">
        <v>1</v>
      </c>
    </row>
    <row r="104" spans="2:11" ht="16.5" customHeight="1">
      <c r="B104" s="43" t="s">
        <v>117</v>
      </c>
      <c r="C104" s="55" t="s">
        <v>111</v>
      </c>
      <c r="D104" s="50">
        <v>0</v>
      </c>
      <c r="E104" s="56">
        <v>0</v>
      </c>
      <c r="F104" s="50">
        <v>0</v>
      </c>
      <c r="G104" s="56">
        <v>0</v>
      </c>
      <c r="H104" s="56">
        <v>0</v>
      </c>
      <c r="I104" s="50">
        <v>0</v>
      </c>
      <c r="J104" s="50">
        <v>0</v>
      </c>
      <c r="K104" s="50">
        <v>0</v>
      </c>
    </row>
    <row r="105" spans="2:11" ht="16.5" customHeight="1">
      <c r="B105" s="57" t="s">
        <v>117</v>
      </c>
      <c r="C105" s="58" t="s">
        <v>112</v>
      </c>
      <c r="D105" s="59">
        <v>0</v>
      </c>
      <c r="E105" s="60">
        <v>0</v>
      </c>
      <c r="F105" s="59">
        <v>0</v>
      </c>
      <c r="G105" s="60">
        <v>0</v>
      </c>
      <c r="H105" s="60">
        <v>0</v>
      </c>
      <c r="I105" s="59">
        <v>0</v>
      </c>
      <c r="J105" s="59">
        <v>0</v>
      </c>
      <c r="K105" s="59">
        <v>0</v>
      </c>
    </row>
    <row r="106" spans="2:11" ht="16.5" customHeight="1">
      <c r="B106" s="43" t="s">
        <v>117</v>
      </c>
      <c r="C106" s="55" t="s">
        <v>113</v>
      </c>
      <c r="D106" s="50">
        <v>0</v>
      </c>
      <c r="E106" s="56">
        <v>0</v>
      </c>
      <c r="F106" s="50">
        <v>0</v>
      </c>
      <c r="G106" s="56">
        <v>0</v>
      </c>
      <c r="H106" s="56">
        <v>0</v>
      </c>
      <c r="I106" s="50">
        <v>0</v>
      </c>
      <c r="J106" s="50">
        <v>0</v>
      </c>
      <c r="K106" s="50">
        <v>0</v>
      </c>
    </row>
    <row r="107" spans="2:11" ht="16.5" customHeight="1">
      <c r="B107" s="57" t="s">
        <v>117</v>
      </c>
      <c r="C107" s="58" t="s">
        <v>114</v>
      </c>
      <c r="D107" s="59">
        <v>0</v>
      </c>
      <c r="E107" s="60">
        <v>0</v>
      </c>
      <c r="F107" s="59">
        <v>0</v>
      </c>
      <c r="G107" s="60">
        <v>0</v>
      </c>
      <c r="H107" s="60">
        <v>0</v>
      </c>
      <c r="I107" s="59">
        <v>0</v>
      </c>
      <c r="J107" s="59">
        <v>0</v>
      </c>
      <c r="K107" s="59">
        <v>0</v>
      </c>
    </row>
    <row r="108" spans="2:11" ht="16.5" customHeight="1">
      <c r="B108" s="43" t="s">
        <v>117</v>
      </c>
      <c r="C108" s="55" t="s">
        <v>115</v>
      </c>
      <c r="D108" s="50">
        <v>0</v>
      </c>
      <c r="E108" s="56">
        <v>0</v>
      </c>
      <c r="F108" s="50">
        <v>0</v>
      </c>
      <c r="G108" s="56">
        <v>0</v>
      </c>
      <c r="H108" s="56">
        <v>0</v>
      </c>
      <c r="I108" s="50">
        <v>0</v>
      </c>
      <c r="J108" s="50">
        <v>0</v>
      </c>
      <c r="K108" s="50">
        <v>0</v>
      </c>
    </row>
    <row r="109" spans="2:11" ht="16.5" customHeight="1">
      <c r="B109" s="61" t="s">
        <v>117</v>
      </c>
      <c r="C109" s="62" t="s">
        <v>116</v>
      </c>
      <c r="D109" s="47">
        <v>1</v>
      </c>
      <c r="E109" s="63">
        <v>3.3</v>
      </c>
      <c r="F109" s="47">
        <v>0</v>
      </c>
      <c r="G109" s="63">
        <v>0</v>
      </c>
      <c r="H109" s="63">
        <v>3.3</v>
      </c>
      <c r="I109" s="47">
        <v>217</v>
      </c>
      <c r="J109" s="47">
        <v>23</v>
      </c>
      <c r="K109" s="47">
        <v>1</v>
      </c>
    </row>
    <row r="110" spans="2:11" ht="16.5" customHeight="1">
      <c r="B110" s="43" t="s">
        <v>118</v>
      </c>
      <c r="C110" s="55" t="s">
        <v>111</v>
      </c>
      <c r="D110" s="50">
        <v>0</v>
      </c>
      <c r="E110" s="56">
        <v>0</v>
      </c>
      <c r="F110" s="50">
        <v>0</v>
      </c>
      <c r="G110" s="56">
        <v>0</v>
      </c>
      <c r="H110" s="56">
        <v>0</v>
      </c>
      <c r="I110" s="50">
        <v>0</v>
      </c>
      <c r="J110" s="50">
        <v>0</v>
      </c>
      <c r="K110" s="50">
        <v>0</v>
      </c>
    </row>
    <row r="111" spans="2:11" ht="16.5" customHeight="1">
      <c r="B111" s="57" t="s">
        <v>118</v>
      </c>
      <c r="C111" s="58" t="s">
        <v>112</v>
      </c>
      <c r="D111" s="59">
        <v>0</v>
      </c>
      <c r="E111" s="60">
        <v>0</v>
      </c>
      <c r="F111" s="59">
        <v>0</v>
      </c>
      <c r="G111" s="60">
        <v>0</v>
      </c>
      <c r="H111" s="60">
        <v>0</v>
      </c>
      <c r="I111" s="59">
        <v>0</v>
      </c>
      <c r="J111" s="59">
        <v>0</v>
      </c>
      <c r="K111" s="59">
        <v>0</v>
      </c>
    </row>
    <row r="112" spans="2:11" ht="16.5" customHeight="1">
      <c r="B112" s="43" t="s">
        <v>118</v>
      </c>
      <c r="C112" s="55" t="s">
        <v>113</v>
      </c>
      <c r="D112" s="50">
        <v>0</v>
      </c>
      <c r="E112" s="56">
        <v>0</v>
      </c>
      <c r="F112" s="50">
        <v>0</v>
      </c>
      <c r="G112" s="56">
        <v>0</v>
      </c>
      <c r="H112" s="56">
        <v>0</v>
      </c>
      <c r="I112" s="50">
        <v>0</v>
      </c>
      <c r="J112" s="50">
        <v>0</v>
      </c>
      <c r="K112" s="50">
        <v>0</v>
      </c>
    </row>
    <row r="113" spans="2:11" ht="16.5" customHeight="1">
      <c r="B113" s="57" t="s">
        <v>118</v>
      </c>
      <c r="C113" s="58" t="s">
        <v>114</v>
      </c>
      <c r="D113" s="59">
        <v>0</v>
      </c>
      <c r="E113" s="60">
        <v>0</v>
      </c>
      <c r="F113" s="59">
        <v>0</v>
      </c>
      <c r="G113" s="60">
        <v>0</v>
      </c>
      <c r="H113" s="60">
        <v>0</v>
      </c>
      <c r="I113" s="59">
        <v>0</v>
      </c>
      <c r="J113" s="59">
        <v>0</v>
      </c>
      <c r="K113" s="59">
        <v>0</v>
      </c>
    </row>
    <row r="114" spans="2:11" ht="16.5" customHeight="1">
      <c r="B114" s="43" t="s">
        <v>118</v>
      </c>
      <c r="C114" s="55" t="s">
        <v>115</v>
      </c>
      <c r="D114" s="50">
        <v>0</v>
      </c>
      <c r="E114" s="56">
        <v>0</v>
      </c>
      <c r="F114" s="50">
        <v>0</v>
      </c>
      <c r="G114" s="56">
        <v>0</v>
      </c>
      <c r="H114" s="56">
        <v>0</v>
      </c>
      <c r="I114" s="50">
        <v>0</v>
      </c>
      <c r="J114" s="50">
        <v>0</v>
      </c>
      <c r="K114" s="50">
        <v>0</v>
      </c>
    </row>
    <row r="115" spans="2:11" ht="16.5" customHeight="1">
      <c r="B115" s="61" t="s">
        <v>118</v>
      </c>
      <c r="C115" s="62" t="s">
        <v>116</v>
      </c>
      <c r="D115" s="47">
        <v>0</v>
      </c>
      <c r="E115" s="63">
        <v>0</v>
      </c>
      <c r="F115" s="47">
        <v>0</v>
      </c>
      <c r="G115" s="63">
        <v>0</v>
      </c>
      <c r="H115" s="63">
        <v>0</v>
      </c>
      <c r="I115" s="47">
        <v>0</v>
      </c>
      <c r="J115" s="47">
        <v>0</v>
      </c>
      <c r="K115" s="47">
        <v>0</v>
      </c>
    </row>
  </sheetData>
  <mergeCells count="39">
    <mergeCell ref="G70:K70"/>
    <mergeCell ref="B74:K74"/>
    <mergeCell ref="I76:K76"/>
    <mergeCell ref="B84:K84"/>
    <mergeCell ref="G65:K65"/>
    <mergeCell ref="G66:K66"/>
    <mergeCell ref="G67:K67"/>
    <mergeCell ref="G68:K68"/>
    <mergeCell ref="G69:K69"/>
    <mergeCell ref="G60:K60"/>
    <mergeCell ref="G61:K61"/>
    <mergeCell ref="G62:K62"/>
    <mergeCell ref="G63:K63"/>
    <mergeCell ref="G64:K64"/>
    <mergeCell ref="G55:K55"/>
    <mergeCell ref="G56:K56"/>
    <mergeCell ref="G57:K57"/>
    <mergeCell ref="G58:K58"/>
    <mergeCell ref="G59:K59"/>
    <mergeCell ref="B23:K23"/>
    <mergeCell ref="B33:K33"/>
    <mergeCell ref="B43:L43"/>
    <mergeCell ref="B53:K53"/>
    <mergeCell ref="G54:K54"/>
    <mergeCell ref="D12:G12"/>
    <mergeCell ref="D13:G13"/>
    <mergeCell ref="D14:G14"/>
    <mergeCell ref="D15:G15"/>
    <mergeCell ref="D16:G16"/>
    <mergeCell ref="D7:G7"/>
    <mergeCell ref="D8:G8"/>
    <mergeCell ref="D9:G9"/>
    <mergeCell ref="D10:G10"/>
    <mergeCell ref="D11:G11"/>
    <mergeCell ref="B1:K1"/>
    <mergeCell ref="B2:K2"/>
    <mergeCell ref="B4:G4"/>
    <mergeCell ref="D5:G5"/>
    <mergeCell ref="D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29"/>
  <sheetViews>
    <sheetView showGridLines="0" zoomScaleNormal="100" workbookViewId="0">
      <pane xSplit="4" ySplit="10" topLeftCell="E11" activePane="bottomRight" state="frozen"/>
      <selection pane="bottomRight"/>
      <selection pane="bottomLeft" activeCell="A11" sqref="A11"/>
      <selection pane="topRight" activeCell="E1" sqref="E1"/>
    </sheetView>
  </sheetViews>
  <sheetFormatPr defaultColWidth="8.7109375" defaultRowHeight="15"/>
  <cols>
    <col min="1" max="1" width="2" customWidth="1"/>
    <col min="2" max="2" width="18" customWidth="1"/>
    <col min="3" max="3" width="12" customWidth="1"/>
    <col min="4" max="25" width="5" customWidth="1"/>
    <col min="26" max="26" width="9" customWidth="1"/>
    <col min="27" max="29" width="8" customWidth="1"/>
    <col min="30" max="30" width="10" customWidth="1"/>
  </cols>
  <sheetData>
    <row r="1" spans="2:28" ht="30" customHeight="1">
      <c r="B1" s="14" t="s">
        <v>119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2:28" ht="21.75" customHeight="1">
      <c r="B2" s="13" t="s">
        <v>120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4" spans="2:28">
      <c r="B4" s="1" t="s">
        <v>121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>
      <c r="B5" s="16" t="s">
        <v>122</v>
      </c>
      <c r="C5" s="64" t="s">
        <v>43</v>
      </c>
      <c r="D5" s="65" t="s">
        <v>123</v>
      </c>
      <c r="E5" s="15" t="s">
        <v>39</v>
      </c>
      <c r="F5" s="66" t="s">
        <v>40</v>
      </c>
      <c r="G5" s="67" t="s">
        <v>124</v>
      </c>
      <c r="H5" s="68" t="s">
        <v>125</v>
      </c>
    </row>
    <row r="6" spans="2:28" ht="19.5" customHeight="1">
      <c r="B6" s="43" t="s">
        <v>126</v>
      </c>
      <c r="C6" s="35">
        <f>D6+E6+F6+G6+H6</f>
        <v>2340</v>
      </c>
      <c r="D6" s="29">
        <f>'1. Assumptions'!J45</f>
        <v>1000</v>
      </c>
      <c r="E6" s="29">
        <f>'1. Assumptions'!J46</f>
        <v>800</v>
      </c>
      <c r="F6" s="29">
        <f>'1. Assumptions'!J47</f>
        <v>240</v>
      </c>
      <c r="G6" s="29">
        <f>'1. Assumptions'!J48</f>
        <v>200</v>
      </c>
      <c r="H6" s="29">
        <f>'1. Assumptions'!J49</f>
        <v>100</v>
      </c>
    </row>
    <row r="7" spans="2:28" ht="19.5" customHeight="1">
      <c r="B7" s="48" t="s">
        <v>127</v>
      </c>
      <c r="C7" s="35">
        <f>D7+E7+F7+G7+H7</f>
        <v>1100</v>
      </c>
      <c r="D7" s="29">
        <f>'1. Assumptions'!K45</f>
        <v>440</v>
      </c>
      <c r="E7" s="29">
        <f>'1. Assumptions'!K46</f>
        <v>308</v>
      </c>
      <c r="F7" s="29">
        <f>'1. Assumptions'!K47</f>
        <v>154</v>
      </c>
      <c r="G7" s="29">
        <f>'1. Assumptions'!K48</f>
        <v>110</v>
      </c>
      <c r="H7" s="29">
        <f>'1. Assumptions'!K49</f>
        <v>88</v>
      </c>
    </row>
    <row r="8" spans="2:28" ht="19.5" customHeight="1">
      <c r="B8" s="43" t="s">
        <v>128</v>
      </c>
      <c r="C8" s="35">
        <f>D8+E8+F8+G8+H8</f>
        <v>76</v>
      </c>
      <c r="D8" s="47">
        <f>'1. Assumptions'!H25</f>
        <v>35</v>
      </c>
      <c r="E8" s="47">
        <f>'1. Assumptions'!H26</f>
        <v>19</v>
      </c>
      <c r="F8" s="47">
        <f>'1. Assumptions'!H27</f>
        <v>12</v>
      </c>
      <c r="G8" s="47">
        <f>'1. Assumptions'!H28</f>
        <v>5</v>
      </c>
      <c r="H8" s="47">
        <f>'1. Assumptions'!H29</f>
        <v>5</v>
      </c>
    </row>
    <row r="9" spans="2:28" ht="19.5" customHeight="1">
      <c r="B9" s="48" t="s">
        <v>129</v>
      </c>
      <c r="C9" s="35">
        <f>D9+E9+F9+G9+H9</f>
        <v>60</v>
      </c>
      <c r="D9" s="47">
        <f>'1. Assumptions'!G25</f>
        <v>28</v>
      </c>
      <c r="E9" s="47">
        <f>'1. Assumptions'!G26</f>
        <v>15</v>
      </c>
      <c r="F9" s="47">
        <f>'1. Assumptions'!G27</f>
        <v>9</v>
      </c>
      <c r="G9" s="47">
        <f>'1. Assumptions'!G28</f>
        <v>4</v>
      </c>
      <c r="H9" s="47">
        <f>'1. Assumptions'!G29</f>
        <v>4</v>
      </c>
    </row>
    <row r="12" spans="2:28">
      <c r="B12" s="12" t="s">
        <v>130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2:28" ht="30" customHeight="1">
      <c r="B13" s="69" t="s">
        <v>131</v>
      </c>
      <c r="C13" s="70" t="s">
        <v>132</v>
      </c>
      <c r="D13" s="71">
        <v>46174</v>
      </c>
      <c r="E13" s="71">
        <v>46175</v>
      </c>
      <c r="F13" s="71">
        <v>46176</v>
      </c>
      <c r="G13" s="71">
        <v>46177</v>
      </c>
      <c r="H13" s="71">
        <v>46178</v>
      </c>
      <c r="I13" s="72">
        <v>46181</v>
      </c>
      <c r="J13" s="72">
        <v>46182</v>
      </c>
      <c r="K13" s="72">
        <v>46183</v>
      </c>
      <c r="L13" s="72">
        <v>46184</v>
      </c>
      <c r="M13" s="73">
        <v>46185</v>
      </c>
      <c r="N13" s="72">
        <v>46188</v>
      </c>
      <c r="O13" s="72">
        <v>46189</v>
      </c>
      <c r="P13" s="72">
        <v>46190</v>
      </c>
      <c r="Q13" s="72">
        <v>46191</v>
      </c>
      <c r="R13" s="73">
        <v>46192</v>
      </c>
      <c r="S13" s="72">
        <v>46195</v>
      </c>
      <c r="T13" s="72">
        <v>46196</v>
      </c>
      <c r="U13" s="72">
        <v>46197</v>
      </c>
      <c r="V13" s="72">
        <v>46198</v>
      </c>
      <c r="W13" s="73">
        <v>46199</v>
      </c>
      <c r="X13" s="72">
        <v>46202</v>
      </c>
      <c r="Y13" s="73">
        <v>46203</v>
      </c>
      <c r="Z13" s="70" t="s">
        <v>133</v>
      </c>
    </row>
    <row r="14" spans="2:28" ht="19.5" customHeight="1">
      <c r="B14" s="130" t="s">
        <v>134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spans="2:28" ht="15" customHeight="1">
      <c r="B15" s="74" t="s">
        <v>135</v>
      </c>
      <c r="C15" s="75">
        <f>'1. Assumptions'!C35</f>
        <v>250</v>
      </c>
      <c r="D15" s="131" t="s">
        <v>136</v>
      </c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2:28" ht="16.5" customHeight="1">
      <c r="B16" s="76" t="s">
        <v>137</v>
      </c>
      <c r="C16" s="77">
        <f>'1. Assumptions'!J45</f>
        <v>1000</v>
      </c>
      <c r="D16" s="78">
        <f>CEILING('1. Assumptions'!J45/'1. Assumptions'!C9,1)</f>
        <v>46</v>
      </c>
      <c r="E16" s="78">
        <f>CEILING('1. Assumptions'!J45/'1. Assumptions'!C9,1)</f>
        <v>46</v>
      </c>
      <c r="F16" s="78">
        <f>CEILING('1. Assumptions'!J45/'1. Assumptions'!C9,1)</f>
        <v>46</v>
      </c>
      <c r="G16" s="78">
        <f>CEILING('1. Assumptions'!J45/'1. Assumptions'!C9,1)</f>
        <v>46</v>
      </c>
      <c r="H16" s="78">
        <f>CEILING('1. Assumptions'!J45/'1. Assumptions'!C9,1)</f>
        <v>46</v>
      </c>
      <c r="I16" s="79">
        <f>CEILING('1. Assumptions'!J45/'1. Assumptions'!C9,1)</f>
        <v>46</v>
      </c>
      <c r="J16" s="79">
        <f>CEILING('1. Assumptions'!J45/'1. Assumptions'!C9,1)</f>
        <v>46</v>
      </c>
      <c r="K16" s="79">
        <f>CEILING('1. Assumptions'!J45/'1. Assumptions'!C9,1)</f>
        <v>46</v>
      </c>
      <c r="L16" s="79">
        <f>CEILING('1. Assumptions'!J45/'1. Assumptions'!C9,1)</f>
        <v>46</v>
      </c>
      <c r="M16" s="79">
        <f>CEILING('1. Assumptions'!J45/'1. Assumptions'!C9,1)</f>
        <v>46</v>
      </c>
      <c r="N16" s="79">
        <f>CEILING('1. Assumptions'!J45/'1. Assumptions'!C9,1)</f>
        <v>46</v>
      </c>
      <c r="O16" s="80">
        <f>CEILING('1. Assumptions'!J45/'1. Assumptions'!C9,1)</f>
        <v>46</v>
      </c>
      <c r="P16" s="80">
        <f>CEILING('1. Assumptions'!J45/'1. Assumptions'!C9,1)</f>
        <v>46</v>
      </c>
      <c r="Q16" s="80">
        <f>CEILING('1. Assumptions'!J45/'1. Assumptions'!C9,1)</f>
        <v>46</v>
      </c>
      <c r="R16" s="80">
        <f>CEILING('1. Assumptions'!J45/'1. Assumptions'!C9,1)</f>
        <v>46</v>
      </c>
      <c r="S16" s="80">
        <f>CEILING('1. Assumptions'!J45/'1. Assumptions'!C9,1)</f>
        <v>46</v>
      </c>
      <c r="T16" s="80">
        <f>CEILING('1. Assumptions'!J45/'1. Assumptions'!C9,1)</f>
        <v>46</v>
      </c>
      <c r="U16" s="80">
        <f>CEILING('1. Assumptions'!J45/'1. Assumptions'!C9,1)</f>
        <v>46</v>
      </c>
      <c r="V16" s="80">
        <f>CEILING('1. Assumptions'!J45/'1. Assumptions'!C9,1)</f>
        <v>46</v>
      </c>
      <c r="W16" s="80">
        <f>CEILING('1. Assumptions'!J45/'1. Assumptions'!C9,1)</f>
        <v>46</v>
      </c>
      <c r="X16" s="80">
        <f>CEILING('1. Assumptions'!J45/'1. Assumptions'!C9,1)</f>
        <v>46</v>
      </c>
      <c r="Y16" s="80">
        <f>CEILING('1. Assumptions'!J45/'1. Assumptions'!C9,1)</f>
        <v>46</v>
      </c>
      <c r="Z16" s="77">
        <f>C16</f>
        <v>1000</v>
      </c>
    </row>
    <row r="17" spans="2:26" ht="16.5" customHeight="1">
      <c r="B17" s="76" t="s">
        <v>138</v>
      </c>
      <c r="C17" s="77">
        <f>'1. Assumptions'!K45</f>
        <v>440</v>
      </c>
      <c r="D17" s="78">
        <f>CEILING('1. Assumptions'!K45/'1. Assumptions'!C9,1)</f>
        <v>20</v>
      </c>
      <c r="E17" s="78">
        <f>CEILING('1. Assumptions'!K45/'1. Assumptions'!C9,1)</f>
        <v>20</v>
      </c>
      <c r="F17" s="78">
        <f>CEILING('1. Assumptions'!K45/'1. Assumptions'!C9,1)</f>
        <v>20</v>
      </c>
      <c r="G17" s="78">
        <f>CEILING('1. Assumptions'!K45/'1. Assumptions'!C9,1)</f>
        <v>20</v>
      </c>
      <c r="H17" s="78">
        <f>CEILING('1. Assumptions'!K45/'1. Assumptions'!C9,1)</f>
        <v>20</v>
      </c>
      <c r="I17" s="79">
        <f>CEILING('1. Assumptions'!K45/'1. Assumptions'!C9,1)</f>
        <v>20</v>
      </c>
      <c r="J17" s="79">
        <f>CEILING('1. Assumptions'!K45/'1. Assumptions'!C9,1)</f>
        <v>20</v>
      </c>
      <c r="K17" s="79">
        <f>CEILING('1. Assumptions'!K45/'1. Assumptions'!C9,1)</f>
        <v>20</v>
      </c>
      <c r="L17" s="79">
        <f>CEILING('1. Assumptions'!K45/'1. Assumptions'!C9,1)</f>
        <v>20</v>
      </c>
      <c r="M17" s="79">
        <f>CEILING('1. Assumptions'!K45/'1. Assumptions'!C9,1)</f>
        <v>20</v>
      </c>
      <c r="N17" s="79">
        <f>CEILING('1. Assumptions'!K45/'1. Assumptions'!C9,1)</f>
        <v>20</v>
      </c>
      <c r="O17" s="79">
        <f>CEILING('1. Assumptions'!K45/'1. Assumptions'!C9,1)</f>
        <v>20</v>
      </c>
      <c r="P17" s="79">
        <f>CEILING('1. Assumptions'!K45/'1. Assumptions'!C9,1)</f>
        <v>20</v>
      </c>
      <c r="Q17" s="79">
        <f>CEILING('1. Assumptions'!K45/'1. Assumptions'!C9,1)</f>
        <v>20</v>
      </c>
      <c r="R17" s="79">
        <f>CEILING('1. Assumptions'!K45/'1. Assumptions'!C9,1)</f>
        <v>20</v>
      </c>
      <c r="S17" s="79">
        <f>CEILING('1. Assumptions'!K45/'1. Assumptions'!C9,1)</f>
        <v>20</v>
      </c>
      <c r="T17" s="79">
        <f>CEILING('1. Assumptions'!K45/'1. Assumptions'!C9,1)</f>
        <v>20</v>
      </c>
      <c r="U17" s="79">
        <f>CEILING('1. Assumptions'!K45/'1. Assumptions'!C9,1)</f>
        <v>20</v>
      </c>
      <c r="V17" s="79">
        <f>CEILING('1. Assumptions'!K45/'1. Assumptions'!C9,1)</f>
        <v>20</v>
      </c>
      <c r="W17" s="79">
        <f>CEILING('1. Assumptions'!K45/'1. Assumptions'!C9,1)</f>
        <v>20</v>
      </c>
      <c r="X17" s="79">
        <f>CEILING('1. Assumptions'!K45/'1. Assumptions'!C9,1)</f>
        <v>20</v>
      </c>
      <c r="Y17" s="79">
        <f>CEILING('1. Assumptions'!K45/'1. Assumptions'!C9,1)</f>
        <v>20</v>
      </c>
      <c r="Z17" s="77">
        <f>C17</f>
        <v>440</v>
      </c>
    </row>
    <row r="18" spans="2:26" ht="16.5" customHeight="1">
      <c r="B18" s="81" t="s">
        <v>139</v>
      </c>
      <c r="C18" s="82">
        <f>'1. Assumptions'!H25</f>
        <v>35</v>
      </c>
      <c r="D18" s="83">
        <f>CEILING('1. Assumptions'!H25/'1. Assumptions'!C9,1)</f>
        <v>2</v>
      </c>
      <c r="E18" s="83">
        <f>CEILING('1. Assumptions'!H25/'1. Assumptions'!C9,1)</f>
        <v>2</v>
      </c>
      <c r="F18" s="83">
        <f>CEILING('1. Assumptions'!H25/'1. Assumptions'!C9,1)</f>
        <v>2</v>
      </c>
      <c r="G18" s="83">
        <f>CEILING('1. Assumptions'!H25/'1. Assumptions'!C9,1)</f>
        <v>2</v>
      </c>
      <c r="H18" s="83">
        <f>CEILING('1. Assumptions'!H25/'1. Assumptions'!C9,1)</f>
        <v>2</v>
      </c>
      <c r="I18" s="84">
        <f>CEILING('1. Assumptions'!H25/'1. Assumptions'!C9,1)</f>
        <v>2</v>
      </c>
      <c r="J18" s="84">
        <f>CEILING('1. Assumptions'!H25/'1. Assumptions'!C9,1)</f>
        <v>2</v>
      </c>
      <c r="K18" s="84">
        <f>CEILING('1. Assumptions'!H25/'1. Assumptions'!C9,1)</f>
        <v>2</v>
      </c>
      <c r="L18" s="84">
        <f>CEILING('1. Assumptions'!H25/'1. Assumptions'!C9,1)</f>
        <v>2</v>
      </c>
      <c r="M18" s="84">
        <f>CEILING('1. Assumptions'!H25/'1. Assumptions'!C9,1)</f>
        <v>2</v>
      </c>
      <c r="N18" s="84">
        <f>CEILING('1. Assumptions'!H25/'1. Assumptions'!C9,1)</f>
        <v>2</v>
      </c>
      <c r="O18" s="84">
        <f>CEILING('1. Assumptions'!H25/'1. Assumptions'!C9,1)</f>
        <v>2</v>
      </c>
      <c r="P18" s="84">
        <f>CEILING('1. Assumptions'!H25/'1. Assumptions'!C9,1)</f>
        <v>2</v>
      </c>
      <c r="Q18" s="84">
        <f>CEILING('1. Assumptions'!H25/'1. Assumptions'!C9,1)</f>
        <v>2</v>
      </c>
      <c r="R18" s="84">
        <f>CEILING('1. Assumptions'!H25/'1. Assumptions'!C9,1)</f>
        <v>2</v>
      </c>
      <c r="S18" s="84">
        <f>CEILING('1. Assumptions'!H25/'1. Assumptions'!C9,1)</f>
        <v>2</v>
      </c>
      <c r="T18" s="84">
        <f>CEILING('1. Assumptions'!H25/'1. Assumptions'!C9,1)</f>
        <v>2</v>
      </c>
      <c r="U18" s="84">
        <f>CEILING('1. Assumptions'!H25/'1. Assumptions'!C9,1)</f>
        <v>2</v>
      </c>
      <c r="V18" s="84">
        <f>CEILING('1. Assumptions'!H25/'1. Assumptions'!C9,1)</f>
        <v>2</v>
      </c>
      <c r="W18" s="84">
        <f>CEILING('1. Assumptions'!H25/'1. Assumptions'!C9,1)</f>
        <v>2</v>
      </c>
      <c r="X18" s="84">
        <f>CEILING('1. Assumptions'!H25/'1. Assumptions'!C9,1)</f>
        <v>2</v>
      </c>
      <c r="Y18" s="84">
        <f>CEILING('1. Assumptions'!H25/'1. Assumptions'!C9,1)</f>
        <v>2</v>
      </c>
      <c r="Z18" s="82">
        <f>C18</f>
        <v>35</v>
      </c>
    </row>
    <row r="19" spans="2:26" ht="18" customHeight="1">
      <c r="B19" s="85" t="s">
        <v>140</v>
      </c>
      <c r="C19" s="86">
        <f>'1. Assumptions'!G25</f>
        <v>28</v>
      </c>
      <c r="D19" s="87" t="s">
        <v>141</v>
      </c>
      <c r="E19" s="87" t="s">
        <v>141</v>
      </c>
      <c r="F19" s="87" t="s">
        <v>141</v>
      </c>
      <c r="G19" s="87" t="s">
        <v>141</v>
      </c>
      <c r="H19" s="88">
        <f>ROUND(5/'1. Assumptions'!C9*'1. Assumptions'!G25,0)-ROUND(0/'1. Assumptions'!C9*'1. Assumptions'!G25,0)</f>
        <v>6</v>
      </c>
      <c r="I19" s="87" t="s">
        <v>141</v>
      </c>
      <c r="J19" s="87" t="s">
        <v>141</v>
      </c>
      <c r="K19" s="87" t="s">
        <v>141</v>
      </c>
      <c r="L19" s="87" t="s">
        <v>141</v>
      </c>
      <c r="M19" s="88">
        <f>ROUND(10/'1. Assumptions'!C9*'1. Assumptions'!G25,0)-ROUND(5/'1. Assumptions'!C9*'1. Assumptions'!G25,0)</f>
        <v>7</v>
      </c>
      <c r="N19" s="87" t="s">
        <v>141</v>
      </c>
      <c r="O19" s="87" t="s">
        <v>141</v>
      </c>
      <c r="P19" s="87" t="s">
        <v>141</v>
      </c>
      <c r="Q19" s="87" t="s">
        <v>141</v>
      </c>
      <c r="R19" s="88">
        <f>ROUND(15/'1. Assumptions'!C9*'1. Assumptions'!G25,0)-ROUND(10/'1. Assumptions'!C9*'1. Assumptions'!G25,0)</f>
        <v>6</v>
      </c>
      <c r="S19" s="87" t="s">
        <v>141</v>
      </c>
      <c r="T19" s="87" t="s">
        <v>141</v>
      </c>
      <c r="U19" s="87" t="s">
        <v>141</v>
      </c>
      <c r="V19" s="87" t="s">
        <v>141</v>
      </c>
      <c r="W19" s="88">
        <f>ROUND(20/'1. Assumptions'!C9*'1. Assumptions'!G25,0)-ROUND(15/'1. Assumptions'!C9*'1. Assumptions'!G25,0)</f>
        <v>6</v>
      </c>
      <c r="X19" s="87" t="s">
        <v>141</v>
      </c>
      <c r="Y19" s="88">
        <f>ROUND(22/'1. Assumptions'!C9*'1. Assumptions'!G25,0)-ROUND(20/'1. Assumptions'!C9*'1. Assumptions'!G25,0)</f>
        <v>3</v>
      </c>
      <c r="Z19" s="89">
        <f>C19</f>
        <v>28</v>
      </c>
    </row>
    <row r="20" spans="2:26" ht="6" customHeight="1"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2:26" ht="19.5" customHeight="1">
      <c r="B21" s="132" t="s">
        <v>142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spans="2:26" ht="15" customHeight="1">
      <c r="B22" s="74" t="s">
        <v>135</v>
      </c>
      <c r="C22" s="75">
        <f>'1. Assumptions'!C36</f>
        <v>200</v>
      </c>
      <c r="D22" s="131" t="s">
        <v>143</v>
      </c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2:26" ht="16.5" customHeight="1">
      <c r="B23" s="76" t="s">
        <v>137</v>
      </c>
      <c r="C23" s="77">
        <f>'1. Assumptions'!J46</f>
        <v>800</v>
      </c>
      <c r="D23" s="78">
        <f>CEILING('1. Assumptions'!J46/'1. Assumptions'!C9,1)</f>
        <v>37</v>
      </c>
      <c r="E23" s="78">
        <f>CEILING('1. Assumptions'!J46/'1. Assumptions'!C9,1)</f>
        <v>37</v>
      </c>
      <c r="F23" s="78">
        <f>CEILING('1. Assumptions'!J46/'1. Assumptions'!C9,1)</f>
        <v>37</v>
      </c>
      <c r="G23" s="78">
        <f>CEILING('1. Assumptions'!J46/'1. Assumptions'!C9,1)</f>
        <v>37</v>
      </c>
      <c r="H23" s="78">
        <f>CEILING('1. Assumptions'!J46/'1. Assumptions'!C9,1)</f>
        <v>37</v>
      </c>
      <c r="I23" s="79">
        <f>CEILING('1. Assumptions'!J46/'1. Assumptions'!C9,1)</f>
        <v>37</v>
      </c>
      <c r="J23" s="79">
        <f>CEILING('1. Assumptions'!J46/'1. Assumptions'!C9,1)</f>
        <v>37</v>
      </c>
      <c r="K23" s="79">
        <f>CEILING('1. Assumptions'!J46/'1. Assumptions'!C9,1)</f>
        <v>37</v>
      </c>
      <c r="L23" s="79">
        <f>CEILING('1. Assumptions'!J46/'1. Assumptions'!C9,1)</f>
        <v>37</v>
      </c>
      <c r="M23" s="79">
        <f>CEILING('1. Assumptions'!J46/'1. Assumptions'!C9,1)</f>
        <v>37</v>
      </c>
      <c r="N23" s="79">
        <f>CEILING('1. Assumptions'!J46/'1. Assumptions'!C9,1)</f>
        <v>37</v>
      </c>
      <c r="O23" s="80">
        <f>CEILING('1. Assumptions'!J46/'1. Assumptions'!C9,1)</f>
        <v>37</v>
      </c>
      <c r="P23" s="80">
        <f>CEILING('1. Assumptions'!J46/'1. Assumptions'!C9,1)</f>
        <v>37</v>
      </c>
      <c r="Q23" s="80">
        <f>CEILING('1. Assumptions'!J46/'1. Assumptions'!C9,1)</f>
        <v>37</v>
      </c>
      <c r="R23" s="80">
        <f>CEILING('1. Assumptions'!J46/'1. Assumptions'!C9,1)</f>
        <v>37</v>
      </c>
      <c r="S23" s="80">
        <f>CEILING('1. Assumptions'!J46/'1. Assumptions'!C9,1)</f>
        <v>37</v>
      </c>
      <c r="T23" s="80">
        <f>CEILING('1. Assumptions'!J46/'1. Assumptions'!C9,1)</f>
        <v>37</v>
      </c>
      <c r="U23" s="80">
        <f>CEILING('1. Assumptions'!J46/'1. Assumptions'!C9,1)</f>
        <v>37</v>
      </c>
      <c r="V23" s="80">
        <f>CEILING('1. Assumptions'!J46/'1. Assumptions'!C9,1)</f>
        <v>37</v>
      </c>
      <c r="W23" s="80">
        <f>CEILING('1. Assumptions'!J46/'1. Assumptions'!C9,1)</f>
        <v>37</v>
      </c>
      <c r="X23" s="80">
        <f>CEILING('1. Assumptions'!J46/'1. Assumptions'!C9,1)</f>
        <v>37</v>
      </c>
      <c r="Y23" s="80">
        <f>CEILING('1. Assumptions'!J46/'1. Assumptions'!C9,1)</f>
        <v>37</v>
      </c>
      <c r="Z23" s="77">
        <f>C23</f>
        <v>800</v>
      </c>
    </row>
    <row r="24" spans="2:26" ht="16.5" customHeight="1">
      <c r="B24" s="76" t="s">
        <v>138</v>
      </c>
      <c r="C24" s="77">
        <f>'1. Assumptions'!K46</f>
        <v>308</v>
      </c>
      <c r="D24" s="78">
        <f>CEILING('1. Assumptions'!K46/'1. Assumptions'!C9,1)</f>
        <v>14</v>
      </c>
      <c r="E24" s="78">
        <f>CEILING('1. Assumptions'!K46/'1. Assumptions'!C9,1)</f>
        <v>14</v>
      </c>
      <c r="F24" s="78">
        <f>CEILING('1. Assumptions'!K46/'1. Assumptions'!C9,1)</f>
        <v>14</v>
      </c>
      <c r="G24" s="78">
        <f>CEILING('1. Assumptions'!K46/'1. Assumptions'!C9,1)</f>
        <v>14</v>
      </c>
      <c r="H24" s="78">
        <f>CEILING('1. Assumptions'!K46/'1. Assumptions'!C9,1)</f>
        <v>14</v>
      </c>
      <c r="I24" s="79">
        <f>CEILING('1. Assumptions'!K46/'1. Assumptions'!C9,1)</f>
        <v>14</v>
      </c>
      <c r="J24" s="79">
        <f>CEILING('1. Assumptions'!K46/'1. Assumptions'!C9,1)</f>
        <v>14</v>
      </c>
      <c r="K24" s="79">
        <f>CEILING('1. Assumptions'!K46/'1. Assumptions'!C9,1)</f>
        <v>14</v>
      </c>
      <c r="L24" s="79">
        <f>CEILING('1. Assumptions'!K46/'1. Assumptions'!C9,1)</f>
        <v>14</v>
      </c>
      <c r="M24" s="79">
        <f>CEILING('1. Assumptions'!K46/'1. Assumptions'!C9,1)</f>
        <v>14</v>
      </c>
      <c r="N24" s="79">
        <f>CEILING('1. Assumptions'!K46/'1. Assumptions'!C9,1)</f>
        <v>14</v>
      </c>
      <c r="O24" s="79">
        <f>CEILING('1. Assumptions'!K46/'1. Assumptions'!C9,1)</f>
        <v>14</v>
      </c>
      <c r="P24" s="79">
        <f>CEILING('1. Assumptions'!K46/'1. Assumptions'!C9,1)</f>
        <v>14</v>
      </c>
      <c r="Q24" s="79">
        <f>CEILING('1. Assumptions'!K46/'1. Assumptions'!C9,1)</f>
        <v>14</v>
      </c>
      <c r="R24" s="79">
        <f>CEILING('1. Assumptions'!K46/'1. Assumptions'!C9,1)</f>
        <v>14</v>
      </c>
      <c r="S24" s="79">
        <f>CEILING('1. Assumptions'!K46/'1. Assumptions'!C9,1)</f>
        <v>14</v>
      </c>
      <c r="T24" s="79">
        <f>CEILING('1. Assumptions'!K46/'1. Assumptions'!C9,1)</f>
        <v>14</v>
      </c>
      <c r="U24" s="79">
        <f>CEILING('1. Assumptions'!K46/'1. Assumptions'!C9,1)</f>
        <v>14</v>
      </c>
      <c r="V24" s="79">
        <f>CEILING('1. Assumptions'!K46/'1. Assumptions'!C9,1)</f>
        <v>14</v>
      </c>
      <c r="W24" s="79">
        <f>CEILING('1. Assumptions'!K46/'1. Assumptions'!C9,1)</f>
        <v>14</v>
      </c>
      <c r="X24" s="79">
        <f>CEILING('1. Assumptions'!K46/'1. Assumptions'!C9,1)</f>
        <v>14</v>
      </c>
      <c r="Y24" s="79">
        <f>CEILING('1. Assumptions'!K46/'1. Assumptions'!C9,1)</f>
        <v>14</v>
      </c>
      <c r="Z24" s="77">
        <f>C24</f>
        <v>308</v>
      </c>
    </row>
    <row r="25" spans="2:26" ht="16.5" customHeight="1">
      <c r="B25" s="81" t="s">
        <v>139</v>
      </c>
      <c r="C25" s="82">
        <f>'1. Assumptions'!H26</f>
        <v>19</v>
      </c>
      <c r="D25" s="83">
        <f>CEILING('1. Assumptions'!H26/'1. Assumptions'!C9,1)</f>
        <v>1</v>
      </c>
      <c r="E25" s="83">
        <f>CEILING('1. Assumptions'!H26/'1. Assumptions'!C9,1)</f>
        <v>1</v>
      </c>
      <c r="F25" s="83">
        <f>CEILING('1. Assumptions'!H26/'1. Assumptions'!C9,1)</f>
        <v>1</v>
      </c>
      <c r="G25" s="83">
        <f>CEILING('1. Assumptions'!H26/'1. Assumptions'!C9,1)</f>
        <v>1</v>
      </c>
      <c r="H25" s="83">
        <f>CEILING('1. Assumptions'!H26/'1. Assumptions'!C9,1)</f>
        <v>1</v>
      </c>
      <c r="I25" s="84">
        <f>CEILING('1. Assumptions'!H26/'1. Assumptions'!C9,1)</f>
        <v>1</v>
      </c>
      <c r="J25" s="84">
        <f>CEILING('1. Assumptions'!H26/'1. Assumptions'!C9,1)</f>
        <v>1</v>
      </c>
      <c r="K25" s="84">
        <f>CEILING('1. Assumptions'!H26/'1. Assumptions'!C9,1)</f>
        <v>1</v>
      </c>
      <c r="L25" s="84">
        <f>CEILING('1. Assumptions'!H26/'1. Assumptions'!C9,1)</f>
        <v>1</v>
      </c>
      <c r="M25" s="84">
        <f>CEILING('1. Assumptions'!H26/'1. Assumptions'!C9,1)</f>
        <v>1</v>
      </c>
      <c r="N25" s="84">
        <f>CEILING('1. Assumptions'!H26/'1. Assumptions'!C9,1)</f>
        <v>1</v>
      </c>
      <c r="O25" s="84">
        <f>CEILING('1. Assumptions'!H26/'1. Assumptions'!C9,1)</f>
        <v>1</v>
      </c>
      <c r="P25" s="84">
        <f>CEILING('1. Assumptions'!H26/'1. Assumptions'!C9,1)</f>
        <v>1</v>
      </c>
      <c r="Q25" s="84">
        <f>CEILING('1. Assumptions'!H26/'1. Assumptions'!C9,1)</f>
        <v>1</v>
      </c>
      <c r="R25" s="84">
        <f>CEILING('1. Assumptions'!H26/'1. Assumptions'!C9,1)</f>
        <v>1</v>
      </c>
      <c r="S25" s="84">
        <f>CEILING('1. Assumptions'!H26/'1. Assumptions'!C9,1)</f>
        <v>1</v>
      </c>
      <c r="T25" s="84">
        <f>CEILING('1. Assumptions'!H26/'1. Assumptions'!C9,1)</f>
        <v>1</v>
      </c>
      <c r="U25" s="84">
        <f>CEILING('1. Assumptions'!H26/'1. Assumptions'!C9,1)</f>
        <v>1</v>
      </c>
      <c r="V25" s="84">
        <f>CEILING('1. Assumptions'!H26/'1. Assumptions'!C9,1)</f>
        <v>1</v>
      </c>
      <c r="W25" s="84">
        <f>CEILING('1. Assumptions'!H26/'1. Assumptions'!C9,1)</f>
        <v>1</v>
      </c>
      <c r="X25" s="84">
        <f>CEILING('1. Assumptions'!H26/'1. Assumptions'!C9,1)</f>
        <v>1</v>
      </c>
      <c r="Y25" s="84">
        <f>CEILING('1. Assumptions'!H26/'1. Assumptions'!C9,1)</f>
        <v>1</v>
      </c>
      <c r="Z25" s="82">
        <f>C25</f>
        <v>19</v>
      </c>
    </row>
    <row r="26" spans="2:26" ht="18" customHeight="1">
      <c r="B26" s="85" t="s">
        <v>140</v>
      </c>
      <c r="C26" s="86">
        <f>'1. Assumptions'!G26</f>
        <v>15</v>
      </c>
      <c r="D26" s="87" t="s">
        <v>141</v>
      </c>
      <c r="E26" s="87" t="s">
        <v>141</v>
      </c>
      <c r="F26" s="87" t="s">
        <v>141</v>
      </c>
      <c r="G26" s="87" t="s">
        <v>141</v>
      </c>
      <c r="H26" s="88">
        <f>ROUND(5/'1. Assumptions'!C9*'1. Assumptions'!G26,0)-ROUND(0/'1. Assumptions'!C9*'1. Assumptions'!G26,0)</f>
        <v>3</v>
      </c>
      <c r="I26" s="87" t="s">
        <v>141</v>
      </c>
      <c r="J26" s="87" t="s">
        <v>141</v>
      </c>
      <c r="K26" s="87" t="s">
        <v>141</v>
      </c>
      <c r="L26" s="87" t="s">
        <v>141</v>
      </c>
      <c r="M26" s="88">
        <f>ROUND(10/'1. Assumptions'!C9*'1. Assumptions'!G26,0)-ROUND(5/'1. Assumptions'!C9*'1. Assumptions'!G26,0)</f>
        <v>4</v>
      </c>
      <c r="N26" s="87" t="s">
        <v>141</v>
      </c>
      <c r="O26" s="87" t="s">
        <v>141</v>
      </c>
      <c r="P26" s="87" t="s">
        <v>141</v>
      </c>
      <c r="Q26" s="87" t="s">
        <v>141</v>
      </c>
      <c r="R26" s="88">
        <f>ROUND(15/'1. Assumptions'!C9*'1. Assumptions'!G26,0)-ROUND(10/'1. Assumptions'!C9*'1. Assumptions'!G26,0)</f>
        <v>3</v>
      </c>
      <c r="S26" s="87" t="s">
        <v>141</v>
      </c>
      <c r="T26" s="87" t="s">
        <v>141</v>
      </c>
      <c r="U26" s="87" t="s">
        <v>141</v>
      </c>
      <c r="V26" s="87" t="s">
        <v>141</v>
      </c>
      <c r="W26" s="88">
        <f>ROUND(20/'1. Assumptions'!C9*'1. Assumptions'!G26,0)-ROUND(15/'1. Assumptions'!C9*'1. Assumptions'!G26,0)</f>
        <v>4</v>
      </c>
      <c r="X26" s="87" t="s">
        <v>141</v>
      </c>
      <c r="Y26" s="88">
        <f>ROUND(22/'1. Assumptions'!C9*'1. Assumptions'!G26,0)-ROUND(20/'1. Assumptions'!C9*'1. Assumptions'!G26,0)</f>
        <v>1</v>
      </c>
      <c r="Z26" s="89">
        <f>C26</f>
        <v>15</v>
      </c>
    </row>
    <row r="27" spans="2:26" ht="6" customHeight="1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2:26" ht="19.5" customHeight="1">
      <c r="B28" s="133" t="s">
        <v>144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2:26" ht="15" customHeight="1">
      <c r="B29" s="74" t="s">
        <v>135</v>
      </c>
      <c r="C29" s="75">
        <f>'1. Assumptions'!C37</f>
        <v>60</v>
      </c>
      <c r="D29" s="131" t="s">
        <v>145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2:26" ht="16.5" customHeight="1">
      <c r="B30" s="76" t="s">
        <v>137</v>
      </c>
      <c r="C30" s="77">
        <f>'1. Assumptions'!J47</f>
        <v>240</v>
      </c>
      <c r="D30" s="78">
        <f>CEILING('1. Assumptions'!J47/'1. Assumptions'!C9,1)</f>
        <v>11</v>
      </c>
      <c r="E30" s="78">
        <f>CEILING('1. Assumptions'!J47/'1. Assumptions'!C9,1)</f>
        <v>11</v>
      </c>
      <c r="F30" s="78">
        <f>CEILING('1. Assumptions'!J47/'1. Assumptions'!C9,1)</f>
        <v>11</v>
      </c>
      <c r="G30" s="78">
        <f>CEILING('1. Assumptions'!J47/'1. Assumptions'!C9,1)</f>
        <v>11</v>
      </c>
      <c r="H30" s="78">
        <f>CEILING('1. Assumptions'!J47/'1. Assumptions'!C9,1)</f>
        <v>11</v>
      </c>
      <c r="I30" s="79">
        <f>CEILING('1. Assumptions'!J47/'1. Assumptions'!C9,1)</f>
        <v>11</v>
      </c>
      <c r="J30" s="79">
        <f>CEILING('1. Assumptions'!J47/'1. Assumptions'!C9,1)</f>
        <v>11</v>
      </c>
      <c r="K30" s="79">
        <f>CEILING('1. Assumptions'!J47/'1. Assumptions'!C9,1)</f>
        <v>11</v>
      </c>
      <c r="L30" s="79">
        <f>CEILING('1. Assumptions'!J47/'1. Assumptions'!C9,1)</f>
        <v>11</v>
      </c>
      <c r="M30" s="79">
        <f>CEILING('1. Assumptions'!J47/'1. Assumptions'!C9,1)</f>
        <v>11</v>
      </c>
      <c r="N30" s="79">
        <f>CEILING('1. Assumptions'!J47/'1. Assumptions'!C9,1)</f>
        <v>11</v>
      </c>
      <c r="O30" s="80">
        <f>CEILING('1. Assumptions'!J47/'1. Assumptions'!C9,1)</f>
        <v>11</v>
      </c>
      <c r="P30" s="80">
        <f>CEILING('1. Assumptions'!J47/'1. Assumptions'!C9,1)</f>
        <v>11</v>
      </c>
      <c r="Q30" s="80">
        <f>CEILING('1. Assumptions'!J47/'1. Assumptions'!C9,1)</f>
        <v>11</v>
      </c>
      <c r="R30" s="80">
        <f>CEILING('1. Assumptions'!J47/'1. Assumptions'!C9,1)</f>
        <v>11</v>
      </c>
      <c r="S30" s="80">
        <f>CEILING('1. Assumptions'!J47/'1. Assumptions'!C9,1)</f>
        <v>11</v>
      </c>
      <c r="T30" s="80">
        <f>CEILING('1. Assumptions'!J47/'1. Assumptions'!C9,1)</f>
        <v>11</v>
      </c>
      <c r="U30" s="80">
        <f>CEILING('1. Assumptions'!J47/'1. Assumptions'!C9,1)</f>
        <v>11</v>
      </c>
      <c r="V30" s="80">
        <f>CEILING('1. Assumptions'!J47/'1. Assumptions'!C9,1)</f>
        <v>11</v>
      </c>
      <c r="W30" s="80">
        <f>CEILING('1. Assumptions'!J47/'1. Assumptions'!C9,1)</f>
        <v>11</v>
      </c>
      <c r="X30" s="80">
        <f>CEILING('1. Assumptions'!J47/'1. Assumptions'!C9,1)</f>
        <v>11</v>
      </c>
      <c r="Y30" s="80">
        <f>CEILING('1. Assumptions'!J47/'1. Assumptions'!C9,1)</f>
        <v>11</v>
      </c>
      <c r="Z30" s="77">
        <f>C30</f>
        <v>240</v>
      </c>
    </row>
    <row r="31" spans="2:26" ht="16.5" customHeight="1">
      <c r="B31" s="76" t="s">
        <v>138</v>
      </c>
      <c r="C31" s="77">
        <f>'1. Assumptions'!K47</f>
        <v>154</v>
      </c>
      <c r="D31" s="78">
        <f>CEILING('1. Assumptions'!K47/'1. Assumptions'!C9,1)</f>
        <v>7</v>
      </c>
      <c r="E31" s="78">
        <f>CEILING('1. Assumptions'!K47/'1. Assumptions'!C9,1)</f>
        <v>7</v>
      </c>
      <c r="F31" s="78">
        <f>CEILING('1. Assumptions'!K47/'1. Assumptions'!C9,1)</f>
        <v>7</v>
      </c>
      <c r="G31" s="78">
        <f>CEILING('1. Assumptions'!K47/'1. Assumptions'!C9,1)</f>
        <v>7</v>
      </c>
      <c r="H31" s="78">
        <f>CEILING('1. Assumptions'!K47/'1. Assumptions'!C9,1)</f>
        <v>7</v>
      </c>
      <c r="I31" s="79">
        <f>CEILING('1. Assumptions'!K47/'1. Assumptions'!C9,1)</f>
        <v>7</v>
      </c>
      <c r="J31" s="79">
        <f>CEILING('1. Assumptions'!K47/'1. Assumptions'!C9,1)</f>
        <v>7</v>
      </c>
      <c r="K31" s="79">
        <f>CEILING('1. Assumptions'!K47/'1. Assumptions'!C9,1)</f>
        <v>7</v>
      </c>
      <c r="L31" s="79">
        <f>CEILING('1. Assumptions'!K47/'1. Assumptions'!C9,1)</f>
        <v>7</v>
      </c>
      <c r="M31" s="79">
        <f>CEILING('1. Assumptions'!K47/'1. Assumptions'!C9,1)</f>
        <v>7</v>
      </c>
      <c r="N31" s="79">
        <f>CEILING('1. Assumptions'!K47/'1. Assumptions'!C9,1)</f>
        <v>7</v>
      </c>
      <c r="O31" s="79">
        <f>CEILING('1. Assumptions'!K47/'1. Assumptions'!C9,1)</f>
        <v>7</v>
      </c>
      <c r="P31" s="79">
        <f>CEILING('1. Assumptions'!K47/'1. Assumptions'!C9,1)</f>
        <v>7</v>
      </c>
      <c r="Q31" s="79">
        <f>CEILING('1. Assumptions'!K47/'1. Assumptions'!C9,1)</f>
        <v>7</v>
      </c>
      <c r="R31" s="79">
        <f>CEILING('1. Assumptions'!K47/'1. Assumptions'!C9,1)</f>
        <v>7</v>
      </c>
      <c r="S31" s="79">
        <f>CEILING('1. Assumptions'!K47/'1. Assumptions'!C9,1)</f>
        <v>7</v>
      </c>
      <c r="T31" s="79">
        <f>CEILING('1. Assumptions'!K47/'1. Assumptions'!C9,1)</f>
        <v>7</v>
      </c>
      <c r="U31" s="79">
        <f>CEILING('1. Assumptions'!K47/'1. Assumptions'!C9,1)</f>
        <v>7</v>
      </c>
      <c r="V31" s="79">
        <f>CEILING('1. Assumptions'!K47/'1. Assumptions'!C9,1)</f>
        <v>7</v>
      </c>
      <c r="W31" s="79">
        <f>CEILING('1. Assumptions'!K47/'1. Assumptions'!C9,1)</f>
        <v>7</v>
      </c>
      <c r="X31" s="79">
        <f>CEILING('1. Assumptions'!K47/'1. Assumptions'!C9,1)</f>
        <v>7</v>
      </c>
      <c r="Y31" s="79">
        <f>CEILING('1. Assumptions'!K47/'1. Assumptions'!C9,1)</f>
        <v>7</v>
      </c>
      <c r="Z31" s="77">
        <f>C31</f>
        <v>154</v>
      </c>
    </row>
    <row r="32" spans="2:26" ht="16.5" customHeight="1">
      <c r="B32" s="81" t="s">
        <v>139</v>
      </c>
      <c r="C32" s="82">
        <f>'1. Assumptions'!H27</f>
        <v>12</v>
      </c>
      <c r="D32" s="83">
        <f>CEILING('1. Assumptions'!H27/'1. Assumptions'!C9,1)</f>
        <v>1</v>
      </c>
      <c r="E32" s="83">
        <f>CEILING('1. Assumptions'!H27/'1. Assumptions'!C9,1)</f>
        <v>1</v>
      </c>
      <c r="F32" s="83">
        <f>CEILING('1. Assumptions'!H27/'1. Assumptions'!C9,1)</f>
        <v>1</v>
      </c>
      <c r="G32" s="83">
        <f>CEILING('1. Assumptions'!H27/'1. Assumptions'!C9,1)</f>
        <v>1</v>
      </c>
      <c r="H32" s="83">
        <f>CEILING('1. Assumptions'!H27/'1. Assumptions'!C9,1)</f>
        <v>1</v>
      </c>
      <c r="I32" s="84">
        <f>CEILING('1. Assumptions'!H27/'1. Assumptions'!C9,1)</f>
        <v>1</v>
      </c>
      <c r="J32" s="84">
        <f>CEILING('1. Assumptions'!H27/'1. Assumptions'!C9,1)</f>
        <v>1</v>
      </c>
      <c r="K32" s="84">
        <f>CEILING('1. Assumptions'!H27/'1. Assumptions'!C9,1)</f>
        <v>1</v>
      </c>
      <c r="L32" s="84">
        <f>CEILING('1. Assumptions'!H27/'1. Assumptions'!C9,1)</f>
        <v>1</v>
      </c>
      <c r="M32" s="84">
        <f>CEILING('1. Assumptions'!H27/'1. Assumptions'!C9,1)</f>
        <v>1</v>
      </c>
      <c r="N32" s="84">
        <f>CEILING('1. Assumptions'!H27/'1. Assumptions'!C9,1)</f>
        <v>1</v>
      </c>
      <c r="O32" s="84">
        <f>CEILING('1. Assumptions'!H27/'1. Assumptions'!C9,1)</f>
        <v>1</v>
      </c>
      <c r="P32" s="84">
        <f>CEILING('1. Assumptions'!H27/'1. Assumptions'!C9,1)</f>
        <v>1</v>
      </c>
      <c r="Q32" s="84">
        <f>CEILING('1. Assumptions'!H27/'1. Assumptions'!C9,1)</f>
        <v>1</v>
      </c>
      <c r="R32" s="84">
        <f>CEILING('1. Assumptions'!H27/'1. Assumptions'!C9,1)</f>
        <v>1</v>
      </c>
      <c r="S32" s="84">
        <f>CEILING('1. Assumptions'!H27/'1. Assumptions'!C9,1)</f>
        <v>1</v>
      </c>
      <c r="T32" s="84">
        <f>CEILING('1. Assumptions'!H27/'1. Assumptions'!C9,1)</f>
        <v>1</v>
      </c>
      <c r="U32" s="84">
        <f>CEILING('1. Assumptions'!H27/'1. Assumptions'!C9,1)</f>
        <v>1</v>
      </c>
      <c r="V32" s="84">
        <f>CEILING('1. Assumptions'!H27/'1. Assumptions'!C9,1)</f>
        <v>1</v>
      </c>
      <c r="W32" s="84">
        <f>CEILING('1. Assumptions'!H27/'1. Assumptions'!C9,1)</f>
        <v>1</v>
      </c>
      <c r="X32" s="84">
        <f>CEILING('1. Assumptions'!H27/'1. Assumptions'!C9,1)</f>
        <v>1</v>
      </c>
      <c r="Y32" s="84">
        <f>CEILING('1. Assumptions'!H27/'1. Assumptions'!C9,1)</f>
        <v>1</v>
      </c>
      <c r="Z32" s="82">
        <f>C32</f>
        <v>12</v>
      </c>
    </row>
    <row r="33" spans="2:26" ht="18" customHeight="1">
      <c r="B33" s="85" t="s">
        <v>140</v>
      </c>
      <c r="C33" s="86">
        <f>'1. Assumptions'!G27</f>
        <v>9</v>
      </c>
      <c r="D33" s="87" t="s">
        <v>141</v>
      </c>
      <c r="E33" s="87" t="s">
        <v>141</v>
      </c>
      <c r="F33" s="87" t="s">
        <v>141</v>
      </c>
      <c r="G33" s="87" t="s">
        <v>141</v>
      </c>
      <c r="H33" s="88">
        <f>ROUND(5/'1. Assumptions'!C9*'1. Assumptions'!G27,0)-ROUND(0/'1. Assumptions'!C9*'1. Assumptions'!G27,0)</f>
        <v>2</v>
      </c>
      <c r="I33" s="87" t="s">
        <v>141</v>
      </c>
      <c r="J33" s="87" t="s">
        <v>141</v>
      </c>
      <c r="K33" s="87" t="s">
        <v>141</v>
      </c>
      <c r="L33" s="87" t="s">
        <v>141</v>
      </c>
      <c r="M33" s="88">
        <f>ROUND(10/'1. Assumptions'!C9*'1. Assumptions'!G27,0)-ROUND(5/'1. Assumptions'!C9*'1. Assumptions'!G27,0)</f>
        <v>2</v>
      </c>
      <c r="N33" s="87" t="s">
        <v>141</v>
      </c>
      <c r="O33" s="87" t="s">
        <v>141</v>
      </c>
      <c r="P33" s="87" t="s">
        <v>141</v>
      </c>
      <c r="Q33" s="87" t="s">
        <v>141</v>
      </c>
      <c r="R33" s="88">
        <f>ROUND(15/'1. Assumptions'!C9*'1. Assumptions'!G27,0)-ROUND(10/'1. Assumptions'!C9*'1. Assumptions'!G27,0)</f>
        <v>2</v>
      </c>
      <c r="S33" s="87" t="s">
        <v>141</v>
      </c>
      <c r="T33" s="87" t="s">
        <v>141</v>
      </c>
      <c r="U33" s="87" t="s">
        <v>141</v>
      </c>
      <c r="V33" s="87" t="s">
        <v>141</v>
      </c>
      <c r="W33" s="88">
        <f>ROUND(20/'1. Assumptions'!C9*'1. Assumptions'!G27,0)-ROUND(15/'1. Assumptions'!C9*'1. Assumptions'!G27,0)</f>
        <v>2</v>
      </c>
      <c r="X33" s="87" t="s">
        <v>141</v>
      </c>
      <c r="Y33" s="88">
        <f>ROUND(22/'1. Assumptions'!C9*'1. Assumptions'!G27,0)-ROUND(20/'1. Assumptions'!C9*'1. Assumptions'!G27,0)</f>
        <v>1</v>
      </c>
      <c r="Z33" s="89">
        <f>C33</f>
        <v>9</v>
      </c>
    </row>
    <row r="34" spans="2:26" ht="6" customHeight="1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2:26" ht="19.5" customHeight="1">
      <c r="B35" s="134" t="s">
        <v>146</v>
      </c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spans="2:26" ht="15" customHeight="1">
      <c r="B36" s="74" t="s">
        <v>135</v>
      </c>
      <c r="C36" s="75">
        <f>'1. Assumptions'!C38</f>
        <v>50</v>
      </c>
      <c r="D36" s="131" t="s">
        <v>147</v>
      </c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2:26" ht="16.5" customHeight="1">
      <c r="B37" s="76" t="s">
        <v>137</v>
      </c>
      <c r="C37" s="77">
        <f>'1. Assumptions'!J48</f>
        <v>200</v>
      </c>
      <c r="D37" s="78">
        <f>CEILING('1. Assumptions'!J48/'1. Assumptions'!C9,1)</f>
        <v>10</v>
      </c>
      <c r="E37" s="78">
        <f>CEILING('1. Assumptions'!J48/'1. Assumptions'!C9,1)</f>
        <v>10</v>
      </c>
      <c r="F37" s="78">
        <f>CEILING('1. Assumptions'!J48/'1. Assumptions'!C9,1)</f>
        <v>10</v>
      </c>
      <c r="G37" s="78">
        <f>CEILING('1. Assumptions'!J48/'1. Assumptions'!C9,1)</f>
        <v>10</v>
      </c>
      <c r="H37" s="78">
        <f>CEILING('1. Assumptions'!J48/'1. Assumptions'!C9,1)</f>
        <v>10</v>
      </c>
      <c r="I37" s="79">
        <f>CEILING('1. Assumptions'!J48/'1. Assumptions'!C9,1)</f>
        <v>10</v>
      </c>
      <c r="J37" s="79">
        <f>CEILING('1. Assumptions'!J48/'1. Assumptions'!C9,1)</f>
        <v>10</v>
      </c>
      <c r="K37" s="79">
        <f>CEILING('1. Assumptions'!J48/'1. Assumptions'!C9,1)</f>
        <v>10</v>
      </c>
      <c r="L37" s="79">
        <f>CEILING('1. Assumptions'!J48/'1. Assumptions'!C9,1)</f>
        <v>10</v>
      </c>
      <c r="M37" s="79">
        <f>CEILING('1. Assumptions'!J48/'1. Assumptions'!C9,1)</f>
        <v>10</v>
      </c>
      <c r="N37" s="79">
        <f>CEILING('1. Assumptions'!J48/'1. Assumptions'!C9,1)</f>
        <v>10</v>
      </c>
      <c r="O37" s="80">
        <f>CEILING('1. Assumptions'!J48/'1. Assumptions'!C9,1)</f>
        <v>10</v>
      </c>
      <c r="P37" s="80">
        <f>CEILING('1. Assumptions'!J48/'1. Assumptions'!C9,1)</f>
        <v>10</v>
      </c>
      <c r="Q37" s="80">
        <f>CEILING('1. Assumptions'!J48/'1. Assumptions'!C9,1)</f>
        <v>10</v>
      </c>
      <c r="R37" s="80">
        <f>CEILING('1. Assumptions'!J48/'1. Assumptions'!C9,1)</f>
        <v>10</v>
      </c>
      <c r="S37" s="80">
        <f>CEILING('1. Assumptions'!J48/'1. Assumptions'!C9,1)</f>
        <v>10</v>
      </c>
      <c r="T37" s="80">
        <f>CEILING('1. Assumptions'!J48/'1. Assumptions'!C9,1)</f>
        <v>10</v>
      </c>
      <c r="U37" s="80">
        <f>CEILING('1. Assumptions'!J48/'1. Assumptions'!C9,1)</f>
        <v>10</v>
      </c>
      <c r="V37" s="80">
        <f>CEILING('1. Assumptions'!J48/'1. Assumptions'!C9,1)</f>
        <v>10</v>
      </c>
      <c r="W37" s="80">
        <f>CEILING('1. Assumptions'!J48/'1. Assumptions'!C9,1)</f>
        <v>10</v>
      </c>
      <c r="X37" s="80">
        <f>CEILING('1. Assumptions'!J48/'1. Assumptions'!C9,1)</f>
        <v>10</v>
      </c>
      <c r="Y37" s="80">
        <f>CEILING('1. Assumptions'!J48/'1. Assumptions'!C9,1)</f>
        <v>10</v>
      </c>
      <c r="Z37" s="77">
        <f>C37</f>
        <v>200</v>
      </c>
    </row>
    <row r="38" spans="2:26" ht="16.5" customHeight="1">
      <c r="B38" s="76" t="s">
        <v>138</v>
      </c>
      <c r="C38" s="77">
        <f>'1. Assumptions'!K48</f>
        <v>110</v>
      </c>
      <c r="D38" s="78">
        <f>CEILING('1. Assumptions'!K48/'1. Assumptions'!C9,1)</f>
        <v>5</v>
      </c>
      <c r="E38" s="78">
        <f>CEILING('1. Assumptions'!K48/'1. Assumptions'!C9,1)</f>
        <v>5</v>
      </c>
      <c r="F38" s="78">
        <f>CEILING('1. Assumptions'!K48/'1. Assumptions'!C9,1)</f>
        <v>5</v>
      </c>
      <c r="G38" s="78">
        <f>CEILING('1. Assumptions'!K48/'1. Assumptions'!C9,1)</f>
        <v>5</v>
      </c>
      <c r="H38" s="78">
        <f>CEILING('1. Assumptions'!K48/'1. Assumptions'!C9,1)</f>
        <v>5</v>
      </c>
      <c r="I38" s="79">
        <f>CEILING('1. Assumptions'!K48/'1. Assumptions'!C9,1)</f>
        <v>5</v>
      </c>
      <c r="J38" s="79">
        <f>CEILING('1. Assumptions'!K48/'1. Assumptions'!C9,1)</f>
        <v>5</v>
      </c>
      <c r="K38" s="79">
        <f>CEILING('1. Assumptions'!K48/'1. Assumptions'!C9,1)</f>
        <v>5</v>
      </c>
      <c r="L38" s="79">
        <f>CEILING('1. Assumptions'!K48/'1. Assumptions'!C9,1)</f>
        <v>5</v>
      </c>
      <c r="M38" s="79">
        <f>CEILING('1. Assumptions'!K48/'1. Assumptions'!C9,1)</f>
        <v>5</v>
      </c>
      <c r="N38" s="79">
        <f>CEILING('1. Assumptions'!K48/'1. Assumptions'!C9,1)</f>
        <v>5</v>
      </c>
      <c r="O38" s="79">
        <f>CEILING('1. Assumptions'!K48/'1. Assumptions'!C9,1)</f>
        <v>5</v>
      </c>
      <c r="P38" s="79">
        <f>CEILING('1. Assumptions'!K48/'1. Assumptions'!C9,1)</f>
        <v>5</v>
      </c>
      <c r="Q38" s="79">
        <f>CEILING('1. Assumptions'!K48/'1. Assumptions'!C9,1)</f>
        <v>5</v>
      </c>
      <c r="R38" s="79">
        <f>CEILING('1. Assumptions'!K48/'1. Assumptions'!C9,1)</f>
        <v>5</v>
      </c>
      <c r="S38" s="79">
        <f>CEILING('1. Assumptions'!K48/'1. Assumptions'!C9,1)</f>
        <v>5</v>
      </c>
      <c r="T38" s="79">
        <f>CEILING('1. Assumptions'!K48/'1. Assumptions'!C9,1)</f>
        <v>5</v>
      </c>
      <c r="U38" s="79">
        <f>CEILING('1. Assumptions'!K48/'1. Assumptions'!C9,1)</f>
        <v>5</v>
      </c>
      <c r="V38" s="79">
        <f>CEILING('1. Assumptions'!K48/'1. Assumptions'!C9,1)</f>
        <v>5</v>
      </c>
      <c r="W38" s="79">
        <f>CEILING('1. Assumptions'!K48/'1. Assumptions'!C9,1)</f>
        <v>5</v>
      </c>
      <c r="X38" s="79">
        <f>CEILING('1. Assumptions'!K48/'1. Assumptions'!C9,1)</f>
        <v>5</v>
      </c>
      <c r="Y38" s="79">
        <f>CEILING('1. Assumptions'!K48/'1. Assumptions'!C9,1)</f>
        <v>5</v>
      </c>
      <c r="Z38" s="77">
        <f>C38</f>
        <v>110</v>
      </c>
    </row>
    <row r="39" spans="2:26" ht="16.5" customHeight="1">
      <c r="B39" s="81" t="s">
        <v>139</v>
      </c>
      <c r="C39" s="82">
        <f>'1. Assumptions'!H28</f>
        <v>5</v>
      </c>
      <c r="D39" s="83">
        <f>CEILING('1. Assumptions'!H28/'1. Assumptions'!C9,1)</f>
        <v>1</v>
      </c>
      <c r="E39" s="83">
        <f>CEILING('1. Assumptions'!H28/'1. Assumptions'!C9,1)</f>
        <v>1</v>
      </c>
      <c r="F39" s="83">
        <f>CEILING('1. Assumptions'!H28/'1. Assumptions'!C9,1)</f>
        <v>1</v>
      </c>
      <c r="G39" s="83">
        <f>CEILING('1. Assumptions'!H28/'1. Assumptions'!C9,1)</f>
        <v>1</v>
      </c>
      <c r="H39" s="83">
        <f>CEILING('1. Assumptions'!H28/'1. Assumptions'!C9,1)</f>
        <v>1</v>
      </c>
      <c r="I39" s="84">
        <f>CEILING('1. Assumptions'!H28/'1. Assumptions'!C9,1)</f>
        <v>1</v>
      </c>
      <c r="J39" s="84">
        <f>CEILING('1. Assumptions'!H28/'1. Assumptions'!C9,1)</f>
        <v>1</v>
      </c>
      <c r="K39" s="84">
        <f>CEILING('1. Assumptions'!H28/'1. Assumptions'!C9,1)</f>
        <v>1</v>
      </c>
      <c r="L39" s="84">
        <f>CEILING('1. Assumptions'!H28/'1. Assumptions'!C9,1)</f>
        <v>1</v>
      </c>
      <c r="M39" s="84">
        <f>CEILING('1. Assumptions'!H28/'1. Assumptions'!C9,1)</f>
        <v>1</v>
      </c>
      <c r="N39" s="84">
        <f>CEILING('1. Assumptions'!H28/'1. Assumptions'!C9,1)</f>
        <v>1</v>
      </c>
      <c r="O39" s="84">
        <f>CEILING('1. Assumptions'!H28/'1. Assumptions'!C9,1)</f>
        <v>1</v>
      </c>
      <c r="P39" s="84">
        <f>CEILING('1. Assumptions'!H28/'1. Assumptions'!C9,1)</f>
        <v>1</v>
      </c>
      <c r="Q39" s="84">
        <f>CEILING('1. Assumptions'!H28/'1. Assumptions'!C9,1)</f>
        <v>1</v>
      </c>
      <c r="R39" s="84">
        <f>CEILING('1. Assumptions'!H28/'1. Assumptions'!C9,1)</f>
        <v>1</v>
      </c>
      <c r="S39" s="84">
        <f>CEILING('1. Assumptions'!H28/'1. Assumptions'!C9,1)</f>
        <v>1</v>
      </c>
      <c r="T39" s="84">
        <f>CEILING('1. Assumptions'!H28/'1. Assumptions'!C9,1)</f>
        <v>1</v>
      </c>
      <c r="U39" s="84">
        <f>CEILING('1. Assumptions'!H28/'1. Assumptions'!C9,1)</f>
        <v>1</v>
      </c>
      <c r="V39" s="84">
        <f>CEILING('1. Assumptions'!H28/'1. Assumptions'!C9,1)</f>
        <v>1</v>
      </c>
      <c r="W39" s="84">
        <f>CEILING('1. Assumptions'!H28/'1. Assumptions'!C9,1)</f>
        <v>1</v>
      </c>
      <c r="X39" s="84">
        <f>CEILING('1. Assumptions'!H28/'1. Assumptions'!C9,1)</f>
        <v>1</v>
      </c>
      <c r="Y39" s="84">
        <f>CEILING('1. Assumptions'!H28/'1. Assumptions'!C9,1)</f>
        <v>1</v>
      </c>
      <c r="Z39" s="82">
        <f>C39</f>
        <v>5</v>
      </c>
    </row>
    <row r="40" spans="2:26" ht="18" customHeight="1">
      <c r="B40" s="85" t="s">
        <v>140</v>
      </c>
      <c r="C40" s="86">
        <f>'1. Assumptions'!G28</f>
        <v>4</v>
      </c>
      <c r="D40" s="87" t="s">
        <v>141</v>
      </c>
      <c r="E40" s="87" t="s">
        <v>141</v>
      </c>
      <c r="F40" s="87" t="s">
        <v>141</v>
      </c>
      <c r="G40" s="87" t="s">
        <v>141</v>
      </c>
      <c r="H40" s="88">
        <f>ROUND(5/'1. Assumptions'!C9*'1. Assumptions'!G28,0)-ROUND(0/'1. Assumptions'!C9*'1. Assumptions'!G28,0)</f>
        <v>1</v>
      </c>
      <c r="I40" s="87" t="s">
        <v>141</v>
      </c>
      <c r="J40" s="87" t="s">
        <v>141</v>
      </c>
      <c r="K40" s="87" t="s">
        <v>141</v>
      </c>
      <c r="L40" s="87" t="s">
        <v>141</v>
      </c>
      <c r="M40" s="88">
        <f>ROUND(10/'1. Assumptions'!C9*'1. Assumptions'!G28,0)-ROUND(5/'1. Assumptions'!C9*'1. Assumptions'!G28,0)</f>
        <v>1</v>
      </c>
      <c r="N40" s="87" t="s">
        <v>141</v>
      </c>
      <c r="O40" s="87" t="s">
        <v>141</v>
      </c>
      <c r="P40" s="87" t="s">
        <v>141</v>
      </c>
      <c r="Q40" s="87" t="s">
        <v>141</v>
      </c>
      <c r="R40" s="88">
        <f>ROUND(15/'1. Assumptions'!C9*'1. Assumptions'!G28,0)-ROUND(10/'1. Assumptions'!C9*'1. Assumptions'!G28,0)</f>
        <v>1</v>
      </c>
      <c r="S40" s="87" t="s">
        <v>141</v>
      </c>
      <c r="T40" s="87" t="s">
        <v>141</v>
      </c>
      <c r="U40" s="87" t="s">
        <v>141</v>
      </c>
      <c r="V40" s="87" t="s">
        <v>141</v>
      </c>
      <c r="W40" s="88">
        <f>ROUND(20/'1. Assumptions'!C9*'1. Assumptions'!G28,0)-ROUND(15/'1. Assumptions'!C9*'1. Assumptions'!G28,0)</f>
        <v>1</v>
      </c>
      <c r="X40" s="87" t="s">
        <v>141</v>
      </c>
      <c r="Y40" s="88">
        <f>ROUND(22/'1. Assumptions'!C9*'1. Assumptions'!G28,0)-ROUND(20/'1. Assumptions'!C9*'1. Assumptions'!G28,0)</f>
        <v>0</v>
      </c>
      <c r="Z40" s="89">
        <f>C40</f>
        <v>4</v>
      </c>
    </row>
    <row r="41" spans="2:26" ht="6" customHeight="1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2:26" ht="19.5" customHeight="1">
      <c r="B42" s="135" t="s">
        <v>148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2:26" ht="15" customHeight="1">
      <c r="B43" s="74" t="s">
        <v>135</v>
      </c>
      <c r="C43" s="75">
        <f>'1. Assumptions'!C39</f>
        <v>25</v>
      </c>
      <c r="D43" s="131" t="s">
        <v>149</v>
      </c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2:26" ht="16.5" customHeight="1">
      <c r="B44" s="76" t="s">
        <v>137</v>
      </c>
      <c r="C44" s="77">
        <f>'1. Assumptions'!J49</f>
        <v>100</v>
      </c>
      <c r="D44" s="78">
        <f>CEILING('1. Assumptions'!J49/'1. Assumptions'!C9,1)</f>
        <v>5</v>
      </c>
      <c r="E44" s="78">
        <f>CEILING('1. Assumptions'!J49/'1. Assumptions'!C9,1)</f>
        <v>5</v>
      </c>
      <c r="F44" s="78">
        <f>CEILING('1. Assumptions'!J49/'1. Assumptions'!C9,1)</f>
        <v>5</v>
      </c>
      <c r="G44" s="78">
        <f>CEILING('1. Assumptions'!J49/'1. Assumptions'!C9,1)</f>
        <v>5</v>
      </c>
      <c r="H44" s="78">
        <f>CEILING('1. Assumptions'!J49/'1. Assumptions'!C9,1)</f>
        <v>5</v>
      </c>
      <c r="I44" s="79">
        <f>CEILING('1. Assumptions'!J49/'1. Assumptions'!C9,1)</f>
        <v>5</v>
      </c>
      <c r="J44" s="79">
        <f>CEILING('1. Assumptions'!J49/'1. Assumptions'!C9,1)</f>
        <v>5</v>
      </c>
      <c r="K44" s="79">
        <f>CEILING('1. Assumptions'!J49/'1. Assumptions'!C9,1)</f>
        <v>5</v>
      </c>
      <c r="L44" s="79">
        <f>CEILING('1. Assumptions'!J49/'1. Assumptions'!C9,1)</f>
        <v>5</v>
      </c>
      <c r="M44" s="79">
        <f>CEILING('1. Assumptions'!J49/'1. Assumptions'!C9,1)</f>
        <v>5</v>
      </c>
      <c r="N44" s="79">
        <f>CEILING('1. Assumptions'!J49/'1. Assumptions'!C9,1)</f>
        <v>5</v>
      </c>
      <c r="O44" s="80">
        <f>CEILING('1. Assumptions'!J49/'1. Assumptions'!C9,1)</f>
        <v>5</v>
      </c>
      <c r="P44" s="80">
        <f>CEILING('1. Assumptions'!J49/'1. Assumptions'!C9,1)</f>
        <v>5</v>
      </c>
      <c r="Q44" s="80">
        <f>CEILING('1. Assumptions'!J49/'1. Assumptions'!C9,1)</f>
        <v>5</v>
      </c>
      <c r="R44" s="80">
        <f>CEILING('1. Assumptions'!J49/'1. Assumptions'!C9,1)</f>
        <v>5</v>
      </c>
      <c r="S44" s="80">
        <f>CEILING('1. Assumptions'!J49/'1. Assumptions'!C9,1)</f>
        <v>5</v>
      </c>
      <c r="T44" s="80">
        <f>CEILING('1. Assumptions'!J49/'1. Assumptions'!C9,1)</f>
        <v>5</v>
      </c>
      <c r="U44" s="80">
        <f>CEILING('1. Assumptions'!J49/'1. Assumptions'!C9,1)</f>
        <v>5</v>
      </c>
      <c r="V44" s="80">
        <f>CEILING('1. Assumptions'!J49/'1. Assumptions'!C9,1)</f>
        <v>5</v>
      </c>
      <c r="W44" s="80">
        <f>CEILING('1. Assumptions'!J49/'1. Assumptions'!C9,1)</f>
        <v>5</v>
      </c>
      <c r="X44" s="80">
        <f>CEILING('1. Assumptions'!J49/'1. Assumptions'!C9,1)</f>
        <v>5</v>
      </c>
      <c r="Y44" s="80">
        <f>CEILING('1. Assumptions'!J49/'1. Assumptions'!C9,1)</f>
        <v>5</v>
      </c>
      <c r="Z44" s="77">
        <f>C44</f>
        <v>100</v>
      </c>
    </row>
    <row r="45" spans="2:26" ht="16.5" customHeight="1">
      <c r="B45" s="76" t="s">
        <v>138</v>
      </c>
      <c r="C45" s="77">
        <f>'1. Assumptions'!K49</f>
        <v>88</v>
      </c>
      <c r="D45" s="78">
        <f>CEILING('1. Assumptions'!K49/'1. Assumptions'!C9,1)</f>
        <v>4</v>
      </c>
      <c r="E45" s="78">
        <f>CEILING('1. Assumptions'!K49/'1. Assumptions'!C9,1)</f>
        <v>4</v>
      </c>
      <c r="F45" s="78">
        <f>CEILING('1. Assumptions'!K49/'1. Assumptions'!C9,1)</f>
        <v>4</v>
      </c>
      <c r="G45" s="78">
        <f>CEILING('1. Assumptions'!K49/'1. Assumptions'!C9,1)</f>
        <v>4</v>
      </c>
      <c r="H45" s="78">
        <f>CEILING('1. Assumptions'!K49/'1. Assumptions'!C9,1)</f>
        <v>4</v>
      </c>
      <c r="I45" s="79">
        <f>CEILING('1. Assumptions'!K49/'1. Assumptions'!C9,1)</f>
        <v>4</v>
      </c>
      <c r="J45" s="79">
        <f>CEILING('1. Assumptions'!K49/'1. Assumptions'!C9,1)</f>
        <v>4</v>
      </c>
      <c r="K45" s="79">
        <f>CEILING('1. Assumptions'!K49/'1. Assumptions'!C9,1)</f>
        <v>4</v>
      </c>
      <c r="L45" s="79">
        <f>CEILING('1. Assumptions'!K49/'1. Assumptions'!C9,1)</f>
        <v>4</v>
      </c>
      <c r="M45" s="79">
        <f>CEILING('1. Assumptions'!K49/'1. Assumptions'!C9,1)</f>
        <v>4</v>
      </c>
      <c r="N45" s="79">
        <f>CEILING('1. Assumptions'!K49/'1. Assumptions'!C9,1)</f>
        <v>4</v>
      </c>
      <c r="O45" s="79">
        <f>CEILING('1. Assumptions'!K49/'1. Assumptions'!C9,1)</f>
        <v>4</v>
      </c>
      <c r="P45" s="79">
        <f>CEILING('1. Assumptions'!K49/'1. Assumptions'!C9,1)</f>
        <v>4</v>
      </c>
      <c r="Q45" s="79">
        <f>CEILING('1. Assumptions'!K49/'1. Assumptions'!C9,1)</f>
        <v>4</v>
      </c>
      <c r="R45" s="79">
        <f>CEILING('1. Assumptions'!K49/'1. Assumptions'!C9,1)</f>
        <v>4</v>
      </c>
      <c r="S45" s="79">
        <f>CEILING('1. Assumptions'!K49/'1. Assumptions'!C9,1)</f>
        <v>4</v>
      </c>
      <c r="T45" s="79">
        <f>CEILING('1. Assumptions'!K49/'1. Assumptions'!C9,1)</f>
        <v>4</v>
      </c>
      <c r="U45" s="79">
        <f>CEILING('1. Assumptions'!K49/'1. Assumptions'!C9,1)</f>
        <v>4</v>
      </c>
      <c r="V45" s="79">
        <f>CEILING('1. Assumptions'!K49/'1. Assumptions'!C9,1)</f>
        <v>4</v>
      </c>
      <c r="W45" s="79">
        <f>CEILING('1. Assumptions'!K49/'1. Assumptions'!C9,1)</f>
        <v>4</v>
      </c>
      <c r="X45" s="79">
        <f>CEILING('1. Assumptions'!K49/'1. Assumptions'!C9,1)</f>
        <v>4</v>
      </c>
      <c r="Y45" s="79">
        <f>CEILING('1. Assumptions'!K49/'1. Assumptions'!C9,1)</f>
        <v>4</v>
      </c>
      <c r="Z45" s="77">
        <f>C45</f>
        <v>88</v>
      </c>
    </row>
    <row r="46" spans="2:26" ht="16.5" customHeight="1">
      <c r="B46" s="81" t="s">
        <v>139</v>
      </c>
      <c r="C46" s="82">
        <f>'1. Assumptions'!H29</f>
        <v>5</v>
      </c>
      <c r="D46" s="83">
        <f>CEILING('1. Assumptions'!H29/'1. Assumptions'!C9,1)</f>
        <v>1</v>
      </c>
      <c r="E46" s="83">
        <f>CEILING('1. Assumptions'!H29/'1. Assumptions'!C9,1)</f>
        <v>1</v>
      </c>
      <c r="F46" s="83">
        <f>CEILING('1. Assumptions'!H29/'1. Assumptions'!C9,1)</f>
        <v>1</v>
      </c>
      <c r="G46" s="83">
        <f>CEILING('1. Assumptions'!H29/'1. Assumptions'!C9,1)</f>
        <v>1</v>
      </c>
      <c r="H46" s="83">
        <f>CEILING('1. Assumptions'!H29/'1. Assumptions'!C9,1)</f>
        <v>1</v>
      </c>
      <c r="I46" s="84">
        <f>CEILING('1. Assumptions'!H29/'1. Assumptions'!C9,1)</f>
        <v>1</v>
      </c>
      <c r="J46" s="84">
        <f>CEILING('1. Assumptions'!H29/'1. Assumptions'!C9,1)</f>
        <v>1</v>
      </c>
      <c r="K46" s="84">
        <f>CEILING('1. Assumptions'!H29/'1. Assumptions'!C9,1)</f>
        <v>1</v>
      </c>
      <c r="L46" s="84">
        <f>CEILING('1. Assumptions'!H29/'1. Assumptions'!C9,1)</f>
        <v>1</v>
      </c>
      <c r="M46" s="84">
        <f>CEILING('1. Assumptions'!H29/'1. Assumptions'!C9,1)</f>
        <v>1</v>
      </c>
      <c r="N46" s="84">
        <f>CEILING('1. Assumptions'!H29/'1. Assumptions'!C9,1)</f>
        <v>1</v>
      </c>
      <c r="O46" s="84">
        <f>CEILING('1. Assumptions'!H29/'1. Assumptions'!C9,1)</f>
        <v>1</v>
      </c>
      <c r="P46" s="84">
        <f>CEILING('1. Assumptions'!H29/'1. Assumptions'!C9,1)</f>
        <v>1</v>
      </c>
      <c r="Q46" s="84">
        <f>CEILING('1. Assumptions'!H29/'1. Assumptions'!C9,1)</f>
        <v>1</v>
      </c>
      <c r="R46" s="84">
        <f>CEILING('1. Assumptions'!H29/'1. Assumptions'!C9,1)</f>
        <v>1</v>
      </c>
      <c r="S46" s="84">
        <f>CEILING('1. Assumptions'!H29/'1. Assumptions'!C9,1)</f>
        <v>1</v>
      </c>
      <c r="T46" s="84">
        <f>CEILING('1. Assumptions'!H29/'1. Assumptions'!C9,1)</f>
        <v>1</v>
      </c>
      <c r="U46" s="84">
        <f>CEILING('1. Assumptions'!H29/'1. Assumptions'!C9,1)</f>
        <v>1</v>
      </c>
      <c r="V46" s="84">
        <f>CEILING('1. Assumptions'!H29/'1. Assumptions'!C9,1)</f>
        <v>1</v>
      </c>
      <c r="W46" s="84">
        <f>CEILING('1. Assumptions'!H29/'1. Assumptions'!C9,1)</f>
        <v>1</v>
      </c>
      <c r="X46" s="84">
        <f>CEILING('1. Assumptions'!H29/'1. Assumptions'!C9,1)</f>
        <v>1</v>
      </c>
      <c r="Y46" s="84">
        <f>CEILING('1. Assumptions'!H29/'1. Assumptions'!C9,1)</f>
        <v>1</v>
      </c>
      <c r="Z46" s="82">
        <f>C46</f>
        <v>5</v>
      </c>
    </row>
    <row r="47" spans="2:26" ht="18" customHeight="1">
      <c r="B47" s="85" t="s">
        <v>140</v>
      </c>
      <c r="C47" s="86">
        <f>'1. Assumptions'!G29</f>
        <v>4</v>
      </c>
      <c r="D47" s="87" t="s">
        <v>141</v>
      </c>
      <c r="E47" s="87" t="s">
        <v>141</v>
      </c>
      <c r="F47" s="87" t="s">
        <v>141</v>
      </c>
      <c r="G47" s="87" t="s">
        <v>141</v>
      </c>
      <c r="H47" s="88">
        <f>ROUND(5/'1. Assumptions'!C9*'1. Assumptions'!G29,0)-ROUND(0/'1. Assumptions'!C9*'1. Assumptions'!G29,0)</f>
        <v>1</v>
      </c>
      <c r="I47" s="87" t="s">
        <v>141</v>
      </c>
      <c r="J47" s="87" t="s">
        <v>141</v>
      </c>
      <c r="K47" s="87" t="s">
        <v>141</v>
      </c>
      <c r="L47" s="87" t="s">
        <v>141</v>
      </c>
      <c r="M47" s="88">
        <f>ROUND(10/'1. Assumptions'!C9*'1. Assumptions'!G29,0)-ROUND(5/'1. Assumptions'!C9*'1. Assumptions'!G29,0)</f>
        <v>1</v>
      </c>
      <c r="N47" s="87" t="s">
        <v>141</v>
      </c>
      <c r="O47" s="87" t="s">
        <v>141</v>
      </c>
      <c r="P47" s="87" t="s">
        <v>141</v>
      </c>
      <c r="Q47" s="87" t="s">
        <v>141</v>
      </c>
      <c r="R47" s="88">
        <f>ROUND(15/'1. Assumptions'!C9*'1. Assumptions'!G29,0)-ROUND(10/'1. Assumptions'!C9*'1. Assumptions'!G29,0)</f>
        <v>1</v>
      </c>
      <c r="S47" s="87" t="s">
        <v>141</v>
      </c>
      <c r="T47" s="87" t="s">
        <v>141</v>
      </c>
      <c r="U47" s="87" t="s">
        <v>141</v>
      </c>
      <c r="V47" s="87" t="s">
        <v>141</v>
      </c>
      <c r="W47" s="88">
        <f>ROUND(20/'1. Assumptions'!C9*'1. Assumptions'!G29,0)-ROUND(15/'1. Assumptions'!C9*'1. Assumptions'!G29,0)</f>
        <v>1</v>
      </c>
      <c r="X47" s="87" t="s">
        <v>141</v>
      </c>
      <c r="Y47" s="88">
        <f>ROUND(22/'1. Assumptions'!C9*'1. Assumptions'!G29,0)-ROUND(20/'1. Assumptions'!C9*'1. Assumptions'!G29,0)</f>
        <v>0</v>
      </c>
      <c r="Z47" s="89">
        <f>C47</f>
        <v>4</v>
      </c>
    </row>
    <row r="48" spans="2:26" ht="6" customHeight="1"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2:26" ht="19.5" customHeight="1">
      <c r="B49" s="136" t="s">
        <v>150</v>
      </c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2:26" ht="18" customHeight="1">
      <c r="B50" s="91" t="s">
        <v>151</v>
      </c>
      <c r="C50" s="92">
        <f>C16+C23+C30+C37+C44</f>
        <v>2340</v>
      </c>
      <c r="D50" s="93">
        <f>D16+D23+D30+D37+D44</f>
        <v>109</v>
      </c>
      <c r="E50" s="93">
        <f>E16+E23+E30+E37+E44</f>
        <v>109</v>
      </c>
      <c r="F50" s="93">
        <f>F16+F23+F30+F37+F44</f>
        <v>109</v>
      </c>
      <c r="G50" s="93">
        <f>G16+G23+G30+G37+G44</f>
        <v>109</v>
      </c>
      <c r="H50" s="93">
        <f>H16+H23+H30+H37+H44</f>
        <v>109</v>
      </c>
      <c r="I50" s="93">
        <f>I16+I23+I30+I37+I44</f>
        <v>109</v>
      </c>
      <c r="J50" s="93">
        <f>J16+J23+J30+J37+J44</f>
        <v>109</v>
      </c>
      <c r="K50" s="93">
        <f>K16+K23+K30+K37+K44</f>
        <v>109</v>
      </c>
      <c r="L50" s="93">
        <f>L16+L23+L30+L37+L44</f>
        <v>109</v>
      </c>
      <c r="M50" s="93">
        <f>M16+M23+M30+M37+M44</f>
        <v>109</v>
      </c>
      <c r="N50" s="93">
        <f>N16+N23+N30+N37+N44</f>
        <v>109</v>
      </c>
      <c r="O50" s="93">
        <f>O16+O23+O30+O37+O44</f>
        <v>109</v>
      </c>
      <c r="P50" s="93">
        <f>P16+P23+P30+P37+P44</f>
        <v>109</v>
      </c>
      <c r="Q50" s="93">
        <f>Q16+Q23+Q30+Q37+Q44</f>
        <v>109</v>
      </c>
      <c r="R50" s="93">
        <f>R16+R23+R30+R37+R44</f>
        <v>109</v>
      </c>
      <c r="S50" s="93">
        <f>S16+S23+S30+S37+S44</f>
        <v>109</v>
      </c>
      <c r="T50" s="93">
        <f>T16+T23+T30+T37+T44</f>
        <v>109</v>
      </c>
      <c r="U50" s="93">
        <f>U16+U23+U30+U37+U44</f>
        <v>109</v>
      </c>
      <c r="V50" s="93">
        <f>V16+V23+V30+V37+V44</f>
        <v>109</v>
      </c>
      <c r="W50" s="93">
        <f>W16+W23+W30+W37+W44</f>
        <v>109</v>
      </c>
      <c r="X50" s="93">
        <f>X16+X23+X30+X37+X44</f>
        <v>109</v>
      </c>
      <c r="Y50" s="93">
        <f>Y16+Y23+Y30+Y37+Y44</f>
        <v>109</v>
      </c>
      <c r="Z50" s="92">
        <f>C50</f>
        <v>2340</v>
      </c>
    </row>
    <row r="51" spans="2:26" ht="18" customHeight="1">
      <c r="B51" s="91" t="s">
        <v>152</v>
      </c>
      <c r="C51" s="92">
        <f>C17+C24+C31+C38+C45</f>
        <v>1100</v>
      </c>
      <c r="D51" s="93">
        <f>D17+D24+D31+D38+D45</f>
        <v>50</v>
      </c>
      <c r="E51" s="93">
        <f>E17+E24+E31+E38+E45</f>
        <v>50</v>
      </c>
      <c r="F51" s="93">
        <f>F17+F24+F31+F38+F45</f>
        <v>50</v>
      </c>
      <c r="G51" s="93">
        <f>G17+G24+G31+G38+G45</f>
        <v>50</v>
      </c>
      <c r="H51" s="93">
        <f>H17+H24+H31+H38+H45</f>
        <v>50</v>
      </c>
      <c r="I51" s="93">
        <f>I17+I24+I31+I38+I45</f>
        <v>50</v>
      </c>
      <c r="J51" s="93">
        <f>J17+J24+J31+J38+J45</f>
        <v>50</v>
      </c>
      <c r="K51" s="93">
        <f>K17+K24+K31+K38+K45</f>
        <v>50</v>
      </c>
      <c r="L51" s="93">
        <f>L17+L24+L31+L38+L45</f>
        <v>50</v>
      </c>
      <c r="M51" s="93">
        <f>M17+M24+M31+M38+M45</f>
        <v>50</v>
      </c>
      <c r="N51" s="93">
        <f>N17+N24+N31+N38+N45</f>
        <v>50</v>
      </c>
      <c r="O51" s="93">
        <f>O17+O24+O31+O38+O45</f>
        <v>50</v>
      </c>
      <c r="P51" s="93">
        <f>P17+P24+P31+P38+P45</f>
        <v>50</v>
      </c>
      <c r="Q51" s="93">
        <f>Q17+Q24+Q31+Q38+Q45</f>
        <v>50</v>
      </c>
      <c r="R51" s="93">
        <f>R17+R24+R31+R38+R45</f>
        <v>50</v>
      </c>
      <c r="S51" s="93">
        <f>S17+S24+S31+S38+S45</f>
        <v>50</v>
      </c>
      <c r="T51" s="93">
        <f>T17+T24+T31+T38+T45</f>
        <v>50</v>
      </c>
      <c r="U51" s="93">
        <f>U17+U24+U31+U38+U45</f>
        <v>50</v>
      </c>
      <c r="V51" s="93">
        <f>V17+V24+V31+V38+V45</f>
        <v>50</v>
      </c>
      <c r="W51" s="93">
        <f>W17+W24+W31+W38+W45</f>
        <v>50</v>
      </c>
      <c r="X51" s="93">
        <f>X17+X24+X31+X38+X45</f>
        <v>50</v>
      </c>
      <c r="Y51" s="93">
        <f>Y17+Y24+Y31+Y38+Y45</f>
        <v>50</v>
      </c>
      <c r="Z51" s="92">
        <f>C51</f>
        <v>1100</v>
      </c>
    </row>
    <row r="52" spans="2:26" ht="18" customHeight="1">
      <c r="B52" s="94" t="s">
        <v>153</v>
      </c>
      <c r="C52" s="82">
        <f>C18+C25+C32+C39+C46</f>
        <v>76</v>
      </c>
      <c r="D52" s="95">
        <f>D18+D25+D32+D39+D46</f>
        <v>6</v>
      </c>
      <c r="E52" s="95">
        <f>E18+E25+E32+E39+E46</f>
        <v>6</v>
      </c>
      <c r="F52" s="95">
        <f>F18+F25+F32+F39+F46</f>
        <v>6</v>
      </c>
      <c r="G52" s="95">
        <f>G18+G25+G32+G39+G46</f>
        <v>6</v>
      </c>
      <c r="H52" s="95">
        <f>H18+H25+H32+H39+H46</f>
        <v>6</v>
      </c>
      <c r="I52" s="95">
        <f>I18+I25+I32+I39+I46</f>
        <v>6</v>
      </c>
      <c r="J52" s="95">
        <f>J18+J25+J32+J39+J46</f>
        <v>6</v>
      </c>
      <c r="K52" s="95">
        <f>K18+K25+K32+K39+K46</f>
        <v>6</v>
      </c>
      <c r="L52" s="95">
        <f>L18+L25+L32+L39+L46</f>
        <v>6</v>
      </c>
      <c r="M52" s="95">
        <f>M18+M25+M32+M39+M46</f>
        <v>6</v>
      </c>
      <c r="N52" s="95">
        <f>N18+N25+N32+N39+N46</f>
        <v>6</v>
      </c>
      <c r="O52" s="95">
        <f>O18+O25+O32+O39+O46</f>
        <v>6</v>
      </c>
      <c r="P52" s="95">
        <f>P18+P25+P32+P39+P46</f>
        <v>6</v>
      </c>
      <c r="Q52" s="95">
        <f>Q18+Q25+Q32+Q39+Q46</f>
        <v>6</v>
      </c>
      <c r="R52" s="95">
        <f>R18+R25+R32+R39+R46</f>
        <v>6</v>
      </c>
      <c r="S52" s="95">
        <f>S18+S25+S32+S39+S46</f>
        <v>6</v>
      </c>
      <c r="T52" s="95">
        <f>T18+T25+T32+T39+T46</f>
        <v>6</v>
      </c>
      <c r="U52" s="95">
        <f>U18+U25+U32+U39+U46</f>
        <v>6</v>
      </c>
      <c r="V52" s="95">
        <f>V18+V25+V32+V39+V46</f>
        <v>6</v>
      </c>
      <c r="W52" s="95">
        <f>W18+W25+W32+W39+W46</f>
        <v>6</v>
      </c>
      <c r="X52" s="95">
        <f>X18+X25+X32+X39+X46</f>
        <v>6</v>
      </c>
      <c r="Y52" s="95">
        <f>Y18+Y25+Y32+Y39+Y46</f>
        <v>6</v>
      </c>
      <c r="Z52" s="82">
        <f>C52</f>
        <v>76</v>
      </c>
    </row>
    <row r="53" spans="2:26" ht="18" customHeight="1">
      <c r="B53" s="85" t="s">
        <v>154</v>
      </c>
      <c r="C53" s="86">
        <f>C19+C26+C33+C40+C47</f>
        <v>60</v>
      </c>
      <c r="D53" s="87" t="s">
        <v>141</v>
      </c>
      <c r="E53" s="87" t="s">
        <v>141</v>
      </c>
      <c r="F53" s="87" t="s">
        <v>141</v>
      </c>
      <c r="G53" s="87" t="s">
        <v>141</v>
      </c>
      <c r="H53" s="88">
        <f>ROUND(5/'1. Assumptions'!C9*(C19+C26+C33+C40+C47),0)-ROUND(0/'1. Assumptions'!C9*(C19+C26+C33+C40+C47),0)</f>
        <v>14</v>
      </c>
      <c r="I53" s="87" t="s">
        <v>141</v>
      </c>
      <c r="J53" s="87" t="s">
        <v>141</v>
      </c>
      <c r="K53" s="87" t="s">
        <v>141</v>
      </c>
      <c r="L53" s="87" t="s">
        <v>141</v>
      </c>
      <c r="M53" s="88">
        <f>ROUND(10/'1. Assumptions'!C9*(C19+C26+C33+C40+C47),0)-ROUND(5/'1. Assumptions'!C9*(C19+C26+C33+C40+C47),0)</f>
        <v>13</v>
      </c>
      <c r="N53" s="87" t="s">
        <v>141</v>
      </c>
      <c r="O53" s="87" t="s">
        <v>141</v>
      </c>
      <c r="P53" s="87" t="s">
        <v>141</v>
      </c>
      <c r="Q53" s="87" t="s">
        <v>141</v>
      </c>
      <c r="R53" s="88">
        <f>ROUND(15/'1. Assumptions'!C9*(C19+C26+C33+C40+C47),0)-ROUND(10/'1. Assumptions'!C9*(C19+C26+C33+C40+C47),0)</f>
        <v>14</v>
      </c>
      <c r="S53" s="87" t="s">
        <v>141</v>
      </c>
      <c r="T53" s="87" t="s">
        <v>141</v>
      </c>
      <c r="U53" s="87" t="s">
        <v>141</v>
      </c>
      <c r="V53" s="87" t="s">
        <v>141</v>
      </c>
      <c r="W53" s="88">
        <f>ROUND(20/'1. Assumptions'!C9*(C19+C26+C33+C40+C47),0)-ROUND(15/'1. Assumptions'!C9*(C19+C26+C33+C40+C47),0)</f>
        <v>14</v>
      </c>
      <c r="X53" s="87" t="s">
        <v>141</v>
      </c>
      <c r="Y53" s="88">
        <f>ROUND(22/'1. Assumptions'!C9*(C19+C26+C33+C40+C47),0)-ROUND(20/'1. Assumptions'!C9*(C19+C26+C33+C40+C47),0)</f>
        <v>5</v>
      </c>
      <c r="Z53" s="89">
        <f>C53</f>
        <v>60</v>
      </c>
    </row>
    <row r="54" spans="2:26" ht="15.75" customHeight="1">
      <c r="B54" s="96" t="s">
        <v>155</v>
      </c>
      <c r="C54" s="97" t="s">
        <v>156</v>
      </c>
      <c r="D54" s="98" t="str">
        <f>IF(SUM(D52:D52)&gt;=(1/'1. Assumptions'!C9)*'1. Assumptions'!C11,"OK","Low")</f>
        <v>OK</v>
      </c>
      <c r="E54" s="98" t="str">
        <f>IF(SUM(D52:E52)&gt;=(2/'1. Assumptions'!C9)*'1. Assumptions'!C11,"OK","Low")</f>
        <v>OK</v>
      </c>
      <c r="F54" s="98" t="str">
        <f>IF(SUM(D52:F52)&gt;=(3/'1. Assumptions'!C9)*'1. Assumptions'!C11,"OK","Low")</f>
        <v>OK</v>
      </c>
      <c r="G54" s="98" t="str">
        <f>IF(SUM(D52:G52)&gt;=(4/'1. Assumptions'!C9)*'1. Assumptions'!C11,"OK","Low")</f>
        <v>OK</v>
      </c>
      <c r="H54" s="98" t="str">
        <f>IF(SUM(D52:H52)&gt;=(5/'1. Assumptions'!C9)*'1. Assumptions'!C11,"OK","Low")</f>
        <v>OK</v>
      </c>
      <c r="I54" s="98" t="str">
        <f>IF(SUM(D52:I52)&gt;=(6/'1. Assumptions'!C9)*'1. Assumptions'!C11,"OK","Low")</f>
        <v>OK</v>
      </c>
      <c r="J54" s="98" t="str">
        <f>IF(SUM(D52:J52)&gt;=(7/'1. Assumptions'!C9)*'1. Assumptions'!C11,"OK","Low")</f>
        <v>OK</v>
      </c>
      <c r="K54" s="98" t="str">
        <f>IF(SUM(D52:K52)&gt;=(8/'1. Assumptions'!C9)*'1. Assumptions'!C11,"OK","Low")</f>
        <v>OK</v>
      </c>
      <c r="L54" s="98" t="str">
        <f>IF(SUM(D52:L52)&gt;=(9/'1. Assumptions'!C9)*'1. Assumptions'!C11,"OK","Low")</f>
        <v>OK</v>
      </c>
      <c r="M54" s="98" t="str">
        <f>IF(SUM(D52:M52)&gt;=(10/'1. Assumptions'!C9)*'1. Assumptions'!C11,"OK","Low")</f>
        <v>OK</v>
      </c>
      <c r="N54" s="98" t="str">
        <f>IF(SUM(D52:N52)&gt;=(11/'1. Assumptions'!C9)*'1. Assumptions'!C11,"OK","Low")</f>
        <v>OK</v>
      </c>
      <c r="O54" s="98" t="str">
        <f>IF(SUM(D52:O52)&gt;=(12/'1. Assumptions'!C9)*'1. Assumptions'!C11,"OK","Low")</f>
        <v>OK</v>
      </c>
      <c r="P54" s="98" t="str">
        <f>IF(SUM(D52:P52)&gt;=(13/'1. Assumptions'!C9)*'1. Assumptions'!C11,"OK","Low")</f>
        <v>OK</v>
      </c>
      <c r="Q54" s="98" t="str">
        <f>IF(SUM(D52:Q52)&gt;=(14/'1. Assumptions'!C9)*'1. Assumptions'!C11,"OK","Low")</f>
        <v>OK</v>
      </c>
      <c r="R54" s="98" t="str">
        <f>IF(SUM(D52:R52)&gt;=(15/'1. Assumptions'!C9)*'1. Assumptions'!C11,"OK","Low")</f>
        <v>OK</v>
      </c>
      <c r="S54" s="98" t="str">
        <f>IF(SUM(D52:S52)&gt;=(16/'1. Assumptions'!C9)*'1. Assumptions'!C11,"OK","Low")</f>
        <v>OK</v>
      </c>
      <c r="T54" s="98" t="str">
        <f>IF(SUM(D52:T52)&gt;=(17/'1. Assumptions'!C9)*'1. Assumptions'!C11,"OK","Low")</f>
        <v>OK</v>
      </c>
      <c r="U54" s="98" t="str">
        <f>IF(SUM(D52:U52)&gt;=(18/'1. Assumptions'!C9)*'1. Assumptions'!C11,"OK","Low")</f>
        <v>OK</v>
      </c>
      <c r="V54" s="98" t="str">
        <f>IF(SUM(D52:V52)&gt;=(19/'1. Assumptions'!C9)*'1. Assumptions'!C11,"OK","Low")</f>
        <v>OK</v>
      </c>
      <c r="W54" s="98" t="str">
        <f>IF(SUM(D52:W52)&gt;=(20/'1. Assumptions'!C9)*'1. Assumptions'!C11,"OK","Low")</f>
        <v>OK</v>
      </c>
      <c r="X54" s="98" t="str">
        <f>IF(SUM(D52:X52)&gt;=(21/'1. Assumptions'!C9)*'1. Assumptions'!C11,"OK","Low")</f>
        <v>OK</v>
      </c>
      <c r="Y54" s="98" t="str">
        <f>IF(SUM(D52:Y52)&gt;=(22/'1. Assumptions'!C9)*'1. Assumptions'!C11,"OK","Low")</f>
        <v>OK</v>
      </c>
      <c r="Z54" s="99" t="s">
        <v>157</v>
      </c>
    </row>
    <row r="56" spans="2:26" ht="21.75" customHeight="1">
      <c r="B56" s="137" t="s">
        <v>158</v>
      </c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spans="2:26" ht="19.5" customHeight="1">
      <c r="B57" s="138" t="s">
        <v>159</v>
      </c>
      <c r="C57" s="138"/>
      <c r="D57" s="19">
        <v>6</v>
      </c>
      <c r="E57" s="138" t="s">
        <v>160</v>
      </c>
      <c r="F57" s="138"/>
      <c r="G57" s="138"/>
      <c r="H57" s="19">
        <v>16</v>
      </c>
    </row>
    <row r="58" spans="2:26" ht="18" customHeight="1">
      <c r="B58" s="91" t="s">
        <v>161</v>
      </c>
      <c r="D58" s="100">
        <f>D50</f>
        <v>109</v>
      </c>
      <c r="E58" s="100">
        <f>E50</f>
        <v>109</v>
      </c>
      <c r="F58" s="100">
        <f>F50</f>
        <v>109</v>
      </c>
      <c r="G58" s="100">
        <f>G50</f>
        <v>109</v>
      </c>
      <c r="H58" s="100">
        <f>H50</f>
        <v>109</v>
      </c>
      <c r="I58" s="100">
        <f>I50</f>
        <v>109</v>
      </c>
      <c r="J58" s="100">
        <f>J50</f>
        <v>109</v>
      </c>
      <c r="K58" s="100">
        <f>K50</f>
        <v>109</v>
      </c>
      <c r="L58" s="100">
        <f>L50</f>
        <v>109</v>
      </c>
      <c r="M58" s="100">
        <f>M50</f>
        <v>109</v>
      </c>
      <c r="N58" s="100">
        <f>N50</f>
        <v>109</v>
      </c>
      <c r="O58" s="100">
        <f>O50</f>
        <v>109</v>
      </c>
      <c r="P58" s="100">
        <f>P50</f>
        <v>109</v>
      </c>
      <c r="Q58" s="100">
        <f>Q50</f>
        <v>109</v>
      </c>
      <c r="R58" s="100">
        <f>R50</f>
        <v>109</v>
      </c>
      <c r="S58" s="100">
        <f>S50</f>
        <v>109</v>
      </c>
      <c r="T58" s="100">
        <f>T50</f>
        <v>109</v>
      </c>
      <c r="U58" s="100">
        <f>U50</f>
        <v>109</v>
      </c>
      <c r="V58" s="100">
        <f>V50</f>
        <v>109</v>
      </c>
      <c r="W58" s="100">
        <f>W50</f>
        <v>109</v>
      </c>
      <c r="X58" s="100">
        <f>X50</f>
        <v>109</v>
      </c>
      <c r="Y58" s="100">
        <f>Y50</f>
        <v>109</v>
      </c>
      <c r="Z58" s="93">
        <f>SUM(D58:Y58)</f>
        <v>2398</v>
      </c>
    </row>
    <row r="59" spans="2:26" ht="18" customHeight="1">
      <c r="B59" s="94" t="s">
        <v>162</v>
      </c>
      <c r="D59" s="84">
        <f>$D$57*$H$57</f>
        <v>96</v>
      </c>
      <c r="E59" s="84">
        <f>$D$57*$H$57</f>
        <v>96</v>
      </c>
      <c r="F59" s="84">
        <f>$D$57*$H$57</f>
        <v>96</v>
      </c>
      <c r="G59" s="84">
        <f>$D$57*$H$57</f>
        <v>96</v>
      </c>
      <c r="H59" s="84">
        <f>$D$57*$H$57</f>
        <v>96</v>
      </c>
      <c r="I59" s="84">
        <f>$D$57*$H$57</f>
        <v>96</v>
      </c>
      <c r="J59" s="84">
        <f>$D$57*$H$57</f>
        <v>96</v>
      </c>
      <c r="K59" s="84">
        <f>$D$57*$H$57</f>
        <v>96</v>
      </c>
      <c r="L59" s="84">
        <f>$D$57*$H$57</f>
        <v>96</v>
      </c>
      <c r="M59" s="84">
        <f>$D$57*$H$57</f>
        <v>96</v>
      </c>
      <c r="N59" s="84">
        <f>$D$57*$H$57</f>
        <v>96</v>
      </c>
      <c r="O59" s="84">
        <f>$D$57*$H$57</f>
        <v>96</v>
      </c>
      <c r="P59" s="84">
        <f>$D$57*$H$57</f>
        <v>96</v>
      </c>
      <c r="Q59" s="84">
        <f>$D$57*$H$57</f>
        <v>96</v>
      </c>
      <c r="R59" s="84">
        <f>$D$57*$H$57</f>
        <v>96</v>
      </c>
      <c r="S59" s="84">
        <f>$D$57*$H$57</f>
        <v>96</v>
      </c>
      <c r="T59" s="84">
        <f>$D$57*$H$57</f>
        <v>96</v>
      </c>
      <c r="U59" s="84">
        <f>$D$57*$H$57</f>
        <v>96</v>
      </c>
      <c r="V59" s="84">
        <f>$D$57*$H$57</f>
        <v>96</v>
      </c>
      <c r="W59" s="84">
        <f>$D$57*$H$57</f>
        <v>96</v>
      </c>
      <c r="X59" s="84">
        <f>$D$57*$H$57</f>
        <v>96</v>
      </c>
      <c r="Y59" s="84">
        <f>$D$57*$H$57</f>
        <v>96</v>
      </c>
      <c r="Z59" s="95">
        <f>SUM(D59:Y59)</f>
        <v>2112</v>
      </c>
    </row>
    <row r="60" spans="2:26" ht="18" customHeight="1">
      <c r="B60" s="96" t="s">
        <v>163</v>
      </c>
      <c r="D60" s="101">
        <f>$D$57*$H$57-D50</f>
        <v>-13</v>
      </c>
      <c r="E60" s="101">
        <f>$D$57*$H$57-E50</f>
        <v>-13</v>
      </c>
      <c r="F60" s="101">
        <f>$D$57*$H$57-F50</f>
        <v>-13</v>
      </c>
      <c r="G60" s="101">
        <f>$D$57*$H$57-G50</f>
        <v>-13</v>
      </c>
      <c r="H60" s="101">
        <f>$D$57*$H$57-H50</f>
        <v>-13</v>
      </c>
      <c r="I60" s="101">
        <f>$D$57*$H$57-I50</f>
        <v>-13</v>
      </c>
      <c r="J60" s="101">
        <f>$D$57*$H$57-J50</f>
        <v>-13</v>
      </c>
      <c r="K60" s="101">
        <f>$D$57*$H$57-K50</f>
        <v>-13</v>
      </c>
      <c r="L60" s="101">
        <f>$D$57*$H$57-L50</f>
        <v>-13</v>
      </c>
      <c r="M60" s="101">
        <f>$D$57*$H$57-M50</f>
        <v>-13</v>
      </c>
      <c r="N60" s="101">
        <f>$D$57*$H$57-N50</f>
        <v>-13</v>
      </c>
      <c r="O60" s="101">
        <f>$D$57*$H$57-O50</f>
        <v>-13</v>
      </c>
      <c r="P60" s="101">
        <f>$D$57*$H$57-P50</f>
        <v>-13</v>
      </c>
      <c r="Q60" s="101">
        <f>$D$57*$H$57-Q50</f>
        <v>-13</v>
      </c>
      <c r="R60" s="101">
        <f>$D$57*$H$57-R50</f>
        <v>-13</v>
      </c>
      <c r="S60" s="101">
        <f>$D$57*$H$57-S50</f>
        <v>-13</v>
      </c>
      <c r="T60" s="101">
        <f>$D$57*$H$57-T50</f>
        <v>-13</v>
      </c>
      <c r="U60" s="101">
        <f>$D$57*$H$57-U50</f>
        <v>-13</v>
      </c>
      <c r="V60" s="101">
        <f>$D$57*$H$57-V50</f>
        <v>-13</v>
      </c>
      <c r="W60" s="101">
        <f>$D$57*$H$57-W50</f>
        <v>-13</v>
      </c>
      <c r="X60" s="101">
        <f>$D$57*$H$57-X50</f>
        <v>-13</v>
      </c>
      <c r="Y60" s="101">
        <f>$D$57*$H$57-Y50</f>
        <v>-13</v>
      </c>
      <c r="Z60" s="102">
        <f>SUM(D60:Y60)</f>
        <v>-286</v>
      </c>
    </row>
    <row r="61" spans="2:26" ht="18" customHeight="1">
      <c r="B61" s="103" t="s">
        <v>164</v>
      </c>
      <c r="D61" s="104">
        <f>IF(D60&gt;=0,0,CEILING(ABS(D60)/$D$57,1))</f>
        <v>3</v>
      </c>
      <c r="E61" s="104">
        <f>IF(E60&gt;=0,0,CEILING(ABS(E60)/$D$57,1))</f>
        <v>3</v>
      </c>
      <c r="F61" s="104">
        <f>IF(F60&gt;=0,0,CEILING(ABS(F60)/$D$57,1))</f>
        <v>3</v>
      </c>
      <c r="G61" s="104">
        <f>IF(G60&gt;=0,0,CEILING(ABS(G60)/$D$57,1))</f>
        <v>3</v>
      </c>
      <c r="H61" s="104">
        <f>IF(H60&gt;=0,0,CEILING(ABS(H60)/$D$57,1))</f>
        <v>3</v>
      </c>
      <c r="I61" s="104">
        <f>IF(I60&gt;=0,0,CEILING(ABS(I60)/$D$57,1))</f>
        <v>3</v>
      </c>
      <c r="J61" s="104">
        <f>IF(J60&gt;=0,0,CEILING(ABS(J60)/$D$57,1))</f>
        <v>3</v>
      </c>
      <c r="K61" s="104">
        <f>IF(K60&gt;=0,0,CEILING(ABS(K60)/$D$57,1))</f>
        <v>3</v>
      </c>
      <c r="L61" s="104">
        <f>IF(L60&gt;=0,0,CEILING(ABS(L60)/$D$57,1))</f>
        <v>3</v>
      </c>
      <c r="M61" s="104">
        <f>IF(M60&gt;=0,0,CEILING(ABS(M60)/$D$57,1))</f>
        <v>3</v>
      </c>
      <c r="N61" s="104">
        <f>IF(N60&gt;=0,0,CEILING(ABS(N60)/$D$57,1))</f>
        <v>3</v>
      </c>
      <c r="O61" s="104">
        <f>IF(O60&gt;=0,0,CEILING(ABS(O60)/$D$57,1))</f>
        <v>3</v>
      </c>
      <c r="P61" s="104">
        <f>IF(P60&gt;=0,0,CEILING(ABS(P60)/$D$57,1))</f>
        <v>3</v>
      </c>
      <c r="Q61" s="104">
        <f>IF(Q60&gt;=0,0,CEILING(ABS(Q60)/$D$57,1))</f>
        <v>3</v>
      </c>
      <c r="R61" s="104">
        <f>IF(R60&gt;=0,0,CEILING(ABS(R60)/$D$57,1))</f>
        <v>3</v>
      </c>
      <c r="S61" s="104">
        <f>IF(S60&gt;=0,0,CEILING(ABS(S60)/$D$57,1))</f>
        <v>3</v>
      </c>
      <c r="T61" s="104">
        <f>IF(T60&gt;=0,0,CEILING(ABS(T60)/$D$57,1))</f>
        <v>3</v>
      </c>
      <c r="U61" s="104">
        <f>IF(U60&gt;=0,0,CEILING(ABS(U60)/$D$57,1))</f>
        <v>3</v>
      </c>
      <c r="V61" s="104">
        <f>IF(V60&gt;=0,0,CEILING(ABS(V60)/$D$57,1))</f>
        <v>3</v>
      </c>
      <c r="W61" s="104">
        <f>IF(W60&gt;=0,0,CEILING(ABS(W60)/$D$57,1))</f>
        <v>3</v>
      </c>
      <c r="X61" s="104">
        <f>IF(X60&gt;=0,0,CEILING(ABS(X60)/$D$57,1))</f>
        <v>3</v>
      </c>
      <c r="Y61" s="104">
        <f>IF(Y60&gt;=0,0,CEILING(ABS(Y60)/$D$57,1))</f>
        <v>3</v>
      </c>
      <c r="Z61" s="104">
        <f>MAX(D61:Y61)</f>
        <v>3</v>
      </c>
    </row>
    <row r="62" spans="2:26" ht="18" customHeight="1">
      <c r="B62" s="96" t="s">
        <v>99</v>
      </c>
      <c r="D62" s="105" t="str">
        <f>IF(D60&gt;=0,"OK  +"&amp;TEXT(D60,"0")&amp;" spare","SHORT  need "&amp;TEXT(D61,"0")&amp;" more")</f>
        <v>SHORT  need 3 more</v>
      </c>
      <c r="E62" s="105" t="str">
        <f>IF(E60&gt;=0,"OK  +"&amp;TEXT(E60,"0")&amp;" spare","SHORT  need "&amp;TEXT(E61,"0")&amp;" more")</f>
        <v>SHORT  need 3 more</v>
      </c>
      <c r="F62" s="105" t="str">
        <f>IF(F60&gt;=0,"OK  +"&amp;TEXT(F60,"0")&amp;" spare","SHORT  need "&amp;TEXT(F61,"0")&amp;" more")</f>
        <v>SHORT  need 3 more</v>
      </c>
      <c r="G62" s="105" t="str">
        <f>IF(G60&gt;=0,"OK  +"&amp;TEXT(G60,"0")&amp;" spare","SHORT  need "&amp;TEXT(G61,"0")&amp;" more")</f>
        <v>SHORT  need 3 more</v>
      </c>
      <c r="H62" s="105" t="str">
        <f>IF(H60&gt;=0,"OK  +"&amp;TEXT(H60,"0")&amp;" spare","SHORT  need "&amp;TEXT(H61,"0")&amp;" more")</f>
        <v>SHORT  need 3 more</v>
      </c>
      <c r="I62" s="105" t="str">
        <f>IF(I60&gt;=0,"OK  +"&amp;TEXT(I60,"0")&amp;" spare","SHORT  need "&amp;TEXT(I61,"0")&amp;" more")</f>
        <v>SHORT  need 3 more</v>
      </c>
      <c r="J62" s="105" t="str">
        <f>IF(J60&gt;=0,"OK  +"&amp;TEXT(J60,"0")&amp;" spare","SHORT  need "&amp;TEXT(J61,"0")&amp;" more")</f>
        <v>SHORT  need 3 more</v>
      </c>
      <c r="K62" s="105" t="str">
        <f>IF(K60&gt;=0,"OK  +"&amp;TEXT(K60,"0")&amp;" spare","SHORT  need "&amp;TEXT(K61,"0")&amp;" more")</f>
        <v>SHORT  need 3 more</v>
      </c>
      <c r="L62" s="105" t="str">
        <f>IF(L60&gt;=0,"OK  +"&amp;TEXT(L60,"0")&amp;" spare","SHORT  need "&amp;TEXT(L61,"0")&amp;" more")</f>
        <v>SHORT  need 3 more</v>
      </c>
      <c r="M62" s="105" t="str">
        <f>IF(M60&gt;=0,"OK  +"&amp;TEXT(M60,"0")&amp;" spare","SHORT  need "&amp;TEXT(M61,"0")&amp;" more")</f>
        <v>SHORT  need 3 more</v>
      </c>
      <c r="N62" s="105" t="str">
        <f>IF(N60&gt;=0,"OK  +"&amp;TEXT(N60,"0")&amp;" spare","SHORT  need "&amp;TEXT(N61,"0")&amp;" more")</f>
        <v>SHORT  need 3 more</v>
      </c>
      <c r="O62" s="105" t="str">
        <f>IF(O60&gt;=0,"OK  +"&amp;TEXT(O60,"0")&amp;" spare","SHORT  need "&amp;TEXT(O61,"0")&amp;" more")</f>
        <v>SHORT  need 3 more</v>
      </c>
      <c r="P62" s="105" t="str">
        <f>IF(P60&gt;=0,"OK  +"&amp;TEXT(P60,"0")&amp;" spare","SHORT  need "&amp;TEXT(P61,"0")&amp;" more")</f>
        <v>SHORT  need 3 more</v>
      </c>
      <c r="Q62" s="105" t="str">
        <f>IF(Q60&gt;=0,"OK  +"&amp;TEXT(Q60,"0")&amp;" spare","SHORT  need "&amp;TEXT(Q61,"0")&amp;" more")</f>
        <v>SHORT  need 3 more</v>
      </c>
      <c r="R62" s="105" t="str">
        <f>IF(R60&gt;=0,"OK  +"&amp;TEXT(R60,"0")&amp;" spare","SHORT  need "&amp;TEXT(R61,"0")&amp;" more")</f>
        <v>SHORT  need 3 more</v>
      </c>
      <c r="S62" s="105" t="str">
        <f>IF(S60&gt;=0,"OK  +"&amp;TEXT(S60,"0")&amp;" spare","SHORT  need "&amp;TEXT(S61,"0")&amp;" more")</f>
        <v>SHORT  need 3 more</v>
      </c>
      <c r="T62" s="105" t="str">
        <f>IF(T60&gt;=0,"OK  +"&amp;TEXT(T60,"0")&amp;" spare","SHORT  need "&amp;TEXT(T61,"0")&amp;" more")</f>
        <v>SHORT  need 3 more</v>
      </c>
      <c r="U62" s="105" t="str">
        <f>IF(U60&gt;=0,"OK  +"&amp;TEXT(U60,"0")&amp;" spare","SHORT  need "&amp;TEXT(U61,"0")&amp;" more")</f>
        <v>SHORT  need 3 more</v>
      </c>
      <c r="V62" s="105" t="str">
        <f>IF(V60&gt;=0,"OK  +"&amp;TEXT(V60,"0")&amp;" spare","SHORT  need "&amp;TEXT(V61,"0")&amp;" more")</f>
        <v>SHORT  need 3 more</v>
      </c>
      <c r="W62" s="105" t="str">
        <f>IF(W60&gt;=0,"OK  +"&amp;TEXT(W60,"0")&amp;" spare","SHORT  need "&amp;TEXT(W61,"0")&amp;" more")</f>
        <v>SHORT  need 3 more</v>
      </c>
      <c r="X62" s="105" t="str">
        <f>IF(X60&gt;=0,"OK  +"&amp;TEXT(X60,"0")&amp;" spare","SHORT  need "&amp;TEXT(X61,"0")&amp;" more")</f>
        <v>SHORT  need 3 more</v>
      </c>
      <c r="Y62" s="105" t="str">
        <f>IF(Y60&gt;=0,"OK  +"&amp;TEXT(Y60,"0")&amp;" spare","SHORT  need "&amp;TEXT(Y61,"0")&amp;" more")</f>
        <v>SHORT  need 3 more</v>
      </c>
      <c r="Z62" s="105" t="s">
        <v>165</v>
      </c>
    </row>
    <row r="64" spans="2:26" ht="21.75" customHeight="1">
      <c r="B64" s="136" t="s">
        <v>166</v>
      </c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2:28" ht="19.5" customHeight="1">
      <c r="B65" s="138" t="s">
        <v>167</v>
      </c>
      <c r="C65" s="138"/>
      <c r="D65" s="19">
        <v>12</v>
      </c>
      <c r="E65" s="138" t="s">
        <v>168</v>
      </c>
      <c r="F65" s="138"/>
      <c r="G65" s="138"/>
      <c r="H65" s="19">
        <v>4</v>
      </c>
    </row>
    <row r="66" spans="2:28" ht="15.75" customHeight="1">
      <c r="B66" s="139" t="s">
        <v>169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spans="2:28" ht="15.75" customHeight="1">
      <c r="B67" s="76" t="s">
        <v>170</v>
      </c>
      <c r="C67" s="77">
        <f>'1. Assumptions'!K45</f>
        <v>440</v>
      </c>
      <c r="D67" s="79">
        <f>CEILING('1. Assumptions'!K45/'1. Assumptions'!C9,1)</f>
        <v>20</v>
      </c>
      <c r="E67" s="79">
        <f>CEILING('1. Assumptions'!K45/'1. Assumptions'!C9,1)</f>
        <v>20</v>
      </c>
      <c r="F67" s="79">
        <f>CEILING('1. Assumptions'!K45/'1. Assumptions'!C9,1)</f>
        <v>20</v>
      </c>
      <c r="G67" s="79">
        <f>CEILING('1. Assumptions'!K45/'1. Assumptions'!C9,1)</f>
        <v>20</v>
      </c>
      <c r="H67" s="79">
        <f>CEILING('1. Assumptions'!K45/'1. Assumptions'!C9,1)</f>
        <v>20</v>
      </c>
      <c r="I67" s="79">
        <f>CEILING('1. Assumptions'!K45/'1. Assumptions'!C9,1)</f>
        <v>20</v>
      </c>
      <c r="J67" s="79">
        <f>CEILING('1. Assumptions'!K45/'1. Assumptions'!C9,1)</f>
        <v>20</v>
      </c>
      <c r="K67" s="79">
        <f>CEILING('1. Assumptions'!K45/'1. Assumptions'!C9,1)</f>
        <v>20</v>
      </c>
      <c r="L67" s="79">
        <f>CEILING('1. Assumptions'!K45/'1. Assumptions'!C9,1)</f>
        <v>20</v>
      </c>
      <c r="M67" s="79">
        <f>CEILING('1. Assumptions'!K45/'1. Assumptions'!C9,1)</f>
        <v>20</v>
      </c>
      <c r="N67" s="79">
        <f>CEILING('1. Assumptions'!K45/'1. Assumptions'!C9,1)</f>
        <v>20</v>
      </c>
      <c r="O67" s="79">
        <f>CEILING('1. Assumptions'!K45/'1. Assumptions'!C9,1)</f>
        <v>20</v>
      </c>
      <c r="P67" s="79">
        <f>CEILING('1. Assumptions'!K45/'1. Assumptions'!C9,1)</f>
        <v>20</v>
      </c>
      <c r="Q67" s="79">
        <f>CEILING('1. Assumptions'!K45/'1. Assumptions'!C9,1)</f>
        <v>20</v>
      </c>
      <c r="R67" s="79">
        <f>CEILING('1. Assumptions'!K45/'1. Assumptions'!C9,1)</f>
        <v>20</v>
      </c>
      <c r="S67" s="79">
        <f>CEILING('1. Assumptions'!K45/'1. Assumptions'!C9,1)</f>
        <v>20</v>
      </c>
      <c r="T67" s="79">
        <f>CEILING('1. Assumptions'!K45/'1. Assumptions'!C9,1)</f>
        <v>20</v>
      </c>
      <c r="U67" s="79">
        <f>CEILING('1. Assumptions'!K45/'1. Assumptions'!C9,1)</f>
        <v>20</v>
      </c>
      <c r="V67" s="79">
        <f>CEILING('1. Assumptions'!K45/'1. Assumptions'!C9,1)</f>
        <v>20</v>
      </c>
      <c r="W67" s="79">
        <f>CEILING('1. Assumptions'!K45/'1. Assumptions'!C9,1)</f>
        <v>20</v>
      </c>
      <c r="X67" s="79">
        <f>CEILING('1. Assumptions'!K45/'1. Assumptions'!C9,1)</f>
        <v>20</v>
      </c>
      <c r="Y67" s="79">
        <f>CEILING('1. Assumptions'!K45/'1. Assumptions'!C9,1)</f>
        <v>20</v>
      </c>
      <c r="Z67" s="77">
        <f>SUM(D67:Y67)</f>
        <v>440</v>
      </c>
    </row>
    <row r="68" spans="2:28" ht="15.75" customHeight="1">
      <c r="B68" s="106" t="s">
        <v>142</v>
      </c>
      <c r="C68" s="107">
        <f>'1. Assumptions'!K46</f>
        <v>308</v>
      </c>
      <c r="D68" s="78">
        <f>CEILING('1. Assumptions'!K46/'1. Assumptions'!C9,1)</f>
        <v>14</v>
      </c>
      <c r="E68" s="78">
        <f>CEILING('1. Assumptions'!K46/'1. Assumptions'!C9,1)</f>
        <v>14</v>
      </c>
      <c r="F68" s="78">
        <f>CEILING('1. Assumptions'!K46/'1. Assumptions'!C9,1)</f>
        <v>14</v>
      </c>
      <c r="G68" s="78">
        <f>CEILING('1. Assumptions'!K46/'1. Assumptions'!C9,1)</f>
        <v>14</v>
      </c>
      <c r="H68" s="78">
        <f>CEILING('1. Assumptions'!K46/'1. Assumptions'!C9,1)</f>
        <v>14</v>
      </c>
      <c r="I68" s="78">
        <f>CEILING('1. Assumptions'!K46/'1. Assumptions'!C9,1)</f>
        <v>14</v>
      </c>
      <c r="J68" s="78">
        <f>CEILING('1. Assumptions'!K46/'1. Assumptions'!C9,1)</f>
        <v>14</v>
      </c>
      <c r="K68" s="78">
        <f>CEILING('1. Assumptions'!K46/'1. Assumptions'!C9,1)</f>
        <v>14</v>
      </c>
      <c r="L68" s="78">
        <f>CEILING('1. Assumptions'!K46/'1. Assumptions'!C9,1)</f>
        <v>14</v>
      </c>
      <c r="M68" s="78">
        <f>CEILING('1. Assumptions'!K46/'1. Assumptions'!C9,1)</f>
        <v>14</v>
      </c>
      <c r="N68" s="78">
        <f>CEILING('1. Assumptions'!K46/'1. Assumptions'!C9,1)</f>
        <v>14</v>
      </c>
      <c r="O68" s="78">
        <f>CEILING('1. Assumptions'!K46/'1. Assumptions'!C9,1)</f>
        <v>14</v>
      </c>
      <c r="P68" s="78">
        <f>CEILING('1. Assumptions'!K46/'1. Assumptions'!C9,1)</f>
        <v>14</v>
      </c>
      <c r="Q68" s="78">
        <f>CEILING('1. Assumptions'!K46/'1. Assumptions'!C9,1)</f>
        <v>14</v>
      </c>
      <c r="R68" s="78">
        <f>CEILING('1. Assumptions'!K46/'1. Assumptions'!C9,1)</f>
        <v>14</v>
      </c>
      <c r="S68" s="78">
        <f>CEILING('1. Assumptions'!K46/'1. Assumptions'!C9,1)</f>
        <v>14</v>
      </c>
      <c r="T68" s="78">
        <f>CEILING('1. Assumptions'!K46/'1. Assumptions'!C9,1)</f>
        <v>14</v>
      </c>
      <c r="U68" s="78">
        <f>CEILING('1. Assumptions'!K46/'1. Assumptions'!C9,1)</f>
        <v>14</v>
      </c>
      <c r="V68" s="78">
        <f>CEILING('1. Assumptions'!K46/'1. Assumptions'!C9,1)</f>
        <v>14</v>
      </c>
      <c r="W68" s="78">
        <f>CEILING('1. Assumptions'!K46/'1. Assumptions'!C9,1)</f>
        <v>14</v>
      </c>
      <c r="X68" s="78">
        <f>CEILING('1. Assumptions'!K46/'1. Assumptions'!C9,1)</f>
        <v>14</v>
      </c>
      <c r="Y68" s="78">
        <f>CEILING('1. Assumptions'!K46/'1. Assumptions'!C9,1)</f>
        <v>14</v>
      </c>
      <c r="Z68" s="107">
        <f>SUM(D68:Y68)</f>
        <v>308</v>
      </c>
    </row>
    <row r="69" spans="2:28" ht="15.75" customHeight="1">
      <c r="B69" s="108" t="s">
        <v>144</v>
      </c>
      <c r="C69" s="109">
        <f>'1. Assumptions'!K47</f>
        <v>154</v>
      </c>
      <c r="D69" s="110">
        <f>CEILING('1. Assumptions'!K47/'1. Assumptions'!C9,1)</f>
        <v>7</v>
      </c>
      <c r="E69" s="110">
        <f>CEILING('1. Assumptions'!K47/'1. Assumptions'!C9,1)</f>
        <v>7</v>
      </c>
      <c r="F69" s="110">
        <f>CEILING('1. Assumptions'!K47/'1. Assumptions'!C9,1)</f>
        <v>7</v>
      </c>
      <c r="G69" s="110">
        <f>CEILING('1. Assumptions'!K47/'1. Assumptions'!C9,1)</f>
        <v>7</v>
      </c>
      <c r="H69" s="110">
        <f>CEILING('1. Assumptions'!K47/'1. Assumptions'!C9,1)</f>
        <v>7</v>
      </c>
      <c r="I69" s="110">
        <f>CEILING('1. Assumptions'!K47/'1. Assumptions'!C9,1)</f>
        <v>7</v>
      </c>
      <c r="J69" s="110">
        <f>CEILING('1. Assumptions'!K47/'1. Assumptions'!C9,1)</f>
        <v>7</v>
      </c>
      <c r="K69" s="110">
        <f>CEILING('1. Assumptions'!K47/'1. Assumptions'!C9,1)</f>
        <v>7</v>
      </c>
      <c r="L69" s="110">
        <f>CEILING('1. Assumptions'!K47/'1. Assumptions'!C9,1)</f>
        <v>7</v>
      </c>
      <c r="M69" s="110">
        <f>CEILING('1. Assumptions'!K47/'1. Assumptions'!C9,1)</f>
        <v>7</v>
      </c>
      <c r="N69" s="110">
        <f>CEILING('1. Assumptions'!K47/'1. Assumptions'!C9,1)</f>
        <v>7</v>
      </c>
      <c r="O69" s="110">
        <f>CEILING('1. Assumptions'!K47/'1. Assumptions'!C9,1)</f>
        <v>7</v>
      </c>
      <c r="P69" s="110">
        <f>CEILING('1. Assumptions'!K47/'1. Assumptions'!C9,1)</f>
        <v>7</v>
      </c>
      <c r="Q69" s="110">
        <f>CEILING('1. Assumptions'!K47/'1. Assumptions'!C9,1)</f>
        <v>7</v>
      </c>
      <c r="R69" s="110">
        <f>CEILING('1. Assumptions'!K47/'1. Assumptions'!C9,1)</f>
        <v>7</v>
      </c>
      <c r="S69" s="110">
        <f>CEILING('1. Assumptions'!K47/'1. Assumptions'!C9,1)</f>
        <v>7</v>
      </c>
      <c r="T69" s="110">
        <f>CEILING('1. Assumptions'!K47/'1. Assumptions'!C9,1)</f>
        <v>7</v>
      </c>
      <c r="U69" s="110">
        <f>CEILING('1. Assumptions'!K47/'1. Assumptions'!C9,1)</f>
        <v>7</v>
      </c>
      <c r="V69" s="110">
        <f>CEILING('1. Assumptions'!K47/'1. Assumptions'!C9,1)</f>
        <v>7</v>
      </c>
      <c r="W69" s="110">
        <f>CEILING('1. Assumptions'!K47/'1. Assumptions'!C9,1)</f>
        <v>7</v>
      </c>
      <c r="X69" s="110">
        <f>CEILING('1. Assumptions'!K47/'1. Assumptions'!C9,1)</f>
        <v>7</v>
      </c>
      <c r="Y69" s="110">
        <f>CEILING('1. Assumptions'!K47/'1. Assumptions'!C9,1)</f>
        <v>7</v>
      </c>
      <c r="Z69" s="109">
        <f>SUM(D69:Y69)</f>
        <v>154</v>
      </c>
    </row>
    <row r="70" spans="2:28" ht="15.75" customHeight="1">
      <c r="B70" s="111" t="s">
        <v>171</v>
      </c>
      <c r="C70" s="112">
        <f>'1. Assumptions'!K48</f>
        <v>110</v>
      </c>
      <c r="D70" s="113">
        <f>CEILING('1. Assumptions'!K48/'1. Assumptions'!C9,1)</f>
        <v>5</v>
      </c>
      <c r="E70" s="113">
        <f>CEILING('1. Assumptions'!K48/'1. Assumptions'!C9,1)</f>
        <v>5</v>
      </c>
      <c r="F70" s="113">
        <f>CEILING('1. Assumptions'!K48/'1. Assumptions'!C9,1)</f>
        <v>5</v>
      </c>
      <c r="G70" s="113">
        <f>CEILING('1. Assumptions'!K48/'1. Assumptions'!C9,1)</f>
        <v>5</v>
      </c>
      <c r="H70" s="113">
        <f>CEILING('1. Assumptions'!K48/'1. Assumptions'!C9,1)</f>
        <v>5</v>
      </c>
      <c r="I70" s="113">
        <f>CEILING('1. Assumptions'!K48/'1. Assumptions'!C9,1)</f>
        <v>5</v>
      </c>
      <c r="J70" s="113">
        <f>CEILING('1. Assumptions'!K48/'1. Assumptions'!C9,1)</f>
        <v>5</v>
      </c>
      <c r="K70" s="113">
        <f>CEILING('1. Assumptions'!K48/'1. Assumptions'!C9,1)</f>
        <v>5</v>
      </c>
      <c r="L70" s="113">
        <f>CEILING('1. Assumptions'!K48/'1. Assumptions'!C9,1)</f>
        <v>5</v>
      </c>
      <c r="M70" s="113">
        <f>CEILING('1. Assumptions'!K48/'1. Assumptions'!C9,1)</f>
        <v>5</v>
      </c>
      <c r="N70" s="113">
        <f>CEILING('1. Assumptions'!K48/'1. Assumptions'!C9,1)</f>
        <v>5</v>
      </c>
      <c r="O70" s="113">
        <f>CEILING('1. Assumptions'!K48/'1. Assumptions'!C9,1)</f>
        <v>5</v>
      </c>
      <c r="P70" s="113">
        <f>CEILING('1. Assumptions'!K48/'1. Assumptions'!C9,1)</f>
        <v>5</v>
      </c>
      <c r="Q70" s="113">
        <f>CEILING('1. Assumptions'!K48/'1. Assumptions'!C9,1)</f>
        <v>5</v>
      </c>
      <c r="R70" s="113">
        <f>CEILING('1. Assumptions'!K48/'1. Assumptions'!C9,1)</f>
        <v>5</v>
      </c>
      <c r="S70" s="113">
        <f>CEILING('1. Assumptions'!K48/'1. Assumptions'!C9,1)</f>
        <v>5</v>
      </c>
      <c r="T70" s="113">
        <f>CEILING('1. Assumptions'!K48/'1. Assumptions'!C9,1)</f>
        <v>5</v>
      </c>
      <c r="U70" s="113">
        <f>CEILING('1. Assumptions'!K48/'1. Assumptions'!C9,1)</f>
        <v>5</v>
      </c>
      <c r="V70" s="113">
        <f>CEILING('1. Assumptions'!K48/'1. Assumptions'!C9,1)</f>
        <v>5</v>
      </c>
      <c r="W70" s="113">
        <f>CEILING('1. Assumptions'!K48/'1. Assumptions'!C9,1)</f>
        <v>5</v>
      </c>
      <c r="X70" s="113">
        <f>CEILING('1. Assumptions'!K48/'1. Assumptions'!C9,1)</f>
        <v>5</v>
      </c>
      <c r="Y70" s="113">
        <f>CEILING('1. Assumptions'!K48/'1. Assumptions'!C9,1)</f>
        <v>5</v>
      </c>
      <c r="Z70" s="112">
        <f>SUM(D70:Y70)</f>
        <v>110</v>
      </c>
    </row>
    <row r="71" spans="2:28" ht="15.75" customHeight="1">
      <c r="B71" s="114" t="s">
        <v>172</v>
      </c>
      <c r="C71" s="115">
        <f>'1. Assumptions'!K49</f>
        <v>88</v>
      </c>
      <c r="D71" s="116">
        <f>CEILING('1. Assumptions'!K49/'1. Assumptions'!C9,1)</f>
        <v>4</v>
      </c>
      <c r="E71" s="116">
        <f>CEILING('1. Assumptions'!K49/'1. Assumptions'!C9,1)</f>
        <v>4</v>
      </c>
      <c r="F71" s="116">
        <f>CEILING('1. Assumptions'!K49/'1. Assumptions'!C9,1)</f>
        <v>4</v>
      </c>
      <c r="G71" s="116">
        <f>CEILING('1. Assumptions'!K49/'1. Assumptions'!C9,1)</f>
        <v>4</v>
      </c>
      <c r="H71" s="116">
        <f>CEILING('1. Assumptions'!K49/'1. Assumptions'!C9,1)</f>
        <v>4</v>
      </c>
      <c r="I71" s="116">
        <f>CEILING('1. Assumptions'!K49/'1. Assumptions'!C9,1)</f>
        <v>4</v>
      </c>
      <c r="J71" s="116">
        <f>CEILING('1. Assumptions'!K49/'1. Assumptions'!C9,1)</f>
        <v>4</v>
      </c>
      <c r="K71" s="116">
        <f>CEILING('1. Assumptions'!K49/'1. Assumptions'!C9,1)</f>
        <v>4</v>
      </c>
      <c r="L71" s="116">
        <f>CEILING('1. Assumptions'!K49/'1. Assumptions'!C9,1)</f>
        <v>4</v>
      </c>
      <c r="M71" s="116">
        <f>CEILING('1. Assumptions'!K49/'1. Assumptions'!C9,1)</f>
        <v>4</v>
      </c>
      <c r="N71" s="116">
        <f>CEILING('1. Assumptions'!K49/'1. Assumptions'!C9,1)</f>
        <v>4</v>
      </c>
      <c r="O71" s="116">
        <f>CEILING('1. Assumptions'!K49/'1. Assumptions'!C9,1)</f>
        <v>4</v>
      </c>
      <c r="P71" s="116">
        <f>CEILING('1. Assumptions'!K49/'1. Assumptions'!C9,1)</f>
        <v>4</v>
      </c>
      <c r="Q71" s="116">
        <f>CEILING('1. Assumptions'!K49/'1. Assumptions'!C9,1)</f>
        <v>4</v>
      </c>
      <c r="R71" s="116">
        <f>CEILING('1. Assumptions'!K49/'1. Assumptions'!C9,1)</f>
        <v>4</v>
      </c>
      <c r="S71" s="116">
        <f>CEILING('1. Assumptions'!K49/'1. Assumptions'!C9,1)</f>
        <v>4</v>
      </c>
      <c r="T71" s="116">
        <f>CEILING('1. Assumptions'!K49/'1. Assumptions'!C9,1)</f>
        <v>4</v>
      </c>
      <c r="U71" s="116">
        <f>CEILING('1. Assumptions'!K49/'1. Assumptions'!C9,1)</f>
        <v>4</v>
      </c>
      <c r="V71" s="116">
        <f>CEILING('1. Assumptions'!K49/'1. Assumptions'!C9,1)</f>
        <v>4</v>
      </c>
      <c r="W71" s="116">
        <f>CEILING('1. Assumptions'!K49/'1. Assumptions'!C9,1)</f>
        <v>4</v>
      </c>
      <c r="X71" s="116">
        <f>CEILING('1. Assumptions'!K49/'1. Assumptions'!C9,1)</f>
        <v>4</v>
      </c>
      <c r="Y71" s="116">
        <f>CEILING('1. Assumptions'!K49/'1. Assumptions'!C9,1)</f>
        <v>4</v>
      </c>
      <c r="Z71" s="115">
        <f>SUM(D71:Y71)</f>
        <v>88</v>
      </c>
    </row>
    <row r="72" spans="2:28" ht="18" customHeight="1">
      <c r="B72" s="91" t="s">
        <v>173</v>
      </c>
      <c r="D72" s="100">
        <f>D51</f>
        <v>50</v>
      </c>
      <c r="E72" s="100">
        <f>E51</f>
        <v>50</v>
      </c>
      <c r="F72" s="100">
        <f>F51</f>
        <v>50</v>
      </c>
      <c r="G72" s="100">
        <f>G51</f>
        <v>50</v>
      </c>
      <c r="H72" s="100">
        <f>H51</f>
        <v>50</v>
      </c>
      <c r="I72" s="100">
        <f>I51</f>
        <v>50</v>
      </c>
      <c r="J72" s="100">
        <f>J51</f>
        <v>50</v>
      </c>
      <c r="K72" s="100">
        <f>K51</f>
        <v>50</v>
      </c>
      <c r="L72" s="100">
        <f>L51</f>
        <v>50</v>
      </c>
      <c r="M72" s="100">
        <f>M51</f>
        <v>50</v>
      </c>
      <c r="N72" s="100">
        <f>N51</f>
        <v>50</v>
      </c>
      <c r="O72" s="100">
        <f>O51</f>
        <v>50</v>
      </c>
      <c r="P72" s="100">
        <f>P51</f>
        <v>50</v>
      </c>
      <c r="Q72" s="100">
        <f>Q51</f>
        <v>50</v>
      </c>
      <c r="R72" s="100">
        <f>R51</f>
        <v>50</v>
      </c>
      <c r="S72" s="100">
        <f>S51</f>
        <v>50</v>
      </c>
      <c r="T72" s="100">
        <f>T51</f>
        <v>50</v>
      </c>
      <c r="U72" s="100">
        <f>U51</f>
        <v>50</v>
      </c>
      <c r="V72" s="100">
        <f>V51</f>
        <v>50</v>
      </c>
      <c r="W72" s="100">
        <f>W51</f>
        <v>50</v>
      </c>
      <c r="X72" s="100">
        <f>X51</f>
        <v>50</v>
      </c>
      <c r="Y72" s="100">
        <f>Y51</f>
        <v>50</v>
      </c>
      <c r="Z72" s="93">
        <f>SUM(D72:Y72)</f>
        <v>1100</v>
      </c>
    </row>
    <row r="73" spans="2:28" ht="18" customHeight="1">
      <c r="B73" s="94" t="s">
        <v>174</v>
      </c>
      <c r="D73" s="84">
        <f>$D$65*$H$65</f>
        <v>48</v>
      </c>
      <c r="E73" s="84">
        <f>$D$65*$H$65</f>
        <v>48</v>
      </c>
      <c r="F73" s="84">
        <f>$D$65*$H$65</f>
        <v>48</v>
      </c>
      <c r="G73" s="84">
        <f>$D$65*$H$65</f>
        <v>48</v>
      </c>
      <c r="H73" s="84">
        <f>$D$65*$H$65</f>
        <v>48</v>
      </c>
      <c r="I73" s="84">
        <f>$D$65*$H$65</f>
        <v>48</v>
      </c>
      <c r="J73" s="84">
        <f>$D$65*$H$65</f>
        <v>48</v>
      </c>
      <c r="K73" s="84">
        <f>$D$65*$H$65</f>
        <v>48</v>
      </c>
      <c r="L73" s="84">
        <f>$D$65*$H$65</f>
        <v>48</v>
      </c>
      <c r="M73" s="84">
        <f>$D$65*$H$65</f>
        <v>48</v>
      </c>
      <c r="N73" s="84">
        <f>$D$65*$H$65</f>
        <v>48</v>
      </c>
      <c r="O73" s="84">
        <f>$D$65*$H$65</f>
        <v>48</v>
      </c>
      <c r="P73" s="84">
        <f>$D$65*$H$65</f>
        <v>48</v>
      </c>
      <c r="Q73" s="84">
        <f>$D$65*$H$65</f>
        <v>48</v>
      </c>
      <c r="R73" s="84">
        <f>$D$65*$H$65</f>
        <v>48</v>
      </c>
      <c r="S73" s="84">
        <f>$D$65*$H$65</f>
        <v>48</v>
      </c>
      <c r="T73" s="84">
        <f>$D$65*$H$65</f>
        <v>48</v>
      </c>
      <c r="U73" s="84">
        <f>$D$65*$H$65</f>
        <v>48</v>
      </c>
      <c r="V73" s="84">
        <f>$D$65*$H$65</f>
        <v>48</v>
      </c>
      <c r="W73" s="84">
        <f>$D$65*$H$65</f>
        <v>48</v>
      </c>
      <c r="X73" s="84">
        <f>$D$65*$H$65</f>
        <v>48</v>
      </c>
      <c r="Y73" s="84">
        <f>$D$65*$H$65</f>
        <v>48</v>
      </c>
      <c r="Z73" s="95">
        <f>SUM(D73:Y73)</f>
        <v>1056</v>
      </c>
    </row>
    <row r="74" spans="2:28" ht="18" customHeight="1">
      <c r="B74" s="96" t="s">
        <v>163</v>
      </c>
      <c r="D74" s="101">
        <f>$D$65*$H$65-D51</f>
        <v>-2</v>
      </c>
      <c r="E74" s="101">
        <f>$D$65*$H$65-E51</f>
        <v>-2</v>
      </c>
      <c r="F74" s="101">
        <f>$D$65*$H$65-F51</f>
        <v>-2</v>
      </c>
      <c r="G74" s="101">
        <f>$D$65*$H$65-G51</f>
        <v>-2</v>
      </c>
      <c r="H74" s="101">
        <f>$D$65*$H$65-H51</f>
        <v>-2</v>
      </c>
      <c r="I74" s="101">
        <f>$D$65*$H$65-I51</f>
        <v>-2</v>
      </c>
      <c r="J74" s="101">
        <f>$D$65*$H$65-J51</f>
        <v>-2</v>
      </c>
      <c r="K74" s="101">
        <f>$D$65*$H$65-K51</f>
        <v>-2</v>
      </c>
      <c r="L74" s="101">
        <f>$D$65*$H$65-L51</f>
        <v>-2</v>
      </c>
      <c r="M74" s="101">
        <f>$D$65*$H$65-M51</f>
        <v>-2</v>
      </c>
      <c r="N74" s="101">
        <f>$D$65*$H$65-N51</f>
        <v>-2</v>
      </c>
      <c r="O74" s="101">
        <f>$D$65*$H$65-O51</f>
        <v>-2</v>
      </c>
      <c r="P74" s="101">
        <f>$D$65*$H$65-P51</f>
        <v>-2</v>
      </c>
      <c r="Q74" s="101">
        <f>$D$65*$H$65-Q51</f>
        <v>-2</v>
      </c>
      <c r="R74" s="101">
        <f>$D$65*$H$65-R51</f>
        <v>-2</v>
      </c>
      <c r="S74" s="101">
        <f>$D$65*$H$65-S51</f>
        <v>-2</v>
      </c>
      <c r="T74" s="101">
        <f>$D$65*$H$65-T51</f>
        <v>-2</v>
      </c>
      <c r="U74" s="101">
        <f>$D$65*$H$65-U51</f>
        <v>-2</v>
      </c>
      <c r="V74" s="101">
        <f>$D$65*$H$65-V51</f>
        <v>-2</v>
      </c>
      <c r="W74" s="101">
        <f>$D$65*$H$65-W51</f>
        <v>-2</v>
      </c>
      <c r="X74" s="101">
        <f>$D$65*$H$65-X51</f>
        <v>-2</v>
      </c>
      <c r="Y74" s="101">
        <f>$D$65*$H$65-Y51</f>
        <v>-2</v>
      </c>
      <c r="Z74" s="102">
        <f>SUM(D74:Y74)</f>
        <v>-44</v>
      </c>
    </row>
    <row r="75" spans="2:28" ht="18" customHeight="1">
      <c r="B75" s="103" t="s">
        <v>175</v>
      </c>
      <c r="D75" s="104">
        <f>IF(D74&gt;=0,0,CEILING(ABS(D74)/$D$65,1))</f>
        <v>1</v>
      </c>
      <c r="E75" s="104">
        <f>IF(E74&gt;=0,0,CEILING(ABS(E74)/$D$65,1))</f>
        <v>1</v>
      </c>
      <c r="F75" s="104">
        <f>IF(F74&gt;=0,0,CEILING(ABS(F74)/$D$65,1))</f>
        <v>1</v>
      </c>
      <c r="G75" s="104">
        <f>IF(G74&gt;=0,0,CEILING(ABS(G74)/$D$65,1))</f>
        <v>1</v>
      </c>
      <c r="H75" s="104">
        <f>IF(H74&gt;=0,0,CEILING(ABS(H74)/$D$65,1))</f>
        <v>1</v>
      </c>
      <c r="I75" s="104">
        <f>IF(I74&gt;=0,0,CEILING(ABS(I74)/$D$65,1))</f>
        <v>1</v>
      </c>
      <c r="J75" s="104">
        <f>IF(J74&gt;=0,0,CEILING(ABS(J74)/$D$65,1))</f>
        <v>1</v>
      </c>
      <c r="K75" s="104">
        <f>IF(K74&gt;=0,0,CEILING(ABS(K74)/$D$65,1))</f>
        <v>1</v>
      </c>
      <c r="L75" s="104">
        <f>IF(L74&gt;=0,0,CEILING(ABS(L74)/$D$65,1))</f>
        <v>1</v>
      </c>
      <c r="M75" s="104">
        <f>IF(M74&gt;=0,0,CEILING(ABS(M74)/$D$65,1))</f>
        <v>1</v>
      </c>
      <c r="N75" s="104">
        <f>IF(N74&gt;=0,0,CEILING(ABS(N74)/$D$65,1))</f>
        <v>1</v>
      </c>
      <c r="O75" s="104">
        <f>IF(O74&gt;=0,0,CEILING(ABS(O74)/$D$65,1))</f>
        <v>1</v>
      </c>
      <c r="P75" s="104">
        <f>IF(P74&gt;=0,0,CEILING(ABS(P74)/$D$65,1))</f>
        <v>1</v>
      </c>
      <c r="Q75" s="104">
        <f>IF(Q74&gt;=0,0,CEILING(ABS(Q74)/$D$65,1))</f>
        <v>1</v>
      </c>
      <c r="R75" s="104">
        <f>IF(R74&gt;=0,0,CEILING(ABS(R74)/$D$65,1))</f>
        <v>1</v>
      </c>
      <c r="S75" s="104">
        <f>IF(S74&gt;=0,0,CEILING(ABS(S74)/$D$65,1))</f>
        <v>1</v>
      </c>
      <c r="T75" s="104">
        <f>IF(T74&gt;=0,0,CEILING(ABS(T74)/$D$65,1))</f>
        <v>1</v>
      </c>
      <c r="U75" s="104">
        <f>IF(U74&gt;=0,0,CEILING(ABS(U74)/$D$65,1))</f>
        <v>1</v>
      </c>
      <c r="V75" s="104">
        <f>IF(V74&gt;=0,0,CEILING(ABS(V74)/$D$65,1))</f>
        <v>1</v>
      </c>
      <c r="W75" s="104">
        <f>IF(W74&gt;=0,0,CEILING(ABS(W74)/$D$65,1))</f>
        <v>1</v>
      </c>
      <c r="X75" s="104">
        <f>IF(X74&gt;=0,0,CEILING(ABS(X74)/$D$65,1))</f>
        <v>1</v>
      </c>
      <c r="Y75" s="104">
        <f>IF(Y74&gt;=0,0,CEILING(ABS(Y74)/$D$65,1))</f>
        <v>1</v>
      </c>
      <c r="Z75" s="104">
        <f>MAX(D75:Y75)</f>
        <v>1</v>
      </c>
    </row>
    <row r="76" spans="2:28" ht="18" customHeight="1">
      <c r="B76" s="96" t="s">
        <v>99</v>
      </c>
      <c r="D76" s="105" t="str">
        <f>IF(D74&gt;=0,"OK  +"&amp;TEXT(D74,"0")&amp;" spare","SHORT  need "&amp;TEXT(D75,"0")&amp;" more")</f>
        <v>SHORT  need 1 more</v>
      </c>
      <c r="E76" s="105" t="str">
        <f>IF(E74&gt;=0,"OK  +"&amp;TEXT(E74,"0")&amp;" spare","SHORT  need "&amp;TEXT(E75,"0")&amp;" more")</f>
        <v>SHORT  need 1 more</v>
      </c>
      <c r="F76" s="105" t="str">
        <f>IF(F74&gt;=0,"OK  +"&amp;TEXT(F74,"0")&amp;" spare","SHORT  need "&amp;TEXT(F75,"0")&amp;" more")</f>
        <v>SHORT  need 1 more</v>
      </c>
      <c r="G76" s="105" t="str">
        <f>IF(G74&gt;=0,"OK  +"&amp;TEXT(G74,"0")&amp;" spare","SHORT  need "&amp;TEXT(G75,"0")&amp;" more")</f>
        <v>SHORT  need 1 more</v>
      </c>
      <c r="H76" s="105" t="str">
        <f>IF(H74&gt;=0,"OK  +"&amp;TEXT(H74,"0")&amp;" spare","SHORT  need "&amp;TEXT(H75,"0")&amp;" more")</f>
        <v>SHORT  need 1 more</v>
      </c>
      <c r="I76" s="105" t="str">
        <f>IF(I74&gt;=0,"OK  +"&amp;TEXT(I74,"0")&amp;" spare","SHORT  need "&amp;TEXT(I75,"0")&amp;" more")</f>
        <v>SHORT  need 1 more</v>
      </c>
      <c r="J76" s="105" t="str">
        <f>IF(J74&gt;=0,"OK  +"&amp;TEXT(J74,"0")&amp;" spare","SHORT  need "&amp;TEXT(J75,"0")&amp;" more")</f>
        <v>SHORT  need 1 more</v>
      </c>
      <c r="K76" s="105" t="str">
        <f>IF(K74&gt;=0,"OK  +"&amp;TEXT(K74,"0")&amp;" spare","SHORT  need "&amp;TEXT(K75,"0")&amp;" more")</f>
        <v>SHORT  need 1 more</v>
      </c>
      <c r="L76" s="105" t="str">
        <f>IF(L74&gt;=0,"OK  +"&amp;TEXT(L74,"0")&amp;" spare","SHORT  need "&amp;TEXT(L75,"0")&amp;" more")</f>
        <v>SHORT  need 1 more</v>
      </c>
      <c r="M76" s="105" t="str">
        <f>IF(M74&gt;=0,"OK  +"&amp;TEXT(M74,"0")&amp;" spare","SHORT  need "&amp;TEXT(M75,"0")&amp;" more")</f>
        <v>SHORT  need 1 more</v>
      </c>
      <c r="N76" s="105" t="str">
        <f>IF(N74&gt;=0,"OK  +"&amp;TEXT(N74,"0")&amp;" spare","SHORT  need "&amp;TEXT(N75,"0")&amp;" more")</f>
        <v>SHORT  need 1 more</v>
      </c>
      <c r="O76" s="105" t="str">
        <f>IF(O74&gt;=0,"OK  +"&amp;TEXT(O74,"0")&amp;" spare","SHORT  need "&amp;TEXT(O75,"0")&amp;" more")</f>
        <v>SHORT  need 1 more</v>
      </c>
      <c r="P76" s="105" t="str">
        <f>IF(P74&gt;=0,"OK  +"&amp;TEXT(P74,"0")&amp;" spare","SHORT  need "&amp;TEXT(P75,"0")&amp;" more")</f>
        <v>SHORT  need 1 more</v>
      </c>
      <c r="Q76" s="105" t="str">
        <f>IF(Q74&gt;=0,"OK  +"&amp;TEXT(Q74,"0")&amp;" spare","SHORT  need "&amp;TEXT(Q75,"0")&amp;" more")</f>
        <v>SHORT  need 1 more</v>
      </c>
      <c r="R76" s="105" t="str">
        <f>IF(R74&gt;=0,"OK  +"&amp;TEXT(R74,"0")&amp;" spare","SHORT  need "&amp;TEXT(R75,"0")&amp;" more")</f>
        <v>SHORT  need 1 more</v>
      </c>
      <c r="S76" s="105" t="str">
        <f>IF(S74&gt;=0,"OK  +"&amp;TEXT(S74,"0")&amp;" spare","SHORT  need "&amp;TEXT(S75,"0")&amp;" more")</f>
        <v>SHORT  need 1 more</v>
      </c>
      <c r="T76" s="105" t="str">
        <f>IF(T74&gt;=0,"OK  +"&amp;TEXT(T74,"0")&amp;" spare","SHORT  need "&amp;TEXT(T75,"0")&amp;" more")</f>
        <v>SHORT  need 1 more</v>
      </c>
      <c r="U76" s="105" t="str">
        <f>IF(U74&gt;=0,"OK  +"&amp;TEXT(U74,"0")&amp;" spare","SHORT  need "&amp;TEXT(U75,"0")&amp;" more")</f>
        <v>SHORT  need 1 more</v>
      </c>
      <c r="V76" s="105" t="str">
        <f>IF(V74&gt;=0,"OK  +"&amp;TEXT(V74,"0")&amp;" spare","SHORT  need "&amp;TEXT(V75,"0")&amp;" more")</f>
        <v>SHORT  need 1 more</v>
      </c>
      <c r="W76" s="105" t="str">
        <f>IF(W74&gt;=0,"OK  +"&amp;TEXT(W74,"0")&amp;" spare","SHORT  need "&amp;TEXT(W75,"0")&amp;" more")</f>
        <v>SHORT  need 1 more</v>
      </c>
      <c r="X76" s="105" t="str">
        <f>IF(X74&gt;=0,"OK  +"&amp;TEXT(X74,"0")&amp;" spare","SHORT  need "&amp;TEXT(X75,"0")&amp;" more")</f>
        <v>SHORT  need 1 more</v>
      </c>
      <c r="Y76" s="105" t="str">
        <f>IF(Y74&gt;=0,"OK  +"&amp;TEXT(Y74,"0")&amp;" spare","SHORT  need "&amp;TEXT(Y75,"0")&amp;" more")</f>
        <v>SHORT  need 1 more</v>
      </c>
      <c r="Z76" s="105" t="s">
        <v>165</v>
      </c>
    </row>
    <row r="80" spans="2:28">
      <c r="B80" s="140" t="s">
        <v>176</v>
      </c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</row>
    <row r="81" spans="2:18" ht="30" customHeight="1">
      <c r="B81" s="25" t="s">
        <v>177</v>
      </c>
      <c r="C81" s="25" t="s">
        <v>178</v>
      </c>
      <c r="D81" s="25" t="s">
        <v>179</v>
      </c>
      <c r="E81" s="25" t="s">
        <v>180</v>
      </c>
      <c r="F81" s="25" t="s">
        <v>181</v>
      </c>
      <c r="G81" s="25" t="s">
        <v>182</v>
      </c>
      <c r="H81" s="25" t="s">
        <v>183</v>
      </c>
      <c r="I81" s="141" t="s">
        <v>183</v>
      </c>
      <c r="J81" s="141"/>
      <c r="K81" s="141"/>
      <c r="L81" s="141"/>
      <c r="M81" s="141"/>
      <c r="N81" s="141"/>
      <c r="O81" s="141"/>
      <c r="P81" s="141"/>
      <c r="Q81" s="141"/>
      <c r="R81" s="141"/>
    </row>
    <row r="82" spans="2:18" ht="18" customHeight="1">
      <c r="B82" s="26" t="s">
        <v>74</v>
      </c>
      <c r="C82" s="55" t="str">
        <f>'1. Assumptions'!D55</f>
        <v>Deloitte MB</v>
      </c>
      <c r="D82" s="55" t="str">
        <f>'1. Assumptions'!E55</f>
        <v>DTICI</v>
      </c>
      <c r="E82" s="117">
        <f>'1. Assumptions'!C55</f>
        <v>6</v>
      </c>
      <c r="F82" s="29">
        <f>E82*5</f>
        <v>30</v>
      </c>
      <c r="G82" s="29">
        <f>E82*'1. Assumptions'!C9</f>
        <v>132</v>
      </c>
      <c r="H82" s="142" t="s">
        <v>184</v>
      </c>
      <c r="I82" s="142"/>
      <c r="J82" s="142"/>
      <c r="K82" s="142"/>
      <c r="L82" s="142"/>
      <c r="M82" s="142"/>
      <c r="N82" s="142"/>
      <c r="O82" s="142"/>
      <c r="P82" s="142"/>
      <c r="Q82" s="142"/>
      <c r="R82" s="142"/>
    </row>
    <row r="83" spans="2:18" ht="18" customHeight="1">
      <c r="B83" s="31" t="s">
        <v>76</v>
      </c>
      <c r="C83" s="118" t="str">
        <f>'1. Assumptions'!D56</f>
        <v>Deloitte MB</v>
      </c>
      <c r="D83" s="118" t="str">
        <f>'1. Assumptions'!E56</f>
        <v>BSH</v>
      </c>
      <c r="E83" s="117">
        <f>'1. Assumptions'!C56</f>
        <v>6</v>
      </c>
      <c r="F83" s="29">
        <f>E83*5</f>
        <v>30</v>
      </c>
      <c r="G83" s="29">
        <f>E83*'1. Assumptions'!C9</f>
        <v>132</v>
      </c>
      <c r="H83" s="143" t="s">
        <v>184</v>
      </c>
      <c r="I83" s="143"/>
      <c r="J83" s="143"/>
      <c r="K83" s="143"/>
      <c r="L83" s="143"/>
      <c r="M83" s="143"/>
      <c r="N83" s="143"/>
      <c r="O83" s="143"/>
      <c r="P83" s="143"/>
      <c r="Q83" s="143"/>
      <c r="R83" s="143"/>
    </row>
    <row r="84" spans="2:18" ht="18" customHeight="1">
      <c r="B84" s="26" t="s">
        <v>77</v>
      </c>
      <c r="C84" s="55" t="str">
        <f>'1. Assumptions'!D57</f>
        <v>Deloitte MB</v>
      </c>
      <c r="D84" s="55" t="str">
        <f>'1. Assumptions'!E57</f>
        <v>BSH</v>
      </c>
      <c r="E84" s="117">
        <f>'1. Assumptions'!C57</f>
        <v>6</v>
      </c>
      <c r="F84" s="29">
        <f>E84*5</f>
        <v>30</v>
      </c>
      <c r="G84" s="29">
        <f>E84*'1. Assumptions'!C9</f>
        <v>132</v>
      </c>
      <c r="H84" s="142" t="s">
        <v>184</v>
      </c>
      <c r="I84" s="142"/>
      <c r="J84" s="142"/>
      <c r="K84" s="142"/>
      <c r="L84" s="142"/>
      <c r="M84" s="142"/>
      <c r="N84" s="142"/>
      <c r="O84" s="142"/>
      <c r="P84" s="142"/>
      <c r="Q84" s="142"/>
      <c r="R84" s="142"/>
    </row>
    <row r="85" spans="2:18" ht="18" customHeight="1">
      <c r="B85" s="31" t="s">
        <v>78</v>
      </c>
      <c r="C85" s="118" t="str">
        <f>'1. Assumptions'!D58</f>
        <v>DTICI</v>
      </c>
      <c r="D85" s="118" t="str">
        <f>'1. Assumptions'!E58</f>
        <v>Deloitte MB</v>
      </c>
      <c r="E85" s="117">
        <f>'1. Assumptions'!C58</f>
        <v>6</v>
      </c>
      <c r="F85" s="29">
        <f>E85*5</f>
        <v>30</v>
      </c>
      <c r="G85" s="29">
        <f>E85*'1. Assumptions'!C9</f>
        <v>132</v>
      </c>
      <c r="H85" s="143" t="s">
        <v>184</v>
      </c>
      <c r="I85" s="143"/>
      <c r="J85" s="143"/>
      <c r="K85" s="143"/>
      <c r="L85" s="143"/>
      <c r="M85" s="143"/>
      <c r="N85" s="143"/>
      <c r="O85" s="143"/>
      <c r="P85" s="143"/>
      <c r="Q85" s="143"/>
      <c r="R85" s="143"/>
    </row>
    <row r="86" spans="2:18" ht="18" customHeight="1">
      <c r="B86" s="26" t="s">
        <v>79</v>
      </c>
      <c r="C86" s="55" t="str">
        <f>'1. Assumptions'!D59</f>
        <v>DTICI</v>
      </c>
      <c r="D86" s="55" t="str">
        <f>'1. Assumptions'!E59</f>
        <v>Arcelor Mittal</v>
      </c>
      <c r="E86" s="117">
        <f>'1. Assumptions'!C59</f>
        <v>6</v>
      </c>
      <c r="F86" s="29">
        <f>E86*5</f>
        <v>30</v>
      </c>
      <c r="G86" s="29">
        <f>E86*'1. Assumptions'!C9</f>
        <v>132</v>
      </c>
      <c r="H86" s="142" t="s">
        <v>184</v>
      </c>
      <c r="I86" s="142"/>
      <c r="J86" s="142"/>
      <c r="K86" s="142"/>
      <c r="L86" s="142"/>
      <c r="M86" s="142"/>
      <c r="N86" s="142"/>
      <c r="O86" s="142"/>
      <c r="P86" s="142"/>
      <c r="Q86" s="142"/>
      <c r="R86" s="142"/>
    </row>
    <row r="87" spans="2:18" ht="18" customHeight="1">
      <c r="B87" s="31" t="s">
        <v>80</v>
      </c>
      <c r="C87" s="118" t="str">
        <f>'1. Assumptions'!D60</f>
        <v>BSH</v>
      </c>
      <c r="D87" s="118" t="str">
        <f>'1. Assumptions'!E60</f>
        <v>DTICI</v>
      </c>
      <c r="E87" s="117">
        <f>'1. Assumptions'!C60</f>
        <v>6</v>
      </c>
      <c r="F87" s="29">
        <f>E87*5</f>
        <v>30</v>
      </c>
      <c r="G87" s="29">
        <f>E87*'1. Assumptions'!C9</f>
        <v>132</v>
      </c>
      <c r="H87" s="143" t="s">
        <v>184</v>
      </c>
      <c r="I87" s="143"/>
      <c r="J87" s="143"/>
      <c r="K87" s="143"/>
      <c r="L87" s="143"/>
      <c r="M87" s="143"/>
      <c r="N87" s="143"/>
      <c r="O87" s="143"/>
      <c r="P87" s="143"/>
      <c r="Q87" s="143"/>
      <c r="R87" s="143"/>
    </row>
    <row r="88" spans="2:18" ht="18" customHeight="1">
      <c r="B88" s="26" t="s">
        <v>81</v>
      </c>
      <c r="C88" s="55" t="str">
        <f>'1. Assumptions'!D61</f>
        <v>BSH</v>
      </c>
      <c r="D88" s="55" t="str">
        <f>'1. Assumptions'!E61</f>
        <v>Arcelor Mittal</v>
      </c>
      <c r="E88" s="117">
        <f>'1. Assumptions'!C61</f>
        <v>6</v>
      </c>
      <c r="F88" s="29">
        <f>E88*5</f>
        <v>30</v>
      </c>
      <c r="G88" s="29">
        <f>E88*'1. Assumptions'!C9</f>
        <v>132</v>
      </c>
      <c r="H88" s="142" t="s">
        <v>184</v>
      </c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  <row r="89" spans="2:18" ht="18" customHeight="1">
      <c r="B89" s="31" t="s">
        <v>82</v>
      </c>
      <c r="C89" s="118" t="str">
        <f>'1. Assumptions'!D62</f>
        <v>Arcelor Mittal</v>
      </c>
      <c r="D89" s="118" t="str">
        <f>'1. Assumptions'!E62</f>
        <v>BSH</v>
      </c>
      <c r="E89" s="117">
        <f>'1. Assumptions'!C62</f>
        <v>6</v>
      </c>
      <c r="F89" s="29">
        <f>E89*5</f>
        <v>30</v>
      </c>
      <c r="G89" s="29">
        <f>E89*'1. Assumptions'!C9</f>
        <v>132</v>
      </c>
      <c r="H89" s="143" t="s">
        <v>184</v>
      </c>
      <c r="I89" s="143"/>
      <c r="J89" s="143"/>
      <c r="K89" s="143"/>
      <c r="L89" s="143"/>
      <c r="M89" s="143"/>
      <c r="N89" s="143"/>
      <c r="O89" s="143"/>
      <c r="P89" s="143"/>
      <c r="Q89" s="143"/>
      <c r="R89" s="143"/>
    </row>
    <row r="90" spans="2:18" ht="18" customHeight="1">
      <c r="B90" s="26" t="s">
        <v>83</v>
      </c>
      <c r="C90" s="55" t="str">
        <f>'1. Assumptions'!D63</f>
        <v>Deloitte MB</v>
      </c>
      <c r="D90" s="55" t="str">
        <f>'1. Assumptions'!E63</f>
        <v>DTICI</v>
      </c>
      <c r="E90" s="117">
        <f>'1. Assumptions'!C63</f>
        <v>6</v>
      </c>
      <c r="F90" s="29">
        <f>E90*5</f>
        <v>30</v>
      </c>
      <c r="G90" s="29">
        <f>E90*'1. Assumptions'!C9</f>
        <v>132</v>
      </c>
      <c r="H90" s="142" t="s">
        <v>184</v>
      </c>
      <c r="I90" s="142"/>
      <c r="J90" s="142"/>
      <c r="K90" s="142"/>
      <c r="L90" s="142"/>
      <c r="M90" s="142"/>
      <c r="N90" s="142"/>
      <c r="O90" s="142"/>
      <c r="P90" s="142"/>
      <c r="Q90" s="142"/>
      <c r="R90" s="142"/>
    </row>
    <row r="91" spans="2:18" ht="18" customHeight="1">
      <c r="B91" s="31" t="s">
        <v>84</v>
      </c>
      <c r="C91" s="118" t="str">
        <f>'1. Assumptions'!D64</f>
        <v>Deloitte MB</v>
      </c>
      <c r="D91" s="118" t="str">
        <f>'1. Assumptions'!E64</f>
        <v>Arcelor Mittal</v>
      </c>
      <c r="E91" s="117">
        <f>'1. Assumptions'!C64</f>
        <v>6</v>
      </c>
      <c r="F91" s="29">
        <f>E91*5</f>
        <v>30</v>
      </c>
      <c r="G91" s="29">
        <f>E91*'1. Assumptions'!C9</f>
        <v>132</v>
      </c>
      <c r="H91" s="143" t="s">
        <v>184</v>
      </c>
      <c r="I91" s="143"/>
      <c r="J91" s="143"/>
      <c r="K91" s="143"/>
      <c r="L91" s="143"/>
      <c r="M91" s="143"/>
      <c r="N91" s="143"/>
      <c r="O91" s="143"/>
      <c r="P91" s="143"/>
      <c r="Q91" s="143"/>
      <c r="R91" s="143"/>
    </row>
    <row r="92" spans="2:18" ht="18" customHeight="1">
      <c r="B92" s="26" t="s">
        <v>85</v>
      </c>
      <c r="C92" s="55" t="str">
        <f>'1. Assumptions'!D65</f>
        <v>DTICI</v>
      </c>
      <c r="D92" s="55" t="str">
        <f>'1. Assumptions'!E65</f>
        <v>Deloitte MB</v>
      </c>
      <c r="E92" s="117">
        <f>'1. Assumptions'!C65</f>
        <v>6</v>
      </c>
      <c r="F92" s="29">
        <f>E92*5</f>
        <v>30</v>
      </c>
      <c r="G92" s="29">
        <f>E92*'1. Assumptions'!C9</f>
        <v>132</v>
      </c>
      <c r="H92" s="142" t="s">
        <v>184</v>
      </c>
      <c r="I92" s="142"/>
      <c r="J92" s="142"/>
      <c r="K92" s="142"/>
      <c r="L92" s="142"/>
      <c r="M92" s="142"/>
      <c r="N92" s="142"/>
      <c r="O92" s="142"/>
      <c r="P92" s="142"/>
      <c r="Q92" s="142"/>
      <c r="R92" s="142"/>
    </row>
    <row r="93" spans="2:18" ht="18" customHeight="1">
      <c r="B93" s="31" t="s">
        <v>86</v>
      </c>
      <c r="C93" s="118" t="str">
        <f>'1. Assumptions'!D66</f>
        <v>Deloitte MB</v>
      </c>
      <c r="D93" s="118" t="str">
        <f>'1. Assumptions'!E66</f>
        <v>DTICI</v>
      </c>
      <c r="E93" s="117">
        <f>'1. Assumptions'!C66</f>
        <v>6</v>
      </c>
      <c r="F93" s="29">
        <f>E93*5</f>
        <v>30</v>
      </c>
      <c r="G93" s="29">
        <f>E93*'1. Assumptions'!C9</f>
        <v>132</v>
      </c>
      <c r="H93" s="143" t="s">
        <v>184</v>
      </c>
      <c r="I93" s="143"/>
      <c r="J93" s="143"/>
      <c r="K93" s="143"/>
      <c r="L93" s="143"/>
      <c r="M93" s="143"/>
      <c r="N93" s="143"/>
      <c r="O93" s="143"/>
      <c r="P93" s="143"/>
      <c r="Q93" s="143"/>
      <c r="R93" s="143"/>
    </row>
    <row r="94" spans="2:18" ht="18" customHeight="1">
      <c r="B94" s="26" t="s">
        <v>87</v>
      </c>
      <c r="C94" s="55" t="str">
        <f>'1. Assumptions'!D67</f>
        <v>BSH</v>
      </c>
      <c r="D94" s="55" t="str">
        <f>'1. Assumptions'!E67</f>
        <v>Pure Storage</v>
      </c>
      <c r="E94" s="117">
        <f>'1. Assumptions'!C67</f>
        <v>6</v>
      </c>
      <c r="F94" s="29">
        <f>E94*5</f>
        <v>30</v>
      </c>
      <c r="G94" s="29">
        <f>E94*'1. Assumptions'!C9</f>
        <v>132</v>
      </c>
      <c r="H94" s="142" t="s">
        <v>184</v>
      </c>
      <c r="I94" s="142"/>
      <c r="J94" s="142"/>
      <c r="K94" s="142"/>
      <c r="L94" s="142"/>
      <c r="M94" s="142"/>
      <c r="N94" s="142"/>
      <c r="O94" s="142"/>
      <c r="P94" s="142"/>
      <c r="Q94" s="142"/>
      <c r="R94" s="142"/>
    </row>
    <row r="95" spans="2:18" ht="18" customHeight="1">
      <c r="B95" s="31" t="s">
        <v>88</v>
      </c>
      <c r="C95" s="118" t="str">
        <f>'1. Assumptions'!D68</f>
        <v>DTICI</v>
      </c>
      <c r="D95" s="118" t="str">
        <f>'1. Assumptions'!E68</f>
        <v>BSH</v>
      </c>
      <c r="E95" s="117">
        <f>'1. Assumptions'!C68</f>
        <v>6</v>
      </c>
      <c r="F95" s="29">
        <f>E95*5</f>
        <v>30</v>
      </c>
      <c r="G95" s="29">
        <f>E95*'1. Assumptions'!C9</f>
        <v>132</v>
      </c>
      <c r="H95" s="143" t="s">
        <v>184</v>
      </c>
      <c r="I95" s="143"/>
      <c r="J95" s="143"/>
      <c r="K95" s="143"/>
      <c r="L95" s="143"/>
      <c r="M95" s="143"/>
      <c r="N95" s="143"/>
      <c r="O95" s="143"/>
      <c r="P95" s="143"/>
      <c r="Q95" s="143"/>
      <c r="R95" s="143"/>
    </row>
    <row r="96" spans="2:18" ht="18" customHeight="1">
      <c r="B96" s="26" t="s">
        <v>89</v>
      </c>
      <c r="C96" s="55" t="str">
        <f>'1. Assumptions'!D69</f>
        <v>Pure Storage</v>
      </c>
      <c r="D96" s="55" t="str">
        <f>'1. Assumptions'!E69</f>
        <v>DTICI</v>
      </c>
      <c r="E96" s="117">
        <f>'1. Assumptions'!C69</f>
        <v>6</v>
      </c>
      <c r="F96" s="29">
        <f>E96*5</f>
        <v>30</v>
      </c>
      <c r="G96" s="29">
        <f>E96*'1. Assumptions'!C9</f>
        <v>132</v>
      </c>
      <c r="H96" s="142" t="s">
        <v>184</v>
      </c>
      <c r="I96" s="142"/>
      <c r="J96" s="142"/>
      <c r="K96" s="142"/>
      <c r="L96" s="142"/>
      <c r="M96" s="142"/>
      <c r="N96" s="142"/>
      <c r="O96" s="142"/>
      <c r="P96" s="142"/>
      <c r="Q96" s="142"/>
      <c r="R96" s="142"/>
    </row>
    <row r="97" spans="2:28" ht="18" customHeight="1">
      <c r="B97" s="31" t="s">
        <v>90</v>
      </c>
      <c r="C97" s="118" t="str">
        <f>'1. Assumptions'!D70</f>
        <v>Arcelor Mittal</v>
      </c>
      <c r="D97" s="118" t="str">
        <f>'1. Assumptions'!E70</f>
        <v>Pure Storage</v>
      </c>
      <c r="E97" s="117">
        <f>'1. Assumptions'!C70</f>
        <v>6</v>
      </c>
      <c r="F97" s="29">
        <f>E97*5</f>
        <v>30</v>
      </c>
      <c r="G97" s="29">
        <f>E97*'1. Assumptions'!C9</f>
        <v>132</v>
      </c>
      <c r="H97" s="143" t="s">
        <v>184</v>
      </c>
      <c r="I97" s="143"/>
      <c r="J97" s="143"/>
      <c r="K97" s="143"/>
      <c r="L97" s="143"/>
      <c r="M97" s="143"/>
      <c r="N97" s="143"/>
      <c r="O97" s="143"/>
      <c r="P97" s="143"/>
      <c r="Q97" s="143"/>
      <c r="R97" s="143"/>
    </row>
    <row r="98" spans="2:28" ht="19.5" customHeight="1">
      <c r="B98" s="144" t="s">
        <v>185</v>
      </c>
      <c r="C98" s="144"/>
      <c r="D98" s="144"/>
      <c r="E98" s="35">
        <f>SUM(E82:E97)</f>
        <v>96</v>
      </c>
      <c r="F98" s="35">
        <f>SUM(F82:F97)</f>
        <v>480</v>
      </c>
      <c r="G98" s="35">
        <f>SUM(G82:G97)</f>
        <v>2112</v>
      </c>
    </row>
    <row r="101" spans="2:28">
      <c r="B101" s="140" t="s">
        <v>186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</row>
    <row r="102" spans="2:28" ht="30" customHeight="1">
      <c r="B102" s="25" t="s">
        <v>187</v>
      </c>
      <c r="C102" s="25" t="s">
        <v>188</v>
      </c>
      <c r="D102" s="25" t="s">
        <v>189</v>
      </c>
      <c r="E102" s="25" t="s">
        <v>190</v>
      </c>
      <c r="F102" s="25" t="s">
        <v>191</v>
      </c>
      <c r="G102" s="25" t="s">
        <v>192</v>
      </c>
      <c r="H102" s="25" t="s">
        <v>193</v>
      </c>
      <c r="I102" s="25" t="s">
        <v>194</v>
      </c>
      <c r="J102" s="25" t="s">
        <v>195</v>
      </c>
      <c r="K102" s="11" t="s">
        <v>196</v>
      </c>
      <c r="L102" s="11"/>
      <c r="M102" s="11"/>
      <c r="N102" s="11"/>
      <c r="O102" s="11"/>
      <c r="P102" s="11"/>
      <c r="Q102" s="11"/>
      <c r="R102" s="11"/>
    </row>
    <row r="103" spans="2:28" ht="21.75" customHeight="1">
      <c r="B103" s="26" t="s">
        <v>197</v>
      </c>
      <c r="C103" s="17">
        <v>4</v>
      </c>
      <c r="D103" s="17">
        <v>2</v>
      </c>
      <c r="E103" s="17">
        <v>2</v>
      </c>
      <c r="F103" s="17">
        <v>2</v>
      </c>
      <c r="G103" s="17">
        <v>1</v>
      </c>
      <c r="H103" s="21">
        <f>C103+D103+E103+F103+G103</f>
        <v>11</v>
      </c>
      <c r="I103" s="29">
        <f>H103*'1. Assumptions'!C9</f>
        <v>242</v>
      </c>
      <c r="J103" s="119" t="s">
        <v>198</v>
      </c>
      <c r="K103" s="145" t="s">
        <v>199</v>
      </c>
      <c r="L103" s="145"/>
      <c r="M103" s="145"/>
      <c r="N103" s="145"/>
      <c r="O103" s="145"/>
      <c r="P103" s="145"/>
      <c r="Q103" s="145"/>
      <c r="R103" s="145"/>
    </row>
    <row r="104" spans="2:28" ht="21.75" customHeight="1">
      <c r="B104" s="31" t="s">
        <v>200</v>
      </c>
      <c r="C104" s="17">
        <v>4</v>
      </c>
      <c r="D104" s="17">
        <v>2</v>
      </c>
      <c r="E104" s="17">
        <v>1</v>
      </c>
      <c r="F104" s="17">
        <v>1</v>
      </c>
      <c r="G104" s="17">
        <v>1</v>
      </c>
      <c r="H104" s="21">
        <f>C104+D104+E104+F104+G104</f>
        <v>9</v>
      </c>
      <c r="I104" s="29">
        <f>H104*'1. Assumptions'!C9</f>
        <v>198</v>
      </c>
      <c r="J104" s="119" t="s">
        <v>198</v>
      </c>
      <c r="K104" s="146" t="s">
        <v>201</v>
      </c>
      <c r="L104" s="146"/>
      <c r="M104" s="146"/>
      <c r="N104" s="146"/>
      <c r="O104" s="146"/>
      <c r="P104" s="146"/>
      <c r="Q104" s="146"/>
      <c r="R104" s="146"/>
    </row>
    <row r="105" spans="2:28" ht="21.75" customHeight="1">
      <c r="B105" s="26" t="s">
        <v>202</v>
      </c>
      <c r="C105" s="17">
        <v>3</v>
      </c>
      <c r="D105" s="17">
        <v>2</v>
      </c>
      <c r="E105" s="17">
        <v>2</v>
      </c>
      <c r="F105" s="17">
        <v>1</v>
      </c>
      <c r="G105" s="17">
        <v>1</v>
      </c>
      <c r="H105" s="21">
        <f>C105+D105+E105+F105+G105</f>
        <v>9</v>
      </c>
      <c r="I105" s="29">
        <f>H105*'1. Assumptions'!C9</f>
        <v>198</v>
      </c>
      <c r="J105" s="119" t="s">
        <v>198</v>
      </c>
      <c r="K105" s="145" t="s">
        <v>203</v>
      </c>
      <c r="L105" s="145"/>
      <c r="M105" s="145"/>
      <c r="N105" s="145"/>
      <c r="O105" s="145"/>
      <c r="P105" s="145"/>
      <c r="Q105" s="145"/>
      <c r="R105" s="145"/>
    </row>
    <row r="106" spans="2:28" ht="21.75" customHeight="1">
      <c r="B106" s="31" t="s">
        <v>204</v>
      </c>
      <c r="C106" s="17">
        <v>3</v>
      </c>
      <c r="D106" s="17">
        <v>1</v>
      </c>
      <c r="E106" s="17">
        <v>1</v>
      </c>
      <c r="F106" s="17">
        <v>2</v>
      </c>
      <c r="G106" s="17">
        <v>1</v>
      </c>
      <c r="H106" s="21">
        <f>C106+D106+E106+F106+G106</f>
        <v>8</v>
      </c>
      <c r="I106" s="29">
        <f>H106*'1. Assumptions'!C9</f>
        <v>176</v>
      </c>
      <c r="J106" s="119" t="s">
        <v>198</v>
      </c>
      <c r="K106" s="146" t="s">
        <v>205</v>
      </c>
      <c r="L106" s="146"/>
      <c r="M106" s="146"/>
      <c r="N106" s="146"/>
      <c r="O106" s="146"/>
      <c r="P106" s="146"/>
      <c r="Q106" s="146"/>
      <c r="R106" s="146"/>
    </row>
    <row r="107" spans="2:28" ht="19.5" customHeight="1">
      <c r="B107" s="32" t="s">
        <v>206</v>
      </c>
      <c r="C107" s="120">
        <f>SUM(C103:C106)</f>
        <v>14</v>
      </c>
      <c r="D107" s="120">
        <f>SUM(D103:D106)</f>
        <v>7</v>
      </c>
      <c r="E107" s="120">
        <f>SUM(E103:E106)</f>
        <v>6</v>
      </c>
      <c r="F107" s="120">
        <f>SUM(F103:F106)</f>
        <v>6</v>
      </c>
      <c r="G107" s="120">
        <f>SUM(G103:G106)</f>
        <v>4</v>
      </c>
      <c r="H107" s="35">
        <f>SUM(H103:H106)</f>
        <v>37</v>
      </c>
      <c r="I107" s="35">
        <f>SUM(I103:I106)</f>
        <v>814</v>
      </c>
    </row>
    <row r="110" spans="2:28">
      <c r="B110" s="147" t="s">
        <v>207</v>
      </c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</row>
    <row r="111" spans="2:28" ht="30" customHeight="1">
      <c r="B111" s="121" t="s">
        <v>28</v>
      </c>
      <c r="C111" s="121" t="s">
        <v>208</v>
      </c>
      <c r="D111" s="121" t="s">
        <v>209</v>
      </c>
      <c r="E111" s="121" t="s">
        <v>210</v>
      </c>
      <c r="F111" s="121" t="s">
        <v>211</v>
      </c>
      <c r="G111" s="121" t="s">
        <v>212</v>
      </c>
      <c r="H111" s="121" t="s">
        <v>213</v>
      </c>
      <c r="I111" s="121" t="s">
        <v>214</v>
      </c>
      <c r="J111" s="121" t="s">
        <v>99</v>
      </c>
      <c r="K111" s="121" t="s">
        <v>215</v>
      </c>
      <c r="L111" s="148" t="s">
        <v>215</v>
      </c>
      <c r="M111" s="148"/>
      <c r="N111" s="148"/>
      <c r="O111" s="148"/>
      <c r="P111" s="148"/>
      <c r="Q111" s="148"/>
      <c r="R111" s="148"/>
    </row>
    <row r="112" spans="2:28" ht="21.75" customHeight="1">
      <c r="B112" s="26" t="s">
        <v>38</v>
      </c>
      <c r="C112" s="122">
        <f>'1. Assumptions'!D25</f>
        <v>1.5</v>
      </c>
      <c r="D112" s="122">
        <v>0</v>
      </c>
      <c r="E112" s="122">
        <v>0</v>
      </c>
      <c r="F112" s="122">
        <v>0</v>
      </c>
      <c r="G112" s="122">
        <v>0</v>
      </c>
      <c r="H112" s="123">
        <f>SUM(D112:G112)</f>
        <v>0</v>
      </c>
      <c r="I112" s="28">
        <f>C112-H112</f>
        <v>1.5</v>
      </c>
      <c r="J112" s="53" t="str">
        <f>IF(H112&gt;C112,"🔴 OVER BUDGET","✅ Within Budget")</f>
        <v>✅ Within Budget</v>
      </c>
      <c r="K112" s="149" t="s">
        <v>216</v>
      </c>
      <c r="L112" s="149"/>
      <c r="M112" s="149"/>
      <c r="N112" s="149"/>
      <c r="O112" s="149"/>
      <c r="P112" s="149"/>
      <c r="Q112" s="149"/>
      <c r="R112" s="149"/>
    </row>
    <row r="113" spans="2:18" ht="21.75" customHeight="1">
      <c r="B113" s="31" t="s">
        <v>39</v>
      </c>
      <c r="C113" s="122">
        <f>'1. Assumptions'!D26</f>
        <v>1.5</v>
      </c>
      <c r="D113" s="122">
        <v>0</v>
      </c>
      <c r="E113" s="122">
        <v>0</v>
      </c>
      <c r="F113" s="122">
        <v>0</v>
      </c>
      <c r="G113" s="122">
        <v>0</v>
      </c>
      <c r="H113" s="123">
        <f>SUM(D113:G113)</f>
        <v>0</v>
      </c>
      <c r="I113" s="28">
        <f>C113-H113</f>
        <v>1.5</v>
      </c>
      <c r="J113" s="53" t="str">
        <f>IF(H113&gt;C113,"🔴 OVER BUDGET","✅ Within Budget")</f>
        <v>✅ Within Budget</v>
      </c>
      <c r="K113" s="150" t="s">
        <v>217</v>
      </c>
      <c r="L113" s="150"/>
      <c r="M113" s="150"/>
      <c r="N113" s="150"/>
      <c r="O113" s="150"/>
      <c r="P113" s="150"/>
      <c r="Q113" s="150"/>
      <c r="R113" s="150"/>
    </row>
    <row r="114" spans="2:18" ht="21.75" customHeight="1">
      <c r="B114" s="26" t="s">
        <v>40</v>
      </c>
      <c r="C114" s="122">
        <f>'1. Assumptions'!D27</f>
        <v>1</v>
      </c>
      <c r="D114" s="122">
        <v>0</v>
      </c>
      <c r="E114" s="122">
        <v>0</v>
      </c>
      <c r="F114" s="122">
        <v>0</v>
      </c>
      <c r="G114" s="122">
        <v>0</v>
      </c>
      <c r="H114" s="123">
        <f>SUM(D114:G114)</f>
        <v>0</v>
      </c>
      <c r="I114" s="28">
        <f>C114-H114</f>
        <v>1</v>
      </c>
      <c r="J114" s="53" t="str">
        <f>IF(H114&gt;C114,"🔴 OVER BUDGET","✅ Within Budget")</f>
        <v>✅ Within Budget</v>
      </c>
      <c r="K114" s="149" t="s">
        <v>218</v>
      </c>
      <c r="L114" s="149"/>
      <c r="M114" s="149"/>
      <c r="N114" s="149"/>
      <c r="O114" s="149"/>
      <c r="P114" s="149"/>
      <c r="Q114" s="149"/>
      <c r="R114" s="149"/>
    </row>
    <row r="115" spans="2:18" ht="21.75" customHeight="1">
      <c r="B115" s="31" t="s">
        <v>41</v>
      </c>
      <c r="C115" s="122">
        <f>'1. Assumptions'!D28</f>
        <v>0.5</v>
      </c>
      <c r="D115" s="122">
        <v>0</v>
      </c>
      <c r="E115" s="122">
        <v>0</v>
      </c>
      <c r="F115" s="122">
        <v>0</v>
      </c>
      <c r="G115" s="122">
        <v>0</v>
      </c>
      <c r="H115" s="123">
        <f>SUM(D115:G115)</f>
        <v>0</v>
      </c>
      <c r="I115" s="28">
        <f>C115-H115</f>
        <v>0.5</v>
      </c>
      <c r="J115" s="53" t="str">
        <f>IF(H115&gt;C115,"🔴 OVER BUDGET","✅ Within Budget")</f>
        <v>✅ Within Budget</v>
      </c>
      <c r="K115" s="150" t="s">
        <v>219</v>
      </c>
      <c r="L115" s="150"/>
      <c r="M115" s="150"/>
      <c r="N115" s="150"/>
      <c r="O115" s="150"/>
      <c r="P115" s="150"/>
      <c r="Q115" s="150"/>
      <c r="R115" s="150"/>
    </row>
    <row r="116" spans="2:18" ht="21.75" customHeight="1">
      <c r="B116" s="26" t="s">
        <v>42</v>
      </c>
      <c r="C116" s="122">
        <f>'1. Assumptions'!D29</f>
        <v>0.5</v>
      </c>
      <c r="D116" s="122">
        <v>0</v>
      </c>
      <c r="E116" s="122">
        <v>0</v>
      </c>
      <c r="F116" s="122">
        <v>0</v>
      </c>
      <c r="G116" s="122">
        <v>0</v>
      </c>
      <c r="H116" s="123">
        <f>SUM(D116:G116)</f>
        <v>0</v>
      </c>
      <c r="I116" s="28">
        <f>C116-H116</f>
        <v>0.5</v>
      </c>
      <c r="J116" s="53" t="str">
        <f>IF(H116&gt;C116,"🔴 OVER BUDGET","✅ Within Budget")</f>
        <v>✅ Within Budget</v>
      </c>
      <c r="K116" s="149" t="s">
        <v>220</v>
      </c>
      <c r="L116" s="149"/>
      <c r="M116" s="149"/>
      <c r="N116" s="149"/>
      <c r="O116" s="149"/>
      <c r="P116" s="149"/>
      <c r="Q116" s="149"/>
      <c r="R116" s="149"/>
    </row>
    <row r="117" spans="2:18" ht="21.75" customHeight="1">
      <c r="B117" s="124" t="s">
        <v>43</v>
      </c>
      <c r="C117" s="125">
        <f>SUM(C112:C116)</f>
        <v>5</v>
      </c>
      <c r="H117" s="125">
        <f>SUM(H112:H116)</f>
        <v>0</v>
      </c>
      <c r="I117" s="125">
        <f>SUM(I112:I116)</f>
        <v>5</v>
      </c>
      <c r="J117" s="126" t="str">
        <f>IF(H117&lt;="5","✅ Total OK — Exit ≤ ₹5L","🔴 TOTAL OVER ₹5L BUDGET")</f>
        <v>✅ Total OK — Exit ≤ ₹5L</v>
      </c>
    </row>
    <row r="120" spans="2:18">
      <c r="B120" s="4" t="s">
        <v>221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2:18" ht="21.75" customHeight="1">
      <c r="B121" s="127" t="s">
        <v>222</v>
      </c>
      <c r="C121" s="151" t="s">
        <v>223</v>
      </c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</row>
    <row r="122" spans="2:18" ht="21.75" customHeight="1">
      <c r="B122" s="128" t="s">
        <v>224</v>
      </c>
      <c r="C122" s="152" t="s">
        <v>225</v>
      </c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</row>
    <row r="123" spans="2:18" ht="21.75" customHeight="1">
      <c r="B123" s="127" t="s">
        <v>226</v>
      </c>
      <c r="C123" s="151" t="s">
        <v>227</v>
      </c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</row>
    <row r="124" spans="2:18" ht="21.75" customHeight="1">
      <c r="B124" s="129" t="s">
        <v>228</v>
      </c>
      <c r="C124" s="153" t="s">
        <v>229</v>
      </c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</row>
    <row r="125" spans="2:18" ht="21.75" customHeight="1">
      <c r="B125" s="129" t="s">
        <v>230</v>
      </c>
      <c r="C125" s="153" t="s">
        <v>231</v>
      </c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</row>
    <row r="126" spans="2:18" ht="21.75" customHeight="1">
      <c r="B126" s="128" t="s">
        <v>232</v>
      </c>
      <c r="C126" s="152" t="s">
        <v>233</v>
      </c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</row>
    <row r="127" spans="2:18" ht="21.75" customHeight="1">
      <c r="B127" s="128" t="s">
        <v>234</v>
      </c>
      <c r="C127" s="152" t="s">
        <v>235</v>
      </c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</row>
    <row r="128" spans="2:18" ht="21.75" customHeight="1">
      <c r="B128" s="127" t="s">
        <v>236</v>
      </c>
      <c r="C128" s="151" t="s">
        <v>237</v>
      </c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</row>
    <row r="129" spans="2:18" ht="21.75" customHeight="1">
      <c r="B129" s="128" t="s">
        <v>238</v>
      </c>
      <c r="C129" s="152" t="s">
        <v>239</v>
      </c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</row>
  </sheetData>
  <mergeCells count="64">
    <mergeCell ref="C127:R127"/>
    <mergeCell ref="C128:R128"/>
    <mergeCell ref="C129:R129"/>
    <mergeCell ref="C122:R122"/>
    <mergeCell ref="C123:R123"/>
    <mergeCell ref="C124:R124"/>
    <mergeCell ref="C125:R125"/>
    <mergeCell ref="C126:R126"/>
    <mergeCell ref="K114:R114"/>
    <mergeCell ref="K115:R115"/>
    <mergeCell ref="K116:R116"/>
    <mergeCell ref="B120:R120"/>
    <mergeCell ref="C121:R121"/>
    <mergeCell ref="K106:R106"/>
    <mergeCell ref="B110:R110"/>
    <mergeCell ref="L111:R111"/>
    <mergeCell ref="K112:R112"/>
    <mergeCell ref="K113:R113"/>
    <mergeCell ref="B101:AB101"/>
    <mergeCell ref="K102:R102"/>
    <mergeCell ref="K103:R103"/>
    <mergeCell ref="K104:R104"/>
    <mergeCell ref="K105:R105"/>
    <mergeCell ref="H94:R94"/>
    <mergeCell ref="H95:R95"/>
    <mergeCell ref="H96:R96"/>
    <mergeCell ref="H97:R97"/>
    <mergeCell ref="B98:D98"/>
    <mergeCell ref="H89:R89"/>
    <mergeCell ref="H90:R90"/>
    <mergeCell ref="H91:R91"/>
    <mergeCell ref="H92:R92"/>
    <mergeCell ref="H93:R93"/>
    <mergeCell ref="H84:R84"/>
    <mergeCell ref="H85:R85"/>
    <mergeCell ref="H86:R86"/>
    <mergeCell ref="H87:R87"/>
    <mergeCell ref="H88:R88"/>
    <mergeCell ref="B66:Z66"/>
    <mergeCell ref="B80:AB80"/>
    <mergeCell ref="I81:R81"/>
    <mergeCell ref="H82:R82"/>
    <mergeCell ref="H83:R83"/>
    <mergeCell ref="B56:Z56"/>
    <mergeCell ref="B57:C57"/>
    <mergeCell ref="E57:G57"/>
    <mergeCell ref="B64:Z64"/>
    <mergeCell ref="B65:C65"/>
    <mergeCell ref="E65:G65"/>
    <mergeCell ref="B35:Z35"/>
    <mergeCell ref="D36:Z36"/>
    <mergeCell ref="B42:Z42"/>
    <mergeCell ref="D43:Z43"/>
    <mergeCell ref="B49:Z49"/>
    <mergeCell ref="D15:Z15"/>
    <mergeCell ref="B21:Z21"/>
    <mergeCell ref="D22:Z22"/>
    <mergeCell ref="B28:Z28"/>
    <mergeCell ref="D29:Z29"/>
    <mergeCell ref="B1:AB1"/>
    <mergeCell ref="B2:AB2"/>
    <mergeCell ref="B4:AB4"/>
    <mergeCell ref="B12:AB12"/>
    <mergeCell ref="B14:Z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2026-05-27T17:11:01Z</dcterms:created>
  <dcterms:modified xsi:type="dcterms:W3CDTF">2026-05-28T05:51:55Z</dcterms:modified>
  <cp:category/>
  <cp:contentStatus/>
</cp:coreProperties>
</file>